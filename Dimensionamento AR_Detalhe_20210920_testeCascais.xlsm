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tables/table1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Liliana Ramalho\PycharmProjects\Rotas Brisa\"/>
    </mc:Choice>
  </mc:AlternateContent>
  <xr:revisionPtr revIDLastSave="0" documentId="13_ncr:1_{669A8435-96E9-4D37-AED3-0B95303E86CE}" xr6:coauthVersionLast="47" xr6:coauthVersionMax="47" xr10:uidLastSave="{00000000-0000-0000-0000-000000000000}"/>
  <bookViews>
    <workbookView xWindow="3510" yWindow="3510" windowWidth="21600" windowHeight="11385" tabRatio="878" firstSheet="2" activeTab="8" xr2:uid="{1BCFA04C-0FB9-49AF-9EFA-D1A3D703A8A3}"/>
  </bookViews>
  <sheets>
    <sheet name="Menu" sheetId="26" r:id="rId1"/>
    <sheet name="Parametros" sheetId="56" r:id="rId2"/>
    <sheet name="Inputs - 1. Nós" sheetId="27" r:id="rId3"/>
    <sheet name="Original" sheetId="64" r:id="rId4"/>
    <sheet name="Inputs - 2. Distâncias" sheetId="50" r:id="rId5"/>
    <sheet name="Inputs - 3. Turnos e Paragens" sheetId="39" r:id="rId6"/>
    <sheet name="Inputs - 4. Probabilidades" sheetId="40" r:id="rId7"/>
    <sheet name="Resultados MACRO" sheetId="58" r:id="rId8"/>
    <sheet name="Dados Solução Carro 1" sheetId="33" r:id="rId9"/>
    <sheet name="Grafico Solução 1" sheetId="57" r:id="rId10"/>
    <sheet name="Mapa visual_1" sheetId="41" r:id="rId11"/>
    <sheet name="Dados Solução Carro 2" sheetId="45" state="hidden" r:id="rId12"/>
    <sheet name="Mapa visual_2" sheetId="42" state="hidden" r:id="rId13"/>
    <sheet name="01. nos" sheetId="46" r:id="rId14"/>
    <sheet name="02. distancias" sheetId="51" r:id="rId15"/>
    <sheet name="03. turnos" sheetId="47" r:id="rId16"/>
    <sheet name="04. pausas obrigatorias" sheetId="48" r:id="rId17"/>
    <sheet name="05. areas de servico" sheetId="54" r:id="rId18"/>
    <sheet name="06. tempo_incidencias" sheetId="61" r:id="rId19"/>
    <sheet name="07. sequencia_nos" sheetId="66" r:id="rId20"/>
    <sheet name="probabilidades sem zeros" sheetId="49" r:id="rId21"/>
    <sheet name="probabilidades com zeros" sheetId="55" r:id="rId22"/>
  </sheets>
  <functionGroups builtInGroupCount="19"/>
  <definedNames>
    <definedName name="_xlnm._FilterDatabase" localSheetId="21" hidden="1">'probabilidades com zeros'!$A$1:$D$252</definedName>
    <definedName name="ExternalData_1" localSheetId="8" hidden="1">'Dados Solução Carro 1'!$B$6:$K$462</definedName>
    <definedName name="ExternalData_1" localSheetId="11" hidden="1">'Dados Solução Carro 2'!$B$5:$F$256</definedName>
    <definedName name="ExternalData_1" localSheetId="6" hidden="1">'Inputs - 4. Probabilidades'!$W$6:$Y$66</definedName>
    <definedName name="ExternalData_1" localSheetId="10" hidden="1">'Mapa visual_1'!$AG$1:$AL$202</definedName>
    <definedName name="ExternalData_1" localSheetId="12" hidden="1">'Mapa visual_2'!$A$1:$D$56</definedName>
    <definedName name="ExternalData_1" localSheetId="7" hidden="1">'Resultados MACRO'!$B$6:$I$629</definedName>
    <definedName name="ExternalData_2" localSheetId="8" hidden="1">'Dados Solução Carro 1'!$AJ$6:$AL$12</definedName>
    <definedName name="ExternalData_2" localSheetId="11" hidden="1">'Dados Solução Carro 2'!$S$5:$T$9</definedName>
    <definedName name="ExternalData_2" localSheetId="10" hidden="1">'Mapa visual_1'!$AZ$1:$BA$11</definedName>
    <definedName name="ExternalData_2" localSheetId="7" hidden="1">'Resultados MACRO'!$M$6:$V$137</definedName>
    <definedName name="ExternalData_3" localSheetId="8" hidden="1">'Dados Solução Carro 1'!$S$6:$AB$282</definedName>
    <definedName name="ExternalData_3" localSheetId="9" hidden="1">'Grafico Solução 1'!$U$6:$Z$918</definedName>
    <definedName name="ExternalData_4" localSheetId="8" hidden="1">'Dados Solução Carro 1'!$AF$6:$AG$26</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65"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56" i="57" l="1"/>
  <c r="AA257" i="57"/>
  <c r="AA258" i="57"/>
  <c r="AA259" i="57"/>
  <c r="AA272" i="57"/>
  <c r="AA273" i="57"/>
  <c r="AA274" i="57"/>
  <c r="AA275" i="57"/>
  <c r="AA276" i="57"/>
  <c r="AA277" i="57"/>
  <c r="AA278" i="57"/>
  <c r="AA279" i="57"/>
  <c r="AA280" i="57"/>
  <c r="AA301" i="57"/>
  <c r="AA302" i="57"/>
  <c r="AA303" i="57"/>
  <c r="AA304" i="57"/>
  <c r="AA305" i="57"/>
  <c r="AA306" i="57"/>
  <c r="AA307" i="57"/>
  <c r="AA308" i="57"/>
  <c r="AA309" i="57"/>
  <c r="AA310" i="57"/>
  <c r="AA314" i="57"/>
  <c r="AA317" i="57"/>
  <c r="AA318" i="57"/>
  <c r="AA321" i="57"/>
  <c r="AA322" i="57"/>
  <c r="AA323" i="57"/>
  <c r="AA330" i="57"/>
  <c r="AA331" i="57"/>
  <c r="AA332" i="57"/>
  <c r="AA335" i="57"/>
  <c r="AA336" i="57"/>
  <c r="AA340" i="57"/>
  <c r="AA341" i="57"/>
  <c r="AA342" i="57"/>
  <c r="AA343" i="57"/>
  <c r="AA347" i="57"/>
  <c r="AA348" i="57"/>
  <c r="AA349" i="57"/>
  <c r="AA350" i="57"/>
  <c r="AA351" i="57"/>
  <c r="AA357" i="57"/>
  <c r="AA358" i="57"/>
  <c r="AA359" i="57"/>
  <c r="AA360" i="57"/>
  <c r="AA362" i="57"/>
  <c r="AA368" i="57"/>
  <c r="AA369" i="57"/>
  <c r="AA370" i="57"/>
  <c r="AA371" i="57"/>
  <c r="AA372" i="57"/>
  <c r="AA373" i="57"/>
  <c r="AA375" i="57"/>
  <c r="AA376" i="57"/>
  <c r="AA382" i="57"/>
  <c r="AA383" i="57"/>
  <c r="AA384" i="57"/>
  <c r="AA385" i="57"/>
  <c r="AA386" i="57"/>
  <c r="AA393" i="57"/>
  <c r="AA398" i="57"/>
  <c r="AA399" i="57"/>
  <c r="AA400" i="57"/>
  <c r="AA405" i="57"/>
  <c r="AA406" i="57"/>
  <c r="AA407" i="57"/>
  <c r="AA408" i="57"/>
  <c r="AA409" i="57"/>
  <c r="AA410" i="57"/>
  <c r="AA414" i="57"/>
  <c r="AA415" i="57"/>
  <c r="AA416" i="57"/>
  <c r="AA417" i="57"/>
  <c r="AA421" i="57"/>
  <c r="AA422" i="57"/>
  <c r="AA423" i="57"/>
  <c r="AA424" i="57"/>
  <c r="AA433" i="57"/>
  <c r="AA434" i="57"/>
  <c r="AA447" i="57"/>
  <c r="AA448" i="57"/>
  <c r="AA449" i="57"/>
  <c r="AA450" i="57"/>
  <c r="AA451" i="57"/>
  <c r="AA453" i="57"/>
  <c r="AA454" i="57"/>
  <c r="AA455" i="57"/>
  <c r="AA456" i="57"/>
  <c r="AA457" i="57"/>
  <c r="AA458" i="57"/>
  <c r="AA459" i="57"/>
  <c r="AA468" i="57"/>
  <c r="AA472" i="57"/>
  <c r="AA473" i="57"/>
  <c r="AA474" i="57"/>
  <c r="AA475" i="57"/>
  <c r="AA476" i="57"/>
  <c r="AA477" i="57"/>
  <c r="AA478" i="57"/>
  <c r="AA479" i="57"/>
  <c r="AA480" i="57"/>
  <c r="AA481" i="57"/>
  <c r="AA482" i="57"/>
  <c r="AA483" i="57"/>
  <c r="AA484" i="57"/>
  <c r="AA492" i="57"/>
  <c r="AA498" i="57"/>
  <c r="AA499" i="57"/>
  <c r="AA500" i="57"/>
  <c r="AA508" i="57"/>
  <c r="AA511" i="57"/>
  <c r="AA512" i="57"/>
  <c r="AA513" i="57"/>
  <c r="AA514" i="57"/>
  <c r="AA523" i="57"/>
  <c r="AA524" i="57"/>
  <c r="AA527" i="57"/>
  <c r="AA528" i="57"/>
  <c r="AA531" i="57"/>
  <c r="AA532" i="57"/>
  <c r="AA533" i="57"/>
  <c r="AA534" i="57"/>
  <c r="AA535" i="57"/>
  <c r="AA536" i="57"/>
  <c r="AA537" i="57"/>
  <c r="AA538" i="57"/>
  <c r="AA544" i="57"/>
  <c r="AA545" i="57"/>
  <c r="AA546" i="57"/>
  <c r="AA560" i="57"/>
  <c r="AA561" i="57"/>
  <c r="AA562" i="57"/>
  <c r="AA563" i="57"/>
  <c r="AA564" i="57"/>
  <c r="AA565" i="57"/>
  <c r="AA566" i="57"/>
  <c r="AA567" i="57"/>
  <c r="AA577" i="57"/>
  <c r="AA580" i="57"/>
  <c r="AA581" i="57"/>
  <c r="AA582" i="57"/>
  <c r="AA584" i="57"/>
  <c r="AA587" i="57"/>
  <c r="AA588" i="57"/>
  <c r="AA591" i="57"/>
  <c r="AA592" i="57"/>
  <c r="AA595" i="57"/>
  <c r="AA596" i="57"/>
  <c r="AA597" i="57"/>
  <c r="AA611" i="57"/>
  <c r="AA612" i="57"/>
  <c r="AA613" i="57"/>
  <c r="AA614" i="57"/>
  <c r="AA615" i="57"/>
  <c r="AA616" i="57"/>
  <c r="AA617" i="57"/>
  <c r="AA618" i="57"/>
  <c r="AA619" i="57"/>
  <c r="AA620" i="57"/>
  <c r="AA623" i="57"/>
  <c r="AA624" i="57"/>
  <c r="AA625" i="57"/>
  <c r="AA626" i="57"/>
  <c r="AA630" i="57"/>
  <c r="AA635" i="57"/>
  <c r="AA636" i="57"/>
  <c r="AA637" i="57"/>
  <c r="AA645" i="57"/>
  <c r="AA646" i="57"/>
  <c r="AA647" i="57"/>
  <c r="AA648" i="57"/>
  <c r="AA649" i="57"/>
  <c r="AA651" i="57"/>
  <c r="AA652" i="57"/>
  <c r="AA653" i="57"/>
  <c r="AA657" i="57"/>
  <c r="AA658" i="57"/>
  <c r="AA659" i="57"/>
  <c r="AA660" i="57"/>
  <c r="AA665" i="57"/>
  <c r="AA666" i="57"/>
  <c r="AA670" i="57"/>
  <c r="AA675" i="57"/>
  <c r="AA676" i="57"/>
  <c r="AA677" i="57"/>
  <c r="AA678" i="57"/>
  <c r="AA679" i="57"/>
  <c r="AA685" i="57"/>
  <c r="AA686" i="57"/>
  <c r="AA687" i="57"/>
  <c r="AA688" i="57"/>
  <c r="AA689" i="57"/>
  <c r="AA693" i="57"/>
  <c r="AA694" i="57"/>
  <c r="AA702" i="57"/>
  <c r="AA703" i="57"/>
  <c r="AA704" i="57"/>
  <c r="AA705" i="57"/>
  <c r="AA706" i="57"/>
  <c r="AA711" i="57"/>
  <c r="AA712" i="57"/>
  <c r="AA713" i="57"/>
  <c r="AA715" i="57"/>
  <c r="AA716" i="57"/>
  <c r="AA717" i="57"/>
  <c r="AA722" i="57"/>
  <c r="AA723" i="57"/>
  <c r="AA724" i="57"/>
  <c r="AA725" i="57"/>
  <c r="AA729" i="57"/>
  <c r="AA730" i="57"/>
  <c r="AA731" i="57"/>
  <c r="AA732" i="57"/>
  <c r="AA742" i="57"/>
  <c r="AA743" i="57"/>
  <c r="AA744" i="57"/>
  <c r="AA745" i="57"/>
  <c r="AA749" i="57"/>
  <c r="AA750" i="57"/>
  <c r="AA751" i="57"/>
  <c r="AA752" i="57"/>
  <c r="AA753" i="57"/>
  <c r="AA755" i="57"/>
  <c r="AA756" i="57"/>
  <c r="AA757" i="57"/>
  <c r="AA758" i="57"/>
  <c r="AA763" i="57"/>
  <c r="AA764" i="57"/>
  <c r="AA765" i="57"/>
  <c r="AA766" i="57"/>
  <c r="AA770" i="57"/>
  <c r="AA771" i="57"/>
  <c r="AA772" i="57"/>
  <c r="AA773" i="57"/>
  <c r="AA774" i="57"/>
  <c r="AA775" i="57"/>
  <c r="AA776" i="57"/>
  <c r="AA777" i="57"/>
  <c r="AA779" i="57"/>
  <c r="AA780" i="57"/>
  <c r="AA781" i="57"/>
  <c r="AA782" i="57"/>
  <c r="AA787" i="57"/>
  <c r="AA788" i="57"/>
  <c r="AA789" i="57"/>
  <c r="AA794" i="57"/>
  <c r="AA798" i="57"/>
  <c r="AA799" i="57"/>
  <c r="AA800" i="57"/>
  <c r="AA802" i="57"/>
  <c r="AA808" i="57"/>
  <c r="AA809" i="57"/>
  <c r="AA810" i="57"/>
  <c r="AA811" i="57"/>
  <c r="AA818" i="57"/>
  <c r="AA819" i="57"/>
  <c r="AA820" i="57"/>
  <c r="AA821" i="57"/>
  <c r="AA822" i="57"/>
  <c r="AA823" i="57"/>
  <c r="AA824" i="57"/>
  <c r="AA844" i="57"/>
  <c r="AA845" i="57"/>
  <c r="AA864" i="57"/>
  <c r="AA865" i="57"/>
  <c r="AA866" i="57"/>
  <c r="AA867" i="57"/>
  <c r="AA868" i="57"/>
  <c r="AA869" i="57"/>
  <c r="AA870" i="57"/>
  <c r="AA871" i="57"/>
  <c r="AA881" i="57"/>
  <c r="AA884" i="57"/>
  <c r="AA885" i="57"/>
  <c r="AA886" i="57"/>
  <c r="AA887" i="57"/>
  <c r="AA888" i="57"/>
  <c r="AA889" i="57"/>
  <c r="AA890" i="57"/>
  <c r="AA891" i="57"/>
  <c r="AA892" i="57"/>
  <c r="AA913" i="57"/>
  <c r="AA914" i="57"/>
  <c r="AA915" i="57"/>
  <c r="AA916" i="57"/>
  <c r="AA917" i="57"/>
  <c r="AA918" i="57"/>
  <c r="AA7" i="57"/>
  <c r="AA8" i="57"/>
  <c r="AA9" i="57"/>
  <c r="AA10" i="57"/>
  <c r="AA13" i="57"/>
  <c r="AA14" i="57"/>
  <c r="AA15" i="57"/>
  <c r="AA16" i="57"/>
  <c r="AA17" i="57"/>
  <c r="AA18" i="57"/>
  <c r="AA19" i="57"/>
  <c r="AA21" i="57"/>
  <c r="AA22" i="57"/>
  <c r="AA25" i="57"/>
  <c r="AA26" i="57"/>
  <c r="AA29" i="57"/>
  <c r="AA30" i="57"/>
  <c r="AA33" i="57"/>
  <c r="AA34" i="57"/>
  <c r="AA35" i="57"/>
  <c r="AA43" i="57"/>
  <c r="AA44" i="57"/>
  <c r="AA45" i="57"/>
  <c r="AA46" i="57"/>
  <c r="AA47" i="57"/>
  <c r="AA49" i="57"/>
  <c r="AA50" i="57"/>
  <c r="AA51" i="57"/>
  <c r="AA55" i="57"/>
  <c r="AA56" i="57"/>
  <c r="AA61" i="57"/>
  <c r="AA62" i="57"/>
  <c r="AA63" i="57"/>
  <c r="AA64" i="57"/>
  <c r="AA70" i="57"/>
  <c r="AA73" i="57"/>
  <c r="AA74" i="57"/>
  <c r="AA77" i="57"/>
  <c r="AA78" i="57"/>
  <c r="AA82" i="57"/>
  <c r="AA83" i="57"/>
  <c r="AA84" i="57"/>
  <c r="AA85" i="57"/>
  <c r="AA87" i="57"/>
  <c r="AA88" i="57"/>
  <c r="AA89" i="57"/>
  <c r="AA103" i="57"/>
  <c r="AA104" i="57"/>
  <c r="AA105" i="57"/>
  <c r="AA106" i="57"/>
  <c r="AA111" i="57"/>
  <c r="AA112" i="57"/>
  <c r="AA113" i="57"/>
  <c r="AA114" i="57"/>
  <c r="AA115" i="57"/>
  <c r="AA116" i="57"/>
  <c r="AA117" i="57"/>
  <c r="AA118" i="57"/>
  <c r="AA128" i="57"/>
  <c r="AA129" i="57"/>
  <c r="AA138" i="57"/>
  <c r="AA139" i="57"/>
  <c r="AA140" i="57"/>
  <c r="AA141" i="57"/>
  <c r="AA146" i="57"/>
  <c r="AA150" i="57"/>
  <c r="AA151" i="57"/>
  <c r="AA152" i="57"/>
  <c r="AA153" i="57"/>
  <c r="AA154" i="57"/>
  <c r="AA155" i="57"/>
  <c r="AA156" i="57"/>
  <c r="AA160" i="57"/>
  <c r="AA163" i="57"/>
  <c r="AA164" i="57"/>
  <c r="AA167" i="57"/>
  <c r="AA168" i="57"/>
  <c r="AA169" i="57"/>
  <c r="AA170" i="57"/>
  <c r="AA173" i="57"/>
  <c r="AA174" i="57"/>
  <c r="AA175" i="57"/>
  <c r="AA176" i="57"/>
  <c r="AA180" i="57"/>
  <c r="AA181" i="57"/>
  <c r="AA182" i="57"/>
  <c r="AA183" i="57"/>
  <c r="AA190" i="57"/>
  <c r="AA191" i="57"/>
  <c r="AA198" i="57"/>
  <c r="AA199" i="57"/>
  <c r="AA200" i="57"/>
  <c r="AA201" i="57"/>
  <c r="AA202" i="57"/>
  <c r="AA206" i="57"/>
  <c r="AA211" i="57"/>
  <c r="AA212" i="57"/>
  <c r="AA219" i="57"/>
  <c r="AA220" i="57"/>
  <c r="AA221" i="57"/>
  <c r="AA222" i="57"/>
  <c r="AA223" i="57"/>
  <c r="AA224" i="57"/>
  <c r="AA231" i="57"/>
  <c r="AA232" i="57"/>
  <c r="AA233" i="57"/>
  <c r="AA234" i="57"/>
  <c r="AA235" i="57"/>
  <c r="AA236" i="57"/>
  <c r="AA237" i="57"/>
  <c r="AA260" i="57"/>
  <c r="AA261" i="57"/>
  <c r="AA262" i="57"/>
  <c r="AA263" i="57"/>
  <c r="AA264" i="57"/>
  <c r="AA265" i="57"/>
  <c r="AA266" i="57"/>
  <c r="AA267" i="57"/>
  <c r="AA281" i="57"/>
  <c r="AA282" i="57"/>
  <c r="AA283" i="57"/>
  <c r="AA284" i="57"/>
  <c r="AA285" i="57"/>
  <c r="AA286" i="57"/>
  <c r="AA287" i="57"/>
  <c r="AA288" i="57"/>
  <c r="AA289" i="57"/>
  <c r="AA290" i="57"/>
  <c r="AA291" i="57"/>
  <c r="AA292" i="57"/>
  <c r="AA293" i="57"/>
  <c r="AA294" i="57"/>
  <c r="AA295" i="57"/>
  <c r="AA296" i="57"/>
  <c r="AA297" i="57"/>
  <c r="AA298" i="57"/>
  <c r="AA299" i="57"/>
  <c r="AA300" i="57"/>
  <c r="AA311" i="57"/>
  <c r="AA312" i="57"/>
  <c r="AA313" i="57"/>
  <c r="AA315" i="57"/>
  <c r="AA316" i="57"/>
  <c r="AA319" i="57"/>
  <c r="AA320" i="57"/>
  <c r="AA324" i="57"/>
  <c r="AA325" i="57"/>
  <c r="AA326" i="57"/>
  <c r="AA327" i="57"/>
  <c r="AA328" i="57"/>
  <c r="AA329" i="57"/>
  <c r="AA333" i="57"/>
  <c r="AA334" i="57"/>
  <c r="AA337" i="57"/>
  <c r="AA338" i="57"/>
  <c r="AA339" i="57"/>
  <c r="AA344" i="57"/>
  <c r="AA345" i="57"/>
  <c r="AA346" i="57"/>
  <c r="AA352" i="57"/>
  <c r="AA353" i="57"/>
  <c r="AA354" i="57"/>
  <c r="AA355" i="57"/>
  <c r="AA356" i="57"/>
  <c r="AA361" i="57"/>
  <c r="AA363" i="57"/>
  <c r="AA364" i="57"/>
  <c r="AA365" i="57"/>
  <c r="AA366" i="57"/>
  <c r="AA367" i="57"/>
  <c r="AA374" i="57"/>
  <c r="AA377" i="57"/>
  <c r="AA378" i="57"/>
  <c r="AA379" i="57"/>
  <c r="AA380" i="57"/>
  <c r="AA381" i="57"/>
  <c r="AA387" i="57"/>
  <c r="AA388" i="57"/>
  <c r="AA389" i="57"/>
  <c r="AA390" i="57"/>
  <c r="AA391" i="57"/>
  <c r="AA392" i="57"/>
  <c r="AA394" i="57"/>
  <c r="AA395" i="57"/>
  <c r="AA396" i="57"/>
  <c r="AA397" i="57"/>
  <c r="AA401" i="57"/>
  <c r="AA402" i="57"/>
  <c r="AA403" i="57"/>
  <c r="AA404" i="57"/>
  <c r="AA411" i="57"/>
  <c r="AA412" i="57"/>
  <c r="AA413" i="57"/>
  <c r="AA418" i="57"/>
  <c r="AA419" i="57"/>
  <c r="AA420" i="57"/>
  <c r="AA425" i="57"/>
  <c r="AA426" i="57"/>
  <c r="AA427" i="57"/>
  <c r="AA428" i="57"/>
  <c r="AA429" i="57"/>
  <c r="AA430" i="57"/>
  <c r="AA431" i="57"/>
  <c r="AA432" i="57"/>
  <c r="AA435" i="57"/>
  <c r="AA436" i="57"/>
  <c r="AA437" i="57"/>
  <c r="AA438" i="57"/>
  <c r="AA439" i="57"/>
  <c r="AA440" i="57"/>
  <c r="AA441" i="57"/>
  <c r="AA442" i="57"/>
  <c r="AA443" i="57"/>
  <c r="AA444" i="57"/>
  <c r="AA445" i="57"/>
  <c r="AA446" i="57"/>
  <c r="AA452" i="57"/>
  <c r="AA460" i="57"/>
  <c r="AA461" i="57"/>
  <c r="AA462" i="57"/>
  <c r="AA463" i="57"/>
  <c r="AA464" i="57"/>
  <c r="AA465" i="57"/>
  <c r="AA466" i="57"/>
  <c r="AA467" i="57"/>
  <c r="AA469" i="57"/>
  <c r="AA470" i="57"/>
  <c r="AA471" i="57"/>
  <c r="AA485" i="57"/>
  <c r="AA486" i="57"/>
  <c r="AA487" i="57"/>
  <c r="AA488" i="57"/>
  <c r="AA489" i="57"/>
  <c r="AA490" i="57"/>
  <c r="AA491" i="57"/>
  <c r="AA493" i="57"/>
  <c r="AA494" i="57"/>
  <c r="AA495" i="57"/>
  <c r="AA496" i="57"/>
  <c r="AA497" i="57"/>
  <c r="AA501" i="57"/>
  <c r="AA502" i="57"/>
  <c r="AA503" i="57"/>
  <c r="AA504" i="57"/>
  <c r="AA505" i="57"/>
  <c r="AA506" i="57"/>
  <c r="AA507" i="57"/>
  <c r="AA509" i="57"/>
  <c r="AA510" i="57"/>
  <c r="AA515" i="57"/>
  <c r="AA516" i="57"/>
  <c r="AA517" i="57"/>
  <c r="AA518" i="57"/>
  <c r="AA519" i="57"/>
  <c r="AA520" i="57"/>
  <c r="AA521" i="57"/>
  <c r="AA522" i="57"/>
  <c r="AA525" i="57"/>
  <c r="AA526" i="57"/>
  <c r="AA529" i="57"/>
  <c r="AA530" i="57"/>
  <c r="AA539" i="57"/>
  <c r="AA540" i="57"/>
  <c r="AA541" i="57"/>
  <c r="AA542" i="57"/>
  <c r="AA543" i="57"/>
  <c r="AA547" i="57"/>
  <c r="AA548" i="57"/>
  <c r="AA549" i="57"/>
  <c r="AA550" i="57"/>
  <c r="AA551" i="57"/>
  <c r="AA552" i="57"/>
  <c r="AA553" i="57"/>
  <c r="AA554" i="57"/>
  <c r="AA555" i="57"/>
  <c r="AA556" i="57"/>
  <c r="AA557" i="57"/>
  <c r="AA558" i="57"/>
  <c r="AA559" i="57"/>
  <c r="AA568" i="57"/>
  <c r="AA569" i="57"/>
  <c r="AA570" i="57"/>
  <c r="AA571" i="57"/>
  <c r="AA572" i="57"/>
  <c r="AA573" i="57"/>
  <c r="AA574" i="57"/>
  <c r="AA575" i="57"/>
  <c r="AA576" i="57"/>
  <c r="AA578" i="57"/>
  <c r="AA579" i="57"/>
  <c r="AA583" i="57"/>
  <c r="AA585" i="57"/>
  <c r="AA586" i="57"/>
  <c r="AA589" i="57"/>
  <c r="AA590" i="57"/>
  <c r="AA593" i="57"/>
  <c r="AA594" i="57"/>
  <c r="AA598" i="57"/>
  <c r="AA599" i="57"/>
  <c r="AA600" i="57"/>
  <c r="AA601" i="57"/>
  <c r="AA602" i="57"/>
  <c r="AA603" i="57"/>
  <c r="AA604" i="57"/>
  <c r="AA605" i="57"/>
  <c r="AA606" i="57"/>
  <c r="AA607" i="57"/>
  <c r="AA608" i="57"/>
  <c r="AA609" i="57"/>
  <c r="AA610" i="57"/>
  <c r="AA621" i="57"/>
  <c r="AA622" i="57"/>
  <c r="AA627" i="57"/>
  <c r="AA628" i="57"/>
  <c r="AA629" i="57"/>
  <c r="AA631" i="57"/>
  <c r="AA632" i="57"/>
  <c r="AA633" i="57"/>
  <c r="AA634" i="57"/>
  <c r="AA638" i="57"/>
  <c r="AA639" i="57"/>
  <c r="AA640" i="57"/>
  <c r="AA641" i="57"/>
  <c r="AA642" i="57"/>
  <c r="AA643" i="57"/>
  <c r="AA644" i="57"/>
  <c r="AA650" i="57"/>
  <c r="AA654" i="57"/>
  <c r="AA655" i="57"/>
  <c r="AA656" i="57"/>
  <c r="AA661" i="57"/>
  <c r="AA662" i="57"/>
  <c r="AA663" i="57"/>
  <c r="AA664" i="57"/>
  <c r="AA667" i="57"/>
  <c r="AA668" i="57"/>
  <c r="AA669" i="57"/>
  <c r="AA671" i="57"/>
  <c r="AA672" i="57"/>
  <c r="AA673" i="57"/>
  <c r="AA674" i="57"/>
  <c r="AA680" i="57"/>
  <c r="AA681" i="57"/>
  <c r="AA682" i="57"/>
  <c r="AA683" i="57"/>
  <c r="AA684" i="57"/>
  <c r="AA690" i="57"/>
  <c r="AA691" i="57"/>
  <c r="AA692" i="57"/>
  <c r="AA695" i="57"/>
  <c r="AA696" i="57"/>
  <c r="AA697" i="57"/>
  <c r="AA698" i="57"/>
  <c r="AA699" i="57"/>
  <c r="AA700" i="57"/>
  <c r="AA701" i="57"/>
  <c r="AA707" i="57"/>
  <c r="AA708" i="57"/>
  <c r="AA709" i="57"/>
  <c r="AA710" i="57"/>
  <c r="AA714" i="57"/>
  <c r="AA718" i="57"/>
  <c r="AA719" i="57"/>
  <c r="AA720" i="57"/>
  <c r="AA721" i="57"/>
  <c r="AA726" i="57"/>
  <c r="AA727" i="57"/>
  <c r="AA728" i="57"/>
  <c r="AA733" i="57"/>
  <c r="AA734" i="57"/>
  <c r="AA735" i="57"/>
  <c r="AA736" i="57"/>
  <c r="AA737" i="57"/>
  <c r="AA738" i="57"/>
  <c r="AA739" i="57"/>
  <c r="AA740" i="57"/>
  <c r="AA741" i="57"/>
  <c r="AA746" i="57"/>
  <c r="AA747" i="57"/>
  <c r="AA748" i="57"/>
  <c r="AA754" i="57"/>
  <c r="AA759" i="57"/>
  <c r="AA760" i="57"/>
  <c r="AA761" i="57"/>
  <c r="AA762" i="57"/>
  <c r="AA767" i="57"/>
  <c r="AA768" i="57"/>
  <c r="AA769" i="57"/>
  <c r="AA778" i="57"/>
  <c r="AA783" i="57"/>
  <c r="AA784" i="57"/>
  <c r="AA785" i="57"/>
  <c r="AA786" i="57"/>
  <c r="AA790" i="57"/>
  <c r="AA791" i="57"/>
  <c r="AA792" i="57"/>
  <c r="AA793" i="57"/>
  <c r="AA795" i="57"/>
  <c r="AA796" i="57"/>
  <c r="AA797" i="57"/>
  <c r="AA801" i="57"/>
  <c r="AA803" i="57"/>
  <c r="AA804" i="57"/>
  <c r="AA805" i="57"/>
  <c r="AA806" i="57"/>
  <c r="AA807" i="57"/>
  <c r="AA812" i="57"/>
  <c r="AA813" i="57"/>
  <c r="AA814" i="57"/>
  <c r="AA815" i="57"/>
  <c r="AA816" i="57"/>
  <c r="AA817" i="57"/>
  <c r="AA825" i="57"/>
  <c r="AA826" i="57"/>
  <c r="AA827" i="57"/>
  <c r="AA828" i="57"/>
  <c r="AA829" i="57"/>
  <c r="AA830" i="57"/>
  <c r="AA831" i="57"/>
  <c r="AA832" i="57"/>
  <c r="AA833" i="57"/>
  <c r="AA834" i="57"/>
  <c r="AA835" i="57"/>
  <c r="AA836" i="57"/>
  <c r="AA837" i="57"/>
  <c r="AA838" i="57"/>
  <c r="AA839" i="57"/>
  <c r="AA840" i="57"/>
  <c r="AA841" i="57"/>
  <c r="AA842" i="57"/>
  <c r="AA843" i="57"/>
  <c r="AA846" i="57"/>
  <c r="AA847" i="57"/>
  <c r="AA848" i="57"/>
  <c r="AA849" i="57"/>
  <c r="AA850" i="57"/>
  <c r="AA851" i="57"/>
  <c r="AA852" i="57"/>
  <c r="AA853" i="57"/>
  <c r="AA854" i="57"/>
  <c r="AA855" i="57"/>
  <c r="AA856" i="57"/>
  <c r="AA857" i="57"/>
  <c r="AA858" i="57"/>
  <c r="AA859" i="57"/>
  <c r="AA860" i="57"/>
  <c r="AA861" i="57"/>
  <c r="AA862" i="57"/>
  <c r="AA863" i="57"/>
  <c r="AA872" i="57"/>
  <c r="AA873" i="57"/>
  <c r="AA874" i="57"/>
  <c r="AA875" i="57"/>
  <c r="AA876" i="57"/>
  <c r="AA877" i="57"/>
  <c r="AA878" i="57"/>
  <c r="AA879" i="57"/>
  <c r="AA880" i="57"/>
  <c r="AA882" i="57"/>
  <c r="AA883" i="57"/>
  <c r="AA893" i="57"/>
  <c r="AA894" i="57"/>
  <c r="AA895" i="57"/>
  <c r="AA896" i="57"/>
  <c r="AA897" i="57"/>
  <c r="AA898" i="57"/>
  <c r="AA899" i="57"/>
  <c r="AA900" i="57"/>
  <c r="AA901" i="57"/>
  <c r="AA902" i="57"/>
  <c r="AA903" i="57"/>
  <c r="AA904" i="57"/>
  <c r="AA905" i="57"/>
  <c r="AA906" i="57"/>
  <c r="AA907" i="57"/>
  <c r="AA908" i="57"/>
  <c r="AA909" i="57"/>
  <c r="AA910" i="57"/>
  <c r="AA911" i="57"/>
  <c r="AA912" i="57"/>
  <c r="AA11" i="57"/>
  <c r="AA12" i="57"/>
  <c r="AA20" i="57"/>
  <c r="AA23" i="57"/>
  <c r="AA24" i="57"/>
  <c r="AA27" i="57"/>
  <c r="AA28" i="57"/>
  <c r="AA31" i="57"/>
  <c r="AA32" i="57"/>
  <c r="AA36" i="57"/>
  <c r="AA37" i="57"/>
  <c r="AA38" i="57"/>
  <c r="AA39" i="57"/>
  <c r="AA40" i="57"/>
  <c r="AA41" i="57"/>
  <c r="AA42" i="57"/>
  <c r="AA48" i="57"/>
  <c r="AA52" i="57"/>
  <c r="AA53" i="57"/>
  <c r="AA54" i="57"/>
  <c r="AA57" i="57"/>
  <c r="AA58" i="57"/>
  <c r="AA59" i="57"/>
  <c r="AA60" i="57"/>
  <c r="AA65" i="57"/>
  <c r="AA66" i="57"/>
  <c r="AA67" i="57"/>
  <c r="AA68" i="57"/>
  <c r="AA69" i="57"/>
  <c r="AA71" i="57"/>
  <c r="AA72" i="57"/>
  <c r="AA75" i="57"/>
  <c r="AA76" i="57"/>
  <c r="AA79" i="57"/>
  <c r="AA80" i="57"/>
  <c r="AA81" i="57"/>
  <c r="AA86" i="57"/>
  <c r="AA90" i="57"/>
  <c r="AA91" i="57"/>
  <c r="AA92" i="57"/>
  <c r="AA93" i="57"/>
  <c r="AA94" i="57"/>
  <c r="AA95" i="57"/>
  <c r="AA96" i="57"/>
  <c r="AA97" i="57"/>
  <c r="AA98" i="57"/>
  <c r="AA99" i="57"/>
  <c r="AA100" i="57"/>
  <c r="AA101" i="57"/>
  <c r="AA102" i="57"/>
  <c r="AA107" i="57"/>
  <c r="AA108" i="57"/>
  <c r="AA109" i="57"/>
  <c r="AA110" i="57"/>
  <c r="AA119" i="57"/>
  <c r="AA120" i="57"/>
  <c r="AA121" i="57"/>
  <c r="AA122" i="57"/>
  <c r="AA123" i="57"/>
  <c r="AA124" i="57"/>
  <c r="AA125" i="57"/>
  <c r="AA126" i="57"/>
  <c r="AA127" i="57"/>
  <c r="AA130" i="57"/>
  <c r="AA131" i="57"/>
  <c r="AA132" i="57"/>
  <c r="AA133" i="57"/>
  <c r="AA134" i="57"/>
  <c r="AA135" i="57"/>
  <c r="AA136" i="57"/>
  <c r="AA137" i="57"/>
  <c r="AA142" i="57"/>
  <c r="AA143" i="57"/>
  <c r="AA144" i="57"/>
  <c r="AA145" i="57"/>
  <c r="AA147" i="57"/>
  <c r="AA148" i="57"/>
  <c r="AA149" i="57"/>
  <c r="AA157" i="57"/>
  <c r="AA158" i="57"/>
  <c r="AA159" i="57"/>
  <c r="AA161" i="57"/>
  <c r="AA162" i="57"/>
  <c r="AA165" i="57"/>
  <c r="AA166" i="57"/>
  <c r="AA171" i="57"/>
  <c r="AA172" i="57"/>
  <c r="AA177" i="57"/>
  <c r="AA178" i="57"/>
  <c r="AA179" i="57"/>
  <c r="AA184" i="57"/>
  <c r="AA185" i="57"/>
  <c r="AA186" i="57"/>
  <c r="AA187" i="57"/>
  <c r="AA188" i="57"/>
  <c r="AA189" i="57"/>
  <c r="AA192" i="57"/>
  <c r="AA193" i="57"/>
  <c r="AA194" i="57"/>
  <c r="AA195" i="57"/>
  <c r="AA196" i="57"/>
  <c r="AA197" i="57"/>
  <c r="AA203" i="57"/>
  <c r="AA204" i="57"/>
  <c r="AA205" i="57"/>
  <c r="AA207" i="57"/>
  <c r="AA208" i="57"/>
  <c r="AA209" i="57"/>
  <c r="AA210" i="57"/>
  <c r="AA213" i="57"/>
  <c r="AA214" i="57"/>
  <c r="AA215" i="57"/>
  <c r="AA216" i="57"/>
  <c r="AA217" i="57"/>
  <c r="AA218" i="57"/>
  <c r="AA225" i="57"/>
  <c r="AA226" i="57"/>
  <c r="AA227" i="57"/>
  <c r="AA228" i="57"/>
  <c r="AA229" i="57"/>
  <c r="AA230" i="57"/>
  <c r="AA238" i="57"/>
  <c r="AA239" i="57"/>
  <c r="AA240" i="57"/>
  <c r="AA241" i="57"/>
  <c r="AA242" i="57"/>
  <c r="AA243" i="57"/>
  <c r="AA244" i="57"/>
  <c r="AA245" i="57"/>
  <c r="AA246" i="57"/>
  <c r="AA247" i="57"/>
  <c r="AA248" i="57"/>
  <c r="AA249" i="57"/>
  <c r="AA250" i="57"/>
  <c r="AA251" i="57"/>
  <c r="AA252" i="57"/>
  <c r="AA253" i="57"/>
  <c r="AA254" i="57"/>
  <c r="AA255" i="57"/>
  <c r="AA268" i="57"/>
  <c r="AA269" i="57"/>
  <c r="AA270" i="57"/>
  <c r="AA271" i="57"/>
  <c r="AC7" i="33"/>
  <c r="AC8" i="33"/>
  <c r="AC9" i="33"/>
  <c r="AC10" i="33"/>
  <c r="AC11" i="33"/>
  <c r="AC12" i="33"/>
  <c r="AC13" i="33"/>
  <c r="AC14" i="33"/>
  <c r="AH8" i="33" s="1"/>
  <c r="AC15" i="33"/>
  <c r="AC16" i="33"/>
  <c r="AC17" i="33"/>
  <c r="AC18" i="33"/>
  <c r="AC19" i="33"/>
  <c r="AC20" i="33"/>
  <c r="AC21" i="33"/>
  <c r="AC22" i="33"/>
  <c r="AH14" i="33" s="1"/>
  <c r="AC23" i="33"/>
  <c r="AC24" i="33"/>
  <c r="AC25" i="33"/>
  <c r="AC26" i="33"/>
  <c r="AC27" i="33"/>
  <c r="AC28" i="33"/>
  <c r="AC29" i="33"/>
  <c r="AC30" i="33"/>
  <c r="AC31" i="33"/>
  <c r="AC32" i="33"/>
  <c r="AC33" i="33"/>
  <c r="AC34" i="33"/>
  <c r="AC35" i="33"/>
  <c r="AC36" i="33"/>
  <c r="AC37" i="33"/>
  <c r="AC38" i="33"/>
  <c r="AH16" i="33" s="1"/>
  <c r="AC39" i="33"/>
  <c r="AC40" i="33"/>
  <c r="AC41" i="33"/>
  <c r="AC42" i="33"/>
  <c r="AC43" i="33"/>
  <c r="AC44" i="33"/>
  <c r="AC45" i="33"/>
  <c r="AC46" i="33"/>
  <c r="AH9" i="33" s="1"/>
  <c r="AC47" i="33"/>
  <c r="AC48" i="33"/>
  <c r="AC49" i="33"/>
  <c r="AC50" i="33"/>
  <c r="AC51" i="33"/>
  <c r="AC52" i="33"/>
  <c r="AC53" i="33"/>
  <c r="AC54" i="33"/>
  <c r="AH13" i="33" s="1"/>
  <c r="AC55" i="33"/>
  <c r="AC56" i="33"/>
  <c r="AC57" i="33"/>
  <c r="AC58" i="33"/>
  <c r="AC59" i="33"/>
  <c r="AC60" i="33"/>
  <c r="AC61" i="33"/>
  <c r="AC62" i="33"/>
  <c r="AH7" i="33" s="1"/>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C101" i="33"/>
  <c r="AC102" i="33"/>
  <c r="AC103" i="33"/>
  <c r="AC104" i="33"/>
  <c r="AC105" i="33"/>
  <c r="AC106" i="33"/>
  <c r="AC107" i="33"/>
  <c r="AC108" i="33"/>
  <c r="AC109" i="33"/>
  <c r="AC110" i="33"/>
  <c r="AC111" i="33"/>
  <c r="AC112" i="33"/>
  <c r="AC113" i="33"/>
  <c r="AC114" i="33"/>
  <c r="AC115" i="33"/>
  <c r="AC116" i="33"/>
  <c r="AC117" i="33"/>
  <c r="AC118" i="33"/>
  <c r="AH17" i="33" s="1"/>
  <c r="AC119" i="33"/>
  <c r="AC120" i="33"/>
  <c r="AC121" i="33"/>
  <c r="AC122" i="33"/>
  <c r="AC123" i="33"/>
  <c r="AC124" i="33"/>
  <c r="AC125" i="33"/>
  <c r="AC126" i="33"/>
  <c r="AC127" i="33"/>
  <c r="AC128" i="33"/>
  <c r="AC129" i="33"/>
  <c r="AC130" i="33"/>
  <c r="AC131" i="33"/>
  <c r="AC132" i="33"/>
  <c r="AC133" i="33"/>
  <c r="AC134" i="33"/>
  <c r="AH23" i="33" s="1"/>
  <c r="AC135" i="33"/>
  <c r="AC136" i="33"/>
  <c r="AC137" i="33"/>
  <c r="AC138" i="33"/>
  <c r="AC139" i="33"/>
  <c r="AC140" i="33"/>
  <c r="AC141" i="33"/>
  <c r="AC142" i="33"/>
  <c r="AH19" i="33" s="1"/>
  <c r="AC143" i="33"/>
  <c r="AC144" i="33"/>
  <c r="AC145" i="33"/>
  <c r="AC146" i="33"/>
  <c r="AC147" i="33"/>
  <c r="AC148" i="33"/>
  <c r="AC149" i="33"/>
  <c r="AC150" i="33"/>
  <c r="AH25" i="33" s="1"/>
  <c r="AC151" i="33"/>
  <c r="AC152" i="33"/>
  <c r="AC153" i="33"/>
  <c r="AC154" i="33"/>
  <c r="AC155" i="33"/>
  <c r="AC156" i="33"/>
  <c r="AC157" i="33"/>
  <c r="AC158" i="33"/>
  <c r="AH21" i="33" s="1"/>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H22" i="33" s="1"/>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H24" i="33" s="1"/>
  <c r="AC207" i="33"/>
  <c r="AC208" i="33"/>
  <c r="AC209" i="33"/>
  <c r="AC210" i="33"/>
  <c r="AC211" i="33"/>
  <c r="AC212" i="33"/>
  <c r="AC213" i="33"/>
  <c r="AC214" i="33"/>
  <c r="AH20" i="33" s="1"/>
  <c r="AC215" i="33"/>
  <c r="AC216" i="33"/>
  <c r="AC217" i="33"/>
  <c r="AC218" i="33"/>
  <c r="AC219" i="33"/>
  <c r="AC220" i="33"/>
  <c r="AC221" i="33"/>
  <c r="AC222" i="33"/>
  <c r="AC223" i="33"/>
  <c r="AC224" i="33"/>
  <c r="AC225" i="33"/>
  <c r="AC226" i="33"/>
  <c r="AC227" i="33"/>
  <c r="AC228" i="33"/>
  <c r="AC229" i="33"/>
  <c r="AC230" i="33"/>
  <c r="AC231" i="33"/>
  <c r="AC232" i="33"/>
  <c r="AC233" i="33"/>
  <c r="AC234" i="33"/>
  <c r="AC235" i="33"/>
  <c r="AC236" i="33"/>
  <c r="AC237" i="33"/>
  <c r="AC238" i="33"/>
  <c r="AC239" i="33"/>
  <c r="AC240" i="33"/>
  <c r="AC241" i="33"/>
  <c r="AC242" i="33"/>
  <c r="AC243" i="33"/>
  <c r="AC244" i="33"/>
  <c r="AC245" i="33"/>
  <c r="AC246" i="33"/>
  <c r="AC247" i="33"/>
  <c r="AC248" i="33"/>
  <c r="AC249" i="33"/>
  <c r="AC250" i="33"/>
  <c r="AC251" i="33"/>
  <c r="AC252" i="33"/>
  <c r="AC253" i="33"/>
  <c r="AC254" i="33"/>
  <c r="AC255" i="33"/>
  <c r="AC256" i="33"/>
  <c r="AC257" i="33"/>
  <c r="AC258" i="33"/>
  <c r="AC259" i="33"/>
  <c r="AC260" i="33"/>
  <c r="AC261" i="33"/>
  <c r="AC262" i="33"/>
  <c r="AC263" i="33"/>
  <c r="AC264" i="33"/>
  <c r="AC265" i="33"/>
  <c r="AC266" i="33"/>
  <c r="AC267" i="33"/>
  <c r="AC268" i="33"/>
  <c r="AC269" i="33"/>
  <c r="AC270" i="33"/>
  <c r="AC271" i="33"/>
  <c r="AC272" i="33"/>
  <c r="AC273" i="33"/>
  <c r="AC274" i="33"/>
  <c r="AC275" i="33"/>
  <c r="AC276" i="33"/>
  <c r="AC277" i="33"/>
  <c r="AC278" i="33"/>
  <c r="AC279" i="33"/>
  <c r="AC280" i="33"/>
  <c r="AC281" i="33"/>
  <c r="AC282" i="33"/>
  <c r="AH10" i="33"/>
  <c r="AH11" i="33"/>
  <c r="AH12" i="33"/>
  <c r="AH15" i="33"/>
  <c r="AH18" i="33"/>
  <c r="AH26" i="33"/>
  <c r="L7" i="33"/>
  <c r="N35" i="33" s="1"/>
  <c r="O35" i="33" s="1"/>
  <c r="L8" i="33"/>
  <c r="L9" i="33"/>
  <c r="L10" i="33"/>
  <c r="L11" i="33"/>
  <c r="N44" i="33" s="1"/>
  <c r="O44" i="33" s="1"/>
  <c r="L12" i="33"/>
  <c r="N13" i="33" s="1"/>
  <c r="O13" i="33" s="1"/>
  <c r="L13" i="33"/>
  <c r="L14" i="33"/>
  <c r="N46" i="33" s="1"/>
  <c r="O46" i="33" s="1"/>
  <c r="L15" i="33"/>
  <c r="L16" i="33"/>
  <c r="L17" i="33"/>
  <c r="L18" i="33"/>
  <c r="L19" i="33"/>
  <c r="N78" i="33" s="1"/>
  <c r="O78" i="33" s="1"/>
  <c r="L20" i="33"/>
  <c r="L21" i="33"/>
  <c r="L22" i="33"/>
  <c r="N55" i="33" s="1"/>
  <c r="O55" i="33" s="1"/>
  <c r="L23" i="33"/>
  <c r="N33" i="33" s="1"/>
  <c r="O33" i="33" s="1"/>
  <c r="L24" i="33"/>
  <c r="N60" i="33" s="1"/>
  <c r="O60" i="33" s="1"/>
  <c r="L25" i="33"/>
  <c r="L26" i="33"/>
  <c r="L27" i="33"/>
  <c r="N99" i="33" s="1"/>
  <c r="O99" i="33" s="1"/>
  <c r="L28" i="33"/>
  <c r="L29" i="33"/>
  <c r="L30" i="33"/>
  <c r="N166" i="33" s="1"/>
  <c r="L31" i="33"/>
  <c r="L32" i="33"/>
  <c r="L33" i="33"/>
  <c r="L34" i="33"/>
  <c r="L35" i="33"/>
  <c r="L36" i="33"/>
  <c r="L37" i="33"/>
  <c r="L38" i="33"/>
  <c r="N39" i="33" s="1"/>
  <c r="O39" i="33" s="1"/>
  <c r="L39" i="33"/>
  <c r="L40" i="33"/>
  <c r="L41" i="33"/>
  <c r="L42" i="33"/>
  <c r="L43" i="33"/>
  <c r="L44" i="33"/>
  <c r="L45" i="33"/>
  <c r="L46" i="33"/>
  <c r="L47" i="33"/>
  <c r="L48" i="33"/>
  <c r="L49" i="33"/>
  <c r="L50" i="33"/>
  <c r="L51" i="33"/>
  <c r="N79" i="33" s="1"/>
  <c r="O79" i="33" s="1"/>
  <c r="L52" i="33"/>
  <c r="L53" i="33"/>
  <c r="L54" i="33"/>
  <c r="N71" i="33" s="1"/>
  <c r="O71" i="33" s="1"/>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N87" i="33" s="1"/>
  <c r="O87" i="33" s="1"/>
  <c r="L87" i="33"/>
  <c r="L88" i="33"/>
  <c r="L89" i="33"/>
  <c r="L90" i="33"/>
  <c r="L91" i="33"/>
  <c r="L92" i="33"/>
  <c r="L93" i="33"/>
  <c r="L94" i="33"/>
  <c r="N95" i="33" s="1"/>
  <c r="O95" i="33" s="1"/>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N151" i="33" s="1"/>
  <c r="O151" i="33" s="1"/>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L181" i="33"/>
  <c r="L182" i="33"/>
  <c r="L183" i="33"/>
  <c r="L184" i="33"/>
  <c r="L185" i="33"/>
  <c r="L186" i="33"/>
  <c r="L187" i="33"/>
  <c r="L188" i="33"/>
  <c r="L189" i="33"/>
  <c r="L190" i="33"/>
  <c r="L191" i="33"/>
  <c r="L192" i="33"/>
  <c r="L193" i="33"/>
  <c r="L194" i="33"/>
  <c r="L195" i="33"/>
  <c r="L196" i="33"/>
  <c r="L197" i="33"/>
  <c r="L198" i="33"/>
  <c r="L199" i="33"/>
  <c r="L200" i="33"/>
  <c r="L201" i="33"/>
  <c r="L202" i="33"/>
  <c r="L203" i="33"/>
  <c r="L204" i="33"/>
  <c r="L205" i="33"/>
  <c r="L206" i="33"/>
  <c r="L207" i="33"/>
  <c r="L208" i="33"/>
  <c r="N209" i="33" s="1"/>
  <c r="O209" i="33" s="1"/>
  <c r="L209" i="33"/>
  <c r="L210" i="33"/>
  <c r="L211" i="33"/>
  <c r="N218" i="33" s="1"/>
  <c r="O218" i="33" s="1"/>
  <c r="L212" i="33"/>
  <c r="L213" i="33"/>
  <c r="L214" i="33"/>
  <c r="N215" i="33" s="1"/>
  <c r="O215" i="33" s="1"/>
  <c r="L215" i="33"/>
  <c r="L216" i="33"/>
  <c r="L217" i="33"/>
  <c r="L218" i="33"/>
  <c r="L219" i="33"/>
  <c r="L220" i="33"/>
  <c r="L221" i="33"/>
  <c r="L222" i="33"/>
  <c r="N422" i="33" s="1"/>
  <c r="O422" i="33" s="1"/>
  <c r="L223" i="33"/>
  <c r="L224" i="33"/>
  <c r="L225" i="33"/>
  <c r="L226" i="33"/>
  <c r="L227" i="33"/>
  <c r="L228" i="33"/>
  <c r="L229" i="33"/>
  <c r="L230" i="33"/>
  <c r="L231" i="33"/>
  <c r="L232" i="33"/>
  <c r="L233" i="33"/>
  <c r="L234" i="33"/>
  <c r="L235" i="33"/>
  <c r="L236" i="33"/>
  <c r="L237" i="33"/>
  <c r="L238" i="33"/>
  <c r="L239" i="33"/>
  <c r="L240" i="33"/>
  <c r="L241" i="33"/>
  <c r="L242" i="33"/>
  <c r="L243" i="33"/>
  <c r="L244" i="33"/>
  <c r="L245" i="33"/>
  <c r="L246" i="33"/>
  <c r="N247" i="33" s="1"/>
  <c r="O247" i="33" s="1"/>
  <c r="L247" i="33"/>
  <c r="L248" i="33"/>
  <c r="L249" i="33"/>
  <c r="L250" i="33"/>
  <c r="L251" i="33"/>
  <c r="L252" i="33"/>
  <c r="L253" i="33"/>
  <c r="L254" i="33"/>
  <c r="N255" i="33" s="1"/>
  <c r="O255" i="33" s="1"/>
  <c r="L255" i="33"/>
  <c r="L256" i="33"/>
  <c r="L257" i="33"/>
  <c r="L258" i="33"/>
  <c r="L259" i="33"/>
  <c r="L260" i="33"/>
  <c r="L261" i="33"/>
  <c r="L262" i="33"/>
  <c r="N374" i="33" s="1"/>
  <c r="O374" i="33" s="1"/>
  <c r="L263" i="33"/>
  <c r="L264" i="33"/>
  <c r="L265" i="33"/>
  <c r="L266" i="33"/>
  <c r="L267" i="33"/>
  <c r="L268" i="33"/>
  <c r="L269" i="33"/>
  <c r="L270" i="33"/>
  <c r="L271" i="33"/>
  <c r="L272" i="33"/>
  <c r="L273" i="33"/>
  <c r="L274" i="33"/>
  <c r="L275" i="33"/>
  <c r="L276" i="33"/>
  <c r="L277" i="33"/>
  <c r="L278" i="33"/>
  <c r="L279" i="33"/>
  <c r="L280" i="33"/>
  <c r="L281" i="33"/>
  <c r="L282" i="33"/>
  <c r="L283" i="33"/>
  <c r="L284" i="33"/>
  <c r="L285" i="33"/>
  <c r="L286" i="33"/>
  <c r="L287" i="33"/>
  <c r="L288" i="33"/>
  <c r="L289" i="33"/>
  <c r="L290" i="33"/>
  <c r="L291" i="33"/>
  <c r="L292" i="33"/>
  <c r="L293" i="33"/>
  <c r="L294" i="33"/>
  <c r="N295" i="33" s="1"/>
  <c r="O295" i="33" s="1"/>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N343" i="33" s="1"/>
  <c r="O343" i="33" s="1"/>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L393" i="33"/>
  <c r="L394" i="33"/>
  <c r="L395" i="33"/>
  <c r="L396" i="33"/>
  <c r="L397" i="33"/>
  <c r="L398" i="33"/>
  <c r="L399" i="33"/>
  <c r="L400" i="33"/>
  <c r="L401" i="33"/>
  <c r="L402" i="33"/>
  <c r="L403" i="33"/>
  <c r="L404" i="33"/>
  <c r="L405" i="33"/>
  <c r="L406" i="33"/>
  <c r="L407" i="33"/>
  <c r="L408" i="33"/>
  <c r="L409" i="33"/>
  <c r="L410" i="33"/>
  <c r="L411" i="33"/>
  <c r="L412" i="33"/>
  <c r="L413" i="33"/>
  <c r="L414" i="33"/>
  <c r="L415" i="33"/>
  <c r="L416" i="33"/>
  <c r="L417" i="33"/>
  <c r="L418" i="33"/>
  <c r="L419" i="33"/>
  <c r="L420" i="33"/>
  <c r="L421" i="33"/>
  <c r="L422" i="33"/>
  <c r="L423" i="33"/>
  <c r="L424" i="33"/>
  <c r="L425" i="33"/>
  <c r="L426" i="33"/>
  <c r="L427" i="33"/>
  <c r="L428" i="33"/>
  <c r="L429" i="33"/>
  <c r="L430" i="33"/>
  <c r="L431" i="33"/>
  <c r="L432" i="33"/>
  <c r="L433" i="33"/>
  <c r="L434" i="33"/>
  <c r="L435" i="33"/>
  <c r="L436" i="33"/>
  <c r="L437" i="33"/>
  <c r="L438" i="33"/>
  <c r="L439" i="33"/>
  <c r="L440" i="33"/>
  <c r="L441" i="33"/>
  <c r="L442" i="33"/>
  <c r="L443" i="33"/>
  <c r="L444" i="33"/>
  <c r="L445" i="33"/>
  <c r="L446" i="33"/>
  <c r="L447" i="33"/>
  <c r="L448" i="33"/>
  <c r="L449" i="33"/>
  <c r="L450" i="33"/>
  <c r="L451" i="33"/>
  <c r="L452" i="33"/>
  <c r="L453" i="33"/>
  <c r="L454" i="33"/>
  <c r="L455" i="33"/>
  <c r="L456" i="33"/>
  <c r="L457" i="33"/>
  <c r="L458" i="33"/>
  <c r="L459" i="33"/>
  <c r="L460" i="33"/>
  <c r="L461" i="33"/>
  <c r="L462"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O94" i="33" s="1"/>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O150" i="33" s="1"/>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O222" i="33" s="1"/>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O246" i="33" s="1"/>
  <c r="M247" i="33"/>
  <c r="M248" i="33"/>
  <c r="M249" i="33"/>
  <c r="M250" i="33"/>
  <c r="M251" i="33"/>
  <c r="M252" i="33"/>
  <c r="M253" i="33"/>
  <c r="M254" i="33"/>
  <c r="O254" i="33" s="1"/>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N7" i="33"/>
  <c r="N8" i="33"/>
  <c r="N9" i="33"/>
  <c r="N10" i="33"/>
  <c r="N11" i="33"/>
  <c r="N12" i="33"/>
  <c r="N14" i="33"/>
  <c r="O14" i="33" s="1"/>
  <c r="N15" i="33"/>
  <c r="N16" i="33"/>
  <c r="N17" i="33"/>
  <c r="N18" i="33"/>
  <c r="N19" i="33"/>
  <c r="N20" i="33"/>
  <c r="N22" i="33"/>
  <c r="O22" i="33" s="1"/>
  <c r="N23" i="33"/>
  <c r="N24" i="33"/>
  <c r="N25" i="33"/>
  <c r="N26" i="33"/>
  <c r="N27" i="33"/>
  <c r="N28" i="33"/>
  <c r="N29" i="33"/>
  <c r="N30" i="33"/>
  <c r="O30" i="33" s="1"/>
  <c r="N31" i="33"/>
  <c r="N32" i="33"/>
  <c r="N36" i="33"/>
  <c r="N37" i="33"/>
  <c r="N41" i="33"/>
  <c r="O41" i="33" s="1"/>
  <c r="N42" i="33"/>
  <c r="N43" i="33"/>
  <c r="N50" i="33"/>
  <c r="N51" i="33"/>
  <c r="N57" i="33"/>
  <c r="O57" i="33" s="1"/>
  <c r="N58" i="33"/>
  <c r="N59" i="33"/>
  <c r="N63" i="33"/>
  <c r="N64" i="33"/>
  <c r="N67" i="33"/>
  <c r="O67" i="33" s="1"/>
  <c r="N68" i="33"/>
  <c r="N80" i="33"/>
  <c r="N84" i="33"/>
  <c r="N86" i="33"/>
  <c r="O86" i="33" s="1"/>
  <c r="N93" i="33"/>
  <c r="N94" i="33"/>
  <c r="N101" i="33"/>
  <c r="N110" i="33"/>
  <c r="O110" i="33" s="1"/>
  <c r="N111" i="33"/>
  <c r="N112" i="33"/>
  <c r="N123" i="33"/>
  <c r="N124" i="33"/>
  <c r="N127" i="33"/>
  <c r="N128" i="33"/>
  <c r="N133" i="33"/>
  <c r="N146" i="33"/>
  <c r="N150" i="33"/>
  <c r="N162" i="33"/>
  <c r="O162" i="33" s="1"/>
  <c r="N163" i="33"/>
  <c r="N196" i="33"/>
  <c r="N198" i="33"/>
  <c r="O198" i="33" s="1"/>
  <c r="N208" i="33"/>
  <c r="N210" i="33"/>
  <c r="N211" i="33"/>
  <c r="N212" i="33"/>
  <c r="N213" i="33"/>
  <c r="N214" i="33"/>
  <c r="O214" i="33" s="1"/>
  <c r="N216" i="33"/>
  <c r="N217" i="33"/>
  <c r="N219" i="33"/>
  <c r="N220" i="33"/>
  <c r="N221" i="33"/>
  <c r="N222" i="33"/>
  <c r="N223" i="33"/>
  <c r="N224" i="33"/>
  <c r="N225" i="33"/>
  <c r="N226" i="33"/>
  <c r="N227" i="33"/>
  <c r="N228" i="33"/>
  <c r="N229" i="33"/>
  <c r="N231" i="33"/>
  <c r="O231" i="33" s="1"/>
  <c r="N232" i="33"/>
  <c r="N233" i="33"/>
  <c r="N234" i="33"/>
  <c r="N235" i="33"/>
  <c r="N236" i="33"/>
  <c r="N237" i="33"/>
  <c r="N241" i="33"/>
  <c r="O241" i="33" s="1"/>
  <c r="N242" i="33"/>
  <c r="N243" i="33"/>
  <c r="N244" i="33"/>
  <c r="N245" i="33"/>
  <c r="N246" i="33"/>
  <c r="N248" i="33"/>
  <c r="N249" i="33"/>
  <c r="N250" i="33"/>
  <c r="O250" i="33" s="1"/>
  <c r="N252" i="33"/>
  <c r="N253" i="33"/>
  <c r="N254" i="33"/>
  <c r="N256" i="33"/>
  <c r="N257" i="33"/>
  <c r="N260" i="33"/>
  <c r="N262" i="33"/>
  <c r="N263" i="33"/>
  <c r="O263" i="33" s="1"/>
  <c r="N266" i="33"/>
  <c r="N267" i="33"/>
  <c r="N268" i="33"/>
  <c r="N272" i="33"/>
  <c r="N273" i="33"/>
  <c r="N275" i="33"/>
  <c r="N278" i="33"/>
  <c r="O278" i="33" s="1"/>
  <c r="N280" i="33"/>
  <c r="N282" i="33"/>
  <c r="N283" i="33"/>
  <c r="N284" i="33"/>
  <c r="N286" i="33"/>
  <c r="N291" i="33"/>
  <c r="N292" i="33"/>
  <c r="N293" i="33"/>
  <c r="O293" i="33" s="1"/>
  <c r="N294" i="33"/>
  <c r="N298" i="33"/>
  <c r="N299" i="33"/>
  <c r="N302" i="33"/>
  <c r="N303" i="33"/>
  <c r="O303" i="33" s="1"/>
  <c r="N310" i="33"/>
  <c r="N312" i="33"/>
  <c r="N313" i="33"/>
  <c r="O313" i="33" s="1"/>
  <c r="N314" i="33"/>
  <c r="N318" i="33"/>
  <c r="N323" i="33"/>
  <c r="N324" i="33"/>
  <c r="N330" i="33"/>
  <c r="N331" i="33"/>
  <c r="N334" i="33"/>
  <c r="O334" i="33" s="1"/>
  <c r="N342" i="33"/>
  <c r="O342" i="33" s="1"/>
  <c r="N352" i="33"/>
  <c r="N358" i="33"/>
  <c r="N359" i="33"/>
  <c r="N366" i="33"/>
  <c r="N382" i="33"/>
  <c r="O382" i="33" s="1"/>
  <c r="N383" i="33"/>
  <c r="O383" i="33" s="1"/>
  <c r="N388" i="33"/>
  <c r="N390" i="33"/>
  <c r="N398" i="33"/>
  <c r="N406" i="33"/>
  <c r="N408" i="33"/>
  <c r="O408" i="33" s="1"/>
  <c r="N409" i="33"/>
  <c r="N414" i="33"/>
  <c r="O414" i="33" s="1"/>
  <c r="N415" i="33"/>
  <c r="N416" i="33"/>
  <c r="O416" i="33" s="1"/>
  <c r="N437" i="33"/>
  <c r="O437" i="33" s="1"/>
  <c r="N438" i="33"/>
  <c r="N444" i="33"/>
  <c r="O444" i="33" s="1"/>
  <c r="N446" i="33"/>
  <c r="N454" i="33"/>
  <c r="N456" i="33"/>
  <c r="N462" i="33"/>
  <c r="O7" i="33"/>
  <c r="O8" i="33"/>
  <c r="O9" i="33"/>
  <c r="O10" i="33"/>
  <c r="O11" i="33"/>
  <c r="O12" i="33"/>
  <c r="O15" i="33"/>
  <c r="O16" i="33"/>
  <c r="O17" i="33"/>
  <c r="O18" i="33"/>
  <c r="O19" i="33"/>
  <c r="O20" i="33"/>
  <c r="O23" i="33"/>
  <c r="O24" i="33"/>
  <c r="O25" i="33"/>
  <c r="O26" i="33"/>
  <c r="O27" i="33"/>
  <c r="O28" i="33"/>
  <c r="O29" i="33"/>
  <c r="O31" i="33"/>
  <c r="O32" i="33"/>
  <c r="O36" i="33"/>
  <c r="O37" i="33"/>
  <c r="O42" i="33"/>
  <c r="O43" i="33"/>
  <c r="O50" i="33"/>
  <c r="O51" i="33"/>
  <c r="O58" i="33"/>
  <c r="O59" i="33"/>
  <c r="O63" i="33"/>
  <c r="O64" i="33"/>
  <c r="O68" i="33"/>
  <c r="O80" i="33"/>
  <c r="O84" i="33"/>
  <c r="O93" i="33"/>
  <c r="O101" i="33"/>
  <c r="O111" i="33"/>
  <c r="O112" i="33"/>
  <c r="O123" i="33"/>
  <c r="O124" i="33"/>
  <c r="O127" i="33"/>
  <c r="O128" i="33"/>
  <c r="O133" i="33"/>
  <c r="O146" i="33"/>
  <c r="O163" i="33"/>
  <c r="O196" i="33"/>
  <c r="O208" i="33"/>
  <c r="O210" i="33"/>
  <c r="O211" i="33"/>
  <c r="O212" i="33"/>
  <c r="O213" i="33"/>
  <c r="O216" i="33"/>
  <c r="O217" i="33"/>
  <c r="O219" i="33"/>
  <c r="O220" i="33"/>
  <c r="O221" i="33"/>
  <c r="O223" i="33"/>
  <c r="O224" i="33"/>
  <c r="O225" i="33"/>
  <c r="O226" i="33"/>
  <c r="O227" i="33"/>
  <c r="O228" i="33"/>
  <c r="O229" i="33"/>
  <c r="O232" i="33"/>
  <c r="O233" i="33"/>
  <c r="O234" i="33"/>
  <c r="O235" i="33"/>
  <c r="O236" i="33"/>
  <c r="O237" i="33"/>
  <c r="O242" i="33"/>
  <c r="O243" i="33"/>
  <c r="O244" i="33"/>
  <c r="O245" i="33"/>
  <c r="O248" i="33"/>
  <c r="O249" i="33"/>
  <c r="O252" i="33"/>
  <c r="O253" i="33"/>
  <c r="O256" i="33"/>
  <c r="O257" i="33"/>
  <c r="O260" i="33"/>
  <c r="O266" i="33"/>
  <c r="O267" i="33"/>
  <c r="O268" i="33"/>
  <c r="O272" i="33"/>
  <c r="O273" i="33"/>
  <c r="O275" i="33"/>
  <c r="O280" i="33"/>
  <c r="O282" i="33"/>
  <c r="O283" i="33"/>
  <c r="O284" i="33"/>
  <c r="O291" i="33"/>
  <c r="O292" i="33"/>
  <c r="O294" i="33"/>
  <c r="O298" i="33"/>
  <c r="O299" i="33"/>
  <c r="O312" i="33"/>
  <c r="O314" i="33"/>
  <c r="O318" i="33"/>
  <c r="O323" i="33"/>
  <c r="O324" i="33"/>
  <c r="O330" i="33"/>
  <c r="O331" i="33"/>
  <c r="O352" i="33"/>
  <c r="O359" i="33"/>
  <c r="O388" i="33"/>
  <c r="O409" i="33"/>
  <c r="O415" i="33"/>
  <c r="O45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Q7" i="33"/>
  <c r="Q8" i="33"/>
  <c r="Q9" i="33"/>
  <c r="Q10" i="33"/>
  <c r="Q11" i="33"/>
  <c r="Q12" i="33"/>
  <c r="Q13" i="33"/>
  <c r="Q14" i="33"/>
  <c r="Q15" i="33"/>
  <c r="Q16" i="33"/>
  <c r="Q17" i="33"/>
  <c r="Q18" i="33"/>
  <c r="Q19" i="33"/>
  <c r="Q20" i="33"/>
  <c r="Q21" i="33"/>
  <c r="Q22" i="33"/>
  <c r="Q23" i="33"/>
  <c r="Q24" i="33"/>
  <c r="Q25" i="33"/>
  <c r="Q26" i="33"/>
  <c r="Q27" i="33"/>
  <c r="Q28" i="33"/>
  <c r="Q29" i="33"/>
  <c r="Q30" i="33"/>
  <c r="Q31" i="33"/>
  <c r="Q32" i="33"/>
  <c r="Q33" i="33"/>
  <c r="Q34" i="33"/>
  <c r="Q35" i="33"/>
  <c r="Q36" i="33"/>
  <c r="Q37" i="33"/>
  <c r="Q38" i="33"/>
  <c r="Q39" i="33"/>
  <c r="Q40" i="33"/>
  <c r="Q41" i="33"/>
  <c r="Q42" i="33"/>
  <c r="Q43" i="33"/>
  <c r="Q44" i="33"/>
  <c r="Q45" i="33"/>
  <c r="Q46" i="33"/>
  <c r="Q47" i="33"/>
  <c r="Q48" i="33"/>
  <c r="Q49" i="33"/>
  <c r="Q50" i="33"/>
  <c r="Q51" i="33"/>
  <c r="Q52" i="33"/>
  <c r="Q53" i="33"/>
  <c r="Q54" i="33"/>
  <c r="Q55" i="33"/>
  <c r="Q56" i="33"/>
  <c r="Q57" i="33"/>
  <c r="Q58" i="33"/>
  <c r="Q59" i="33"/>
  <c r="Q60" i="33"/>
  <c r="Q61" i="33"/>
  <c r="Q62" i="33"/>
  <c r="Q63" i="33"/>
  <c r="Q64" i="33"/>
  <c r="Q65" i="33"/>
  <c r="Q66" i="33"/>
  <c r="Q67" i="33"/>
  <c r="Q68" i="33"/>
  <c r="Q69" i="33"/>
  <c r="Q70" i="33"/>
  <c r="Q71" i="33"/>
  <c r="Q72" i="33"/>
  <c r="Q73" i="33"/>
  <c r="Q74" i="33"/>
  <c r="Q75" i="33"/>
  <c r="Q76" i="33"/>
  <c r="Q77" i="33"/>
  <c r="Q78" i="33"/>
  <c r="Q79" i="33"/>
  <c r="Q80" i="33"/>
  <c r="Q81" i="33"/>
  <c r="Q82" i="33"/>
  <c r="Q83" i="33"/>
  <c r="Q84" i="33"/>
  <c r="Q85" i="33"/>
  <c r="Q86" i="33"/>
  <c r="Q87" i="33"/>
  <c r="Q88" i="33"/>
  <c r="Q89" i="33"/>
  <c r="Q90" i="33"/>
  <c r="Q91" i="33"/>
  <c r="Q92" i="33"/>
  <c r="Q93" i="33"/>
  <c r="Q94" i="33"/>
  <c r="Q95" i="33"/>
  <c r="Q96" i="33"/>
  <c r="Q97" i="33"/>
  <c r="Q98" i="33"/>
  <c r="Q99" i="33"/>
  <c r="Q100" i="33"/>
  <c r="Q101" i="33"/>
  <c r="Q102" i="33"/>
  <c r="Q103" i="33"/>
  <c r="Q104" i="33"/>
  <c r="Q105" i="33"/>
  <c r="Q106" i="33"/>
  <c r="Q107" i="33"/>
  <c r="Q108" i="33"/>
  <c r="Q109" i="33"/>
  <c r="Q110" i="33"/>
  <c r="Q111" i="33"/>
  <c r="Q112" i="33"/>
  <c r="Q113" i="33"/>
  <c r="Q114" i="33"/>
  <c r="Q115" i="33"/>
  <c r="Q116" i="33"/>
  <c r="Q117" i="33"/>
  <c r="Q118" i="33"/>
  <c r="Q119" i="33"/>
  <c r="Q120" i="33"/>
  <c r="Q121" i="33"/>
  <c r="Q122" i="33"/>
  <c r="Q123" i="33"/>
  <c r="Q124" i="33"/>
  <c r="Q125" i="33"/>
  <c r="Q126" i="33"/>
  <c r="Q127" i="33"/>
  <c r="Q128" i="33"/>
  <c r="Q129" i="33"/>
  <c r="Q130" i="33"/>
  <c r="Q131" i="33"/>
  <c r="Q132" i="33"/>
  <c r="Q133" i="33"/>
  <c r="Q134" i="33"/>
  <c r="Q135" i="33"/>
  <c r="Q136" i="33"/>
  <c r="Q137" i="33"/>
  <c r="Q138" i="33"/>
  <c r="Q139" i="33"/>
  <c r="Q140" i="33"/>
  <c r="Q141" i="33"/>
  <c r="Q142" i="33"/>
  <c r="Q143" i="33"/>
  <c r="Q144" i="33"/>
  <c r="Q145" i="33"/>
  <c r="Q146" i="33"/>
  <c r="Q147" i="33"/>
  <c r="Q148" i="33"/>
  <c r="Q149" i="33"/>
  <c r="Q150" i="33"/>
  <c r="Q151" i="33"/>
  <c r="Q152" i="33"/>
  <c r="Q153" i="33"/>
  <c r="Q154" i="33"/>
  <c r="Q155" i="33"/>
  <c r="Q156" i="33"/>
  <c r="Q157" i="33"/>
  <c r="Q158" i="33"/>
  <c r="Q159" i="33"/>
  <c r="Q160" i="33"/>
  <c r="Q161" i="33"/>
  <c r="Q162" i="33"/>
  <c r="Q163" i="33"/>
  <c r="Q164" i="33"/>
  <c r="Q165" i="33"/>
  <c r="Q166" i="33"/>
  <c r="Q167" i="33"/>
  <c r="Q168" i="33"/>
  <c r="Q169" i="33"/>
  <c r="Q170" i="33"/>
  <c r="Q171" i="33"/>
  <c r="Q172" i="33"/>
  <c r="Q173" i="33"/>
  <c r="Q174" i="33"/>
  <c r="Q175" i="33"/>
  <c r="Q176" i="33"/>
  <c r="Q177" i="33"/>
  <c r="Q178" i="33"/>
  <c r="Q179" i="33"/>
  <c r="Q180" i="33"/>
  <c r="Q181" i="33"/>
  <c r="Q182" i="33"/>
  <c r="Q183" i="33"/>
  <c r="Q184" i="33"/>
  <c r="Q185" i="33"/>
  <c r="Q186" i="33"/>
  <c r="Q187" i="33"/>
  <c r="Q188" i="33"/>
  <c r="Q189" i="33"/>
  <c r="Q190" i="33"/>
  <c r="Q191" i="33"/>
  <c r="Q192" i="33"/>
  <c r="Q193" i="33"/>
  <c r="Q194" i="33"/>
  <c r="Q195" i="33"/>
  <c r="Q196" i="33"/>
  <c r="Q197" i="33"/>
  <c r="Q198" i="33"/>
  <c r="Q199" i="33"/>
  <c r="Q200" i="33"/>
  <c r="Q201" i="33"/>
  <c r="Q202" i="33"/>
  <c r="Q203" i="33"/>
  <c r="Q204" i="33"/>
  <c r="Q205" i="33"/>
  <c r="Q206" i="33"/>
  <c r="Q207" i="33"/>
  <c r="Q208" i="33"/>
  <c r="Q209" i="33"/>
  <c r="Q210" i="33"/>
  <c r="Q211" i="33"/>
  <c r="Q212" i="33"/>
  <c r="Q213" i="33"/>
  <c r="Q214" i="33"/>
  <c r="Q215" i="33"/>
  <c r="Q216" i="33"/>
  <c r="Q217" i="33"/>
  <c r="Q218" i="33"/>
  <c r="Q219" i="33"/>
  <c r="Q220" i="33"/>
  <c r="Q221" i="33"/>
  <c r="Q222" i="33"/>
  <c r="Q223" i="33"/>
  <c r="Q224" i="33"/>
  <c r="Q225" i="33"/>
  <c r="Q226" i="33"/>
  <c r="Q227" i="33"/>
  <c r="Q228" i="33"/>
  <c r="Q229" i="33"/>
  <c r="Q230" i="33"/>
  <c r="Q231" i="33"/>
  <c r="Q232" i="33"/>
  <c r="Q233" i="33"/>
  <c r="Q234" i="33"/>
  <c r="Q235" i="33"/>
  <c r="Q236" i="33"/>
  <c r="Q237" i="33"/>
  <c r="Q238" i="33"/>
  <c r="Q239" i="33"/>
  <c r="Q240" i="33"/>
  <c r="Q241" i="33"/>
  <c r="Q242" i="33"/>
  <c r="Q243" i="33"/>
  <c r="Q244" i="33"/>
  <c r="Q245" i="33"/>
  <c r="Q246" i="33"/>
  <c r="Q247" i="33"/>
  <c r="Q248" i="33"/>
  <c r="Q249" i="33"/>
  <c r="Q250" i="33"/>
  <c r="Q251" i="33"/>
  <c r="Q252" i="33"/>
  <c r="Q253" i="33"/>
  <c r="Q254" i="33"/>
  <c r="Q255" i="33"/>
  <c r="Q256" i="33"/>
  <c r="Q257" i="33"/>
  <c r="Q258" i="33"/>
  <c r="Q259" i="33"/>
  <c r="Q260" i="33"/>
  <c r="Q261" i="33"/>
  <c r="Q262" i="33"/>
  <c r="Q263" i="33"/>
  <c r="Q264" i="33"/>
  <c r="Q265" i="33"/>
  <c r="Q266" i="33"/>
  <c r="Q267" i="33"/>
  <c r="Q268" i="33"/>
  <c r="Q269" i="33"/>
  <c r="Q270" i="33"/>
  <c r="Q271" i="33"/>
  <c r="Q272" i="33"/>
  <c r="Q273" i="33"/>
  <c r="Q274" i="33"/>
  <c r="Q275" i="33"/>
  <c r="Q276" i="33"/>
  <c r="Q277" i="33"/>
  <c r="Q278" i="33"/>
  <c r="Q279" i="33"/>
  <c r="Q280" i="33"/>
  <c r="Q281" i="33"/>
  <c r="Q282" i="33"/>
  <c r="Q283" i="33"/>
  <c r="Q284" i="33"/>
  <c r="Q285" i="33"/>
  <c r="Q286" i="33"/>
  <c r="Q287" i="33"/>
  <c r="Q288" i="33"/>
  <c r="Q289" i="33"/>
  <c r="Q290" i="33"/>
  <c r="Q291" i="33"/>
  <c r="Q292" i="33"/>
  <c r="Q293" i="33"/>
  <c r="Q294" i="33"/>
  <c r="Q295" i="33"/>
  <c r="Q296" i="33"/>
  <c r="Q297" i="33"/>
  <c r="Q298" i="33"/>
  <c r="Q299" i="33"/>
  <c r="Q300" i="33"/>
  <c r="Q301" i="33"/>
  <c r="Q302" i="33"/>
  <c r="Q303" i="33"/>
  <c r="Q304" i="33"/>
  <c r="Q305" i="33"/>
  <c r="Q306" i="33"/>
  <c r="Q307" i="33"/>
  <c r="Q308" i="33"/>
  <c r="Q309" i="33"/>
  <c r="Q310" i="33"/>
  <c r="Q311" i="33"/>
  <c r="Q312" i="33"/>
  <c r="Q313" i="33"/>
  <c r="Q314" i="33"/>
  <c r="Q315" i="33"/>
  <c r="Q316" i="33"/>
  <c r="Q317" i="33"/>
  <c r="Q318" i="33"/>
  <c r="Q319" i="33"/>
  <c r="Q320" i="33"/>
  <c r="Q321" i="33"/>
  <c r="Q322" i="33"/>
  <c r="Q323" i="33"/>
  <c r="Q324" i="33"/>
  <c r="Q325" i="33"/>
  <c r="Q326" i="33"/>
  <c r="Q327" i="33"/>
  <c r="Q328" i="33"/>
  <c r="Q329" i="33"/>
  <c r="Q330" i="33"/>
  <c r="Q331" i="33"/>
  <c r="Q332" i="33"/>
  <c r="Q333" i="33"/>
  <c r="Q334" i="33"/>
  <c r="Q335" i="33"/>
  <c r="Q336" i="33"/>
  <c r="Q337" i="33"/>
  <c r="Q338" i="33"/>
  <c r="Q339" i="33"/>
  <c r="Q340" i="33"/>
  <c r="Q341" i="33"/>
  <c r="Q342" i="33"/>
  <c r="Q343" i="33"/>
  <c r="Q344" i="33"/>
  <c r="Q345" i="33"/>
  <c r="Q346" i="33"/>
  <c r="Q347" i="33"/>
  <c r="Q348" i="33"/>
  <c r="Q349" i="33"/>
  <c r="Q350" i="33"/>
  <c r="Q351" i="33"/>
  <c r="Q352" i="33"/>
  <c r="Q353" i="33"/>
  <c r="Q354" i="33"/>
  <c r="Q355" i="33"/>
  <c r="Q356" i="33"/>
  <c r="Q357" i="33"/>
  <c r="Q358" i="33"/>
  <c r="Q359" i="33"/>
  <c r="Q360" i="33"/>
  <c r="Q361" i="33"/>
  <c r="Q362" i="33"/>
  <c r="Q363" i="33"/>
  <c r="Q364" i="33"/>
  <c r="Q365" i="33"/>
  <c r="Q366" i="33"/>
  <c r="Q367" i="33"/>
  <c r="Q368" i="33"/>
  <c r="Q369" i="33"/>
  <c r="Q370" i="33"/>
  <c r="Q371" i="33"/>
  <c r="Q372" i="33"/>
  <c r="Q373" i="33"/>
  <c r="Q374" i="33"/>
  <c r="Q375" i="33"/>
  <c r="Q376" i="33"/>
  <c r="Q377" i="33"/>
  <c r="Q378" i="33"/>
  <c r="Q379" i="33"/>
  <c r="Q380" i="33"/>
  <c r="Q381" i="33"/>
  <c r="Q382" i="33"/>
  <c r="Q383" i="33"/>
  <c r="Q384" i="33"/>
  <c r="Q385" i="33"/>
  <c r="Q386" i="33"/>
  <c r="Q387" i="33"/>
  <c r="Q388" i="33"/>
  <c r="Q389" i="33"/>
  <c r="Q390" i="33"/>
  <c r="Q391" i="33"/>
  <c r="Q392" i="33"/>
  <c r="Q393" i="33"/>
  <c r="Q394" i="33"/>
  <c r="Q395" i="33"/>
  <c r="Q396" i="33"/>
  <c r="Q397" i="33"/>
  <c r="Q398" i="33"/>
  <c r="Q399" i="33"/>
  <c r="Q400" i="33"/>
  <c r="Q401" i="33"/>
  <c r="Q402" i="33"/>
  <c r="Q403" i="33"/>
  <c r="Q404" i="33"/>
  <c r="Q405" i="33"/>
  <c r="Q406" i="33"/>
  <c r="Q407" i="33"/>
  <c r="Q408" i="33"/>
  <c r="Q409" i="33"/>
  <c r="Q410" i="33"/>
  <c r="Q411" i="33"/>
  <c r="Q412" i="33"/>
  <c r="Q413" i="33"/>
  <c r="Q414" i="33"/>
  <c r="Q415" i="33"/>
  <c r="Q416" i="33"/>
  <c r="Q417" i="33"/>
  <c r="Q418" i="33"/>
  <c r="Q419" i="33"/>
  <c r="Q420" i="33"/>
  <c r="Q421" i="33"/>
  <c r="Q422" i="33"/>
  <c r="Q423" i="33"/>
  <c r="Q424" i="33"/>
  <c r="Q425" i="33"/>
  <c r="Q426" i="33"/>
  <c r="Q427" i="33"/>
  <c r="Q428" i="33"/>
  <c r="Q429" i="33"/>
  <c r="Q430" i="33"/>
  <c r="Q431" i="33"/>
  <c r="Q432" i="33"/>
  <c r="Q433" i="33"/>
  <c r="Q434" i="33"/>
  <c r="Q435" i="33"/>
  <c r="Q436" i="33"/>
  <c r="Q437" i="33"/>
  <c r="Q438" i="33"/>
  <c r="Q439" i="33"/>
  <c r="Q440" i="33"/>
  <c r="Q441" i="33"/>
  <c r="Q442" i="33"/>
  <c r="Q443" i="33"/>
  <c r="Q444" i="33"/>
  <c r="Q445" i="33"/>
  <c r="Q446" i="33"/>
  <c r="Q447" i="33"/>
  <c r="Q448" i="33"/>
  <c r="Q449" i="33"/>
  <c r="Q450" i="33"/>
  <c r="Q451" i="33"/>
  <c r="Q452" i="33"/>
  <c r="Q453" i="33"/>
  <c r="Q454" i="33"/>
  <c r="Q455" i="33"/>
  <c r="Q456" i="33"/>
  <c r="Q457" i="33"/>
  <c r="Q458" i="33"/>
  <c r="Q459" i="33"/>
  <c r="Q460" i="33"/>
  <c r="Q461" i="33"/>
  <c r="Q462" i="33"/>
  <c r="AO2" i="41"/>
  <c r="AM2" i="41" s="1"/>
  <c r="AO3" i="41"/>
  <c r="AM3" i="41" s="1"/>
  <c r="AO4" i="41"/>
  <c r="AM4" i="41" s="1"/>
  <c r="AO5" i="41"/>
  <c r="AM5" i="41" s="1"/>
  <c r="AO6" i="41"/>
  <c r="AM6" i="41" s="1"/>
  <c r="AO7" i="41"/>
  <c r="AM7" i="41" s="1"/>
  <c r="AO9" i="41"/>
  <c r="AM9" i="41" s="1"/>
  <c r="AO10" i="41"/>
  <c r="AM10" i="41" s="1"/>
  <c r="AO11" i="41"/>
  <c r="AM11" i="41" s="1"/>
  <c r="AO12" i="41"/>
  <c r="AM12" i="41" s="1"/>
  <c r="AO13" i="41"/>
  <c r="AM13" i="41" s="1"/>
  <c r="AO14" i="41"/>
  <c r="AM14" i="41" s="1"/>
  <c r="AO15" i="41"/>
  <c r="AM15" i="41" s="1"/>
  <c r="AO16" i="41"/>
  <c r="AM16" i="41" s="1"/>
  <c r="AO17" i="41"/>
  <c r="AM17" i="41" s="1"/>
  <c r="AO18" i="41"/>
  <c r="AM18" i="41" s="1"/>
  <c r="AO19" i="41"/>
  <c r="AM19" i="41" s="1"/>
  <c r="AO20" i="41"/>
  <c r="AM20" i="41" s="1"/>
  <c r="AO21" i="41"/>
  <c r="AM21" i="41" s="1"/>
  <c r="AO23" i="41"/>
  <c r="AM23" i="41" s="1"/>
  <c r="AO24" i="41"/>
  <c r="AM24" i="41" s="1"/>
  <c r="AO25" i="41"/>
  <c r="AM25" i="41" s="1"/>
  <c r="AO26" i="41"/>
  <c r="AM26" i="41" s="1"/>
  <c r="AO27" i="41"/>
  <c r="AM27" i="41" s="1"/>
  <c r="AO28" i="41"/>
  <c r="AM28" i="41" s="1"/>
  <c r="AO29" i="41"/>
  <c r="AM29" i="41" s="1"/>
  <c r="AO30" i="41"/>
  <c r="AM30" i="41" s="1"/>
  <c r="AO32" i="41"/>
  <c r="AM32" i="41" s="1"/>
  <c r="AO33" i="41"/>
  <c r="AO34" i="41" s="1"/>
  <c r="AM34" i="41" s="1"/>
  <c r="AO35" i="41"/>
  <c r="AM35" i="41" s="1"/>
  <c r="AO36" i="41"/>
  <c r="AM36" i="41" s="1"/>
  <c r="AO37" i="41"/>
  <c r="AM37" i="41" s="1"/>
  <c r="AO38" i="41"/>
  <c r="AM38" i="41" s="1"/>
  <c r="AO39" i="41"/>
  <c r="AM39" i="41" s="1"/>
  <c r="AO40" i="41"/>
  <c r="AM40" i="41" s="1"/>
  <c r="AO41" i="41"/>
  <c r="AO42" i="41" s="1"/>
  <c r="AO44" i="41"/>
  <c r="AM44" i="41" s="1"/>
  <c r="AO45" i="41"/>
  <c r="AM45" i="41" s="1"/>
  <c r="AO46" i="41"/>
  <c r="AM46" i="41" s="1"/>
  <c r="AO47" i="41"/>
  <c r="AM47" i="41" s="1"/>
  <c r="AO48" i="41"/>
  <c r="AM48" i="41" s="1"/>
  <c r="AO49" i="41"/>
  <c r="AM49" i="41" s="1"/>
  <c r="AO50" i="41"/>
  <c r="AM50" i="41" s="1"/>
  <c r="AO51" i="41"/>
  <c r="AM51" i="41" s="1"/>
  <c r="AO52" i="41"/>
  <c r="AM52" i="41" s="1"/>
  <c r="AO53" i="41"/>
  <c r="AM53" i="41" s="1"/>
  <c r="AO54" i="41"/>
  <c r="AM54" i="41" s="1"/>
  <c r="AO55" i="41"/>
  <c r="AM55" i="41" s="1"/>
  <c r="AO56" i="41"/>
  <c r="AM56" i="41" s="1"/>
  <c r="AO57" i="41"/>
  <c r="AM57" i="41" s="1"/>
  <c r="AO58" i="41"/>
  <c r="AM58" i="41" s="1"/>
  <c r="AO59" i="41"/>
  <c r="AM59" i="41" s="1"/>
  <c r="AO60" i="41"/>
  <c r="AM60" i="41" s="1"/>
  <c r="AO61" i="41"/>
  <c r="AM61" i="41" s="1"/>
  <c r="AO62" i="41"/>
  <c r="AM62" i="41" s="1"/>
  <c r="AO63" i="41"/>
  <c r="AM63" i="41" s="1"/>
  <c r="AO64" i="41"/>
  <c r="AM64" i="41" s="1"/>
  <c r="AO65" i="41"/>
  <c r="AM65" i="41" s="1"/>
  <c r="AO66" i="41"/>
  <c r="AM66" i="41" s="1"/>
  <c r="AO71" i="41"/>
  <c r="AM71" i="41" s="1"/>
  <c r="AO72" i="41"/>
  <c r="AM72" i="41" s="1"/>
  <c r="AO73" i="41"/>
  <c r="AM73" i="41" s="1"/>
  <c r="AO74" i="41"/>
  <c r="AM74" i="41" s="1"/>
  <c r="AO75" i="41"/>
  <c r="AM75" i="41" s="1"/>
  <c r="AO76" i="41"/>
  <c r="AM76" i="41" s="1"/>
  <c r="AO78" i="41"/>
  <c r="AM78" i="41" s="1"/>
  <c r="AO79" i="41"/>
  <c r="AM79" i="41" s="1"/>
  <c r="AO80" i="41"/>
  <c r="AM80" i="41" s="1"/>
  <c r="AO81" i="41"/>
  <c r="AM81" i="41" s="1"/>
  <c r="AO82" i="41"/>
  <c r="AM82" i="41" s="1"/>
  <c r="AO83" i="41"/>
  <c r="AM83" i="41" s="1"/>
  <c r="AO84" i="41"/>
  <c r="AM84" i="41" s="1"/>
  <c r="AO85" i="41"/>
  <c r="AM85" i="41" s="1"/>
  <c r="AO86" i="41"/>
  <c r="AM86" i="41" s="1"/>
  <c r="AO87" i="41"/>
  <c r="AM87" i="41" s="1"/>
  <c r="AO88" i="41"/>
  <c r="AM88" i="41" s="1"/>
  <c r="AO89" i="41"/>
  <c r="AM89" i="41" s="1"/>
  <c r="AO90" i="41"/>
  <c r="AM90" i="41" s="1"/>
  <c r="AO91" i="41"/>
  <c r="AM91" i="41" s="1"/>
  <c r="AO92" i="41"/>
  <c r="AM92" i="41" s="1"/>
  <c r="AO93" i="41"/>
  <c r="AM93" i="41" s="1"/>
  <c r="AO94" i="41"/>
  <c r="AM94" i="41" s="1"/>
  <c r="AO96" i="41"/>
  <c r="AM96" i="41" s="1"/>
  <c r="AO97" i="41"/>
  <c r="AM97" i="41" s="1"/>
  <c r="AO98" i="41"/>
  <c r="AM98" i="41" s="1"/>
  <c r="AO99" i="41"/>
  <c r="AM99" i="41" s="1"/>
  <c r="AO100" i="41"/>
  <c r="AM100" i="41" s="1"/>
  <c r="AO101" i="41"/>
  <c r="AM101" i="41" s="1"/>
  <c r="AO102" i="41"/>
  <c r="AM102" i="41" s="1"/>
  <c r="AO103" i="41"/>
  <c r="AM103" i="41" s="1"/>
  <c r="AO104" i="41"/>
  <c r="AM104" i="41" s="1"/>
  <c r="AO105" i="41"/>
  <c r="AM105" i="41" s="1"/>
  <c r="AO106" i="41"/>
  <c r="AM106" i="41" s="1"/>
  <c r="AO107" i="41"/>
  <c r="AM107" i="41" s="1"/>
  <c r="AO108" i="41"/>
  <c r="AM108" i="41" s="1"/>
  <c r="AO111" i="41"/>
  <c r="AM111" i="41" s="1"/>
  <c r="AO112" i="41"/>
  <c r="AM112" i="41" s="1"/>
  <c r="AO113" i="41"/>
  <c r="AM113" i="41" s="1"/>
  <c r="AO114" i="41"/>
  <c r="AM114" i="41" s="1"/>
  <c r="AO115" i="41"/>
  <c r="AM115" i="41" s="1"/>
  <c r="AO116" i="41"/>
  <c r="AM116" i="41" s="1"/>
  <c r="AO117" i="41"/>
  <c r="AM117" i="41" s="1"/>
  <c r="AO118" i="41"/>
  <c r="AM118" i="41" s="1"/>
  <c r="AO119" i="41"/>
  <c r="AM119" i="41" s="1"/>
  <c r="AO120" i="41"/>
  <c r="AM120"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8" i="41"/>
  <c r="AM138" i="41" s="1"/>
  <c r="AO139" i="41"/>
  <c r="AM139" i="41" s="1"/>
  <c r="AO140" i="41"/>
  <c r="AM140" i="41" s="1"/>
  <c r="AO141" i="41"/>
  <c r="AM141" i="41" s="1"/>
  <c r="AO142" i="41"/>
  <c r="AM142" i="41" s="1"/>
  <c r="AO144" i="41"/>
  <c r="AM144" i="41" s="1"/>
  <c r="AO145" i="41"/>
  <c r="AM145" i="41" s="1"/>
  <c r="AO146" i="41"/>
  <c r="AM146" i="41" s="1"/>
  <c r="AO147" i="41"/>
  <c r="AM147" i="41" s="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M157" i="41" s="1"/>
  <c r="AO158" i="41"/>
  <c r="AM158" i="41" s="1"/>
  <c r="AO159" i="41"/>
  <c r="AM159" i="41" s="1"/>
  <c r="AO161" i="41"/>
  <c r="AM161" i="41" s="1"/>
  <c r="AO162" i="41"/>
  <c r="AM162" i="41" s="1"/>
  <c r="AO163" i="41"/>
  <c r="AM163" i="41" s="1"/>
  <c r="AO164" i="41"/>
  <c r="AM164" i="41" s="1"/>
  <c r="AO165" i="41"/>
  <c r="AM165" i="41" s="1"/>
  <c r="AO166" i="41"/>
  <c r="AM166" i="41" s="1"/>
  <c r="AO167" i="41"/>
  <c r="AM167" i="41" s="1"/>
  <c r="AO168" i="41"/>
  <c r="AM168" i="41" s="1"/>
  <c r="AO169" i="41"/>
  <c r="AM169" i="41" s="1"/>
  <c r="AO170" i="41"/>
  <c r="AM170" i="41" s="1"/>
  <c r="AO171" i="41"/>
  <c r="AM171" i="41" s="1"/>
  <c r="AO172" i="41"/>
  <c r="AM172" i="41" s="1"/>
  <c r="AO173" i="41"/>
  <c r="AM173" i="41" s="1"/>
  <c r="AO174" i="41"/>
  <c r="AO178" i="41"/>
  <c r="AM178" i="41" s="1"/>
  <c r="AO179" i="41"/>
  <c r="AM179" i="41" s="1"/>
  <c r="AO180" i="41"/>
  <c r="AM180" i="41" s="1"/>
  <c r="AO181" i="41"/>
  <c r="AM181" i="41" s="1"/>
  <c r="AO182" i="41"/>
  <c r="AM182" i="41" s="1"/>
  <c r="AO183" i="41"/>
  <c r="AM183" i="41" s="1"/>
  <c r="AO184" i="41"/>
  <c r="AM184" i="41" s="1"/>
  <c r="AO185" i="41"/>
  <c r="AM185" i="41" s="1"/>
  <c r="AO186" i="41"/>
  <c r="AM186" i="41" s="1"/>
  <c r="AO187" i="41"/>
  <c r="AM187" i="41" s="1"/>
  <c r="AO188" i="41"/>
  <c r="AM188" i="41" s="1"/>
  <c r="AO189" i="41"/>
  <c r="AM189" i="41" s="1"/>
  <c r="AO190" i="41"/>
  <c r="AM190" i="41" s="1"/>
  <c r="AO191" i="41"/>
  <c r="AM191" i="41" s="1"/>
  <c r="AO192" i="41"/>
  <c r="AM192" i="41" s="1"/>
  <c r="AO193" i="41"/>
  <c r="AM193" i="41" s="1"/>
  <c r="AO194" i="41"/>
  <c r="AM194" i="41" s="1"/>
  <c r="AO195" i="41"/>
  <c r="AM195" i="41" s="1"/>
  <c r="AO196" i="41"/>
  <c r="AM196" i="41" s="1"/>
  <c r="AO197" i="41"/>
  <c r="AM197" i="41" s="1"/>
  <c r="AO198" i="41"/>
  <c r="AM198" i="41" s="1"/>
  <c r="AO199" i="41"/>
  <c r="AM199" i="41" s="1"/>
  <c r="AO200" i="41"/>
  <c r="AM200" i="41" s="1"/>
  <c r="AO202" i="41"/>
  <c r="AM202" i="41" s="1"/>
  <c r="AS7" i="41"/>
  <c r="AS21" i="41"/>
  <c r="AS30" i="41"/>
  <c r="AS33" i="41"/>
  <c r="AS40" i="41"/>
  <c r="AS41" i="41"/>
  <c r="AS42" i="41"/>
  <c r="AS66" i="41"/>
  <c r="AS67" i="41"/>
  <c r="AS68" i="41"/>
  <c r="AS69" i="41"/>
  <c r="AS76" i="41"/>
  <c r="AS91" i="41"/>
  <c r="AS94" i="41"/>
  <c r="AS108" i="41"/>
  <c r="AS109" i="41"/>
  <c r="AS132" i="41"/>
  <c r="AS133" i="41"/>
  <c r="AS134" i="41"/>
  <c r="AS135" i="41"/>
  <c r="AS136" i="41"/>
  <c r="AS142" i="41"/>
  <c r="AS159" i="41"/>
  <c r="AS174" i="41"/>
  <c r="AS175" i="41"/>
  <c r="AS176" i="41"/>
  <c r="AS191" i="41"/>
  <c r="AS200" i="41"/>
  <c r="AT3" i="41"/>
  <c r="AT4" i="41"/>
  <c r="AT5" i="41"/>
  <c r="AT6" i="41"/>
  <c r="AT7" i="41"/>
  <c r="AT9" i="41"/>
  <c r="AT10" i="41"/>
  <c r="AT12" i="41"/>
  <c r="AT14" i="41"/>
  <c r="AT15" i="41"/>
  <c r="AT17" i="41"/>
  <c r="AT18" i="41"/>
  <c r="AT19" i="41"/>
  <c r="AT20" i="41"/>
  <c r="AT21" i="41"/>
  <c r="AT22" i="41"/>
  <c r="AT24" i="41"/>
  <c r="AT26" i="41"/>
  <c r="AT28" i="41"/>
  <c r="AT29" i="41"/>
  <c r="AT30" i="41"/>
  <c r="AT33" i="41"/>
  <c r="AT36" i="41"/>
  <c r="AT38" i="41"/>
  <c r="AT40" i="41"/>
  <c r="AT43" i="41"/>
  <c r="AT45" i="41"/>
  <c r="AT46" i="41"/>
  <c r="AT47" i="41"/>
  <c r="AT49" i="41"/>
  <c r="AT50" i="41"/>
  <c r="AT52" i="41"/>
  <c r="AT54" i="41"/>
  <c r="AT56" i="41"/>
  <c r="AT58" i="41"/>
  <c r="AT59" i="41"/>
  <c r="AT60" i="41"/>
  <c r="AT61" i="41"/>
  <c r="AT62" i="41"/>
  <c r="AT64" i="41"/>
  <c r="AT66" i="41"/>
  <c r="AT68" i="41"/>
  <c r="AT70" i="41"/>
  <c r="AT72" i="41"/>
  <c r="AT74" i="41"/>
  <c r="AT75" i="41"/>
  <c r="AT76" i="41"/>
  <c r="AT78" i="41"/>
  <c r="AT79" i="41"/>
  <c r="AT81" i="41"/>
  <c r="AT83" i="41"/>
  <c r="AT85" i="41"/>
  <c r="AT87" i="41"/>
  <c r="AT88" i="41"/>
  <c r="AT89" i="41"/>
  <c r="AT91" i="41"/>
  <c r="AT94" i="41"/>
  <c r="AT95" i="41"/>
  <c r="AT97" i="41"/>
  <c r="AT98" i="41"/>
  <c r="AT99" i="41"/>
  <c r="AT100" i="41"/>
  <c r="AT101" i="41"/>
  <c r="AT103" i="41"/>
  <c r="AT104" i="41"/>
  <c r="AT106" i="41"/>
  <c r="AT108" i="41"/>
  <c r="AT110" i="41"/>
  <c r="AT112" i="41"/>
  <c r="AT113" i="41"/>
  <c r="AT114" i="41"/>
  <c r="AT115" i="41"/>
  <c r="AT116" i="41"/>
  <c r="AT118" i="41"/>
  <c r="AT120" i="41"/>
  <c r="AT121" i="41"/>
  <c r="AT122" i="41"/>
  <c r="AT123" i="41"/>
  <c r="AT124" i="41"/>
  <c r="AT126" i="41"/>
  <c r="AT128" i="41"/>
  <c r="AT130" i="41"/>
  <c r="AT132" i="41"/>
  <c r="AT135" i="41"/>
  <c r="AT137" i="41"/>
  <c r="AT139" i="41"/>
  <c r="AT140" i="41"/>
  <c r="AT141" i="41"/>
  <c r="AT142" i="41"/>
  <c r="AT144" i="41"/>
  <c r="AT145" i="41"/>
  <c r="AT147" i="41"/>
  <c r="AT149" i="41"/>
  <c r="AT150" i="41"/>
  <c r="AT152" i="41"/>
  <c r="AT153" i="41"/>
  <c r="AT154" i="41"/>
  <c r="AT155" i="41"/>
  <c r="AT157" i="41"/>
  <c r="AT158" i="41"/>
  <c r="AT159" i="41"/>
  <c r="AT162" i="41"/>
  <c r="AT164" i="41"/>
  <c r="AT165" i="41"/>
  <c r="AT166" i="41"/>
  <c r="AT168" i="41"/>
  <c r="AT170" i="41"/>
  <c r="AT172" i="41"/>
  <c r="AT174" i="41"/>
  <c r="AT177" i="41"/>
  <c r="AT179" i="41"/>
  <c r="AT180" i="41"/>
  <c r="AT181" i="41"/>
  <c r="AT183" i="41"/>
  <c r="AT184" i="41"/>
  <c r="AT186" i="41"/>
  <c r="AT188" i="41"/>
  <c r="AT190" i="41"/>
  <c r="AT191" i="41"/>
  <c r="AT192" i="41"/>
  <c r="AT194" i="41"/>
  <c r="AT195" i="41"/>
  <c r="AT196" i="41"/>
  <c r="AT198" i="41"/>
  <c r="AT200" i="41"/>
  <c r="AT202"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0" i="41"/>
  <c r="AU61" i="41"/>
  <c r="AU62" i="41"/>
  <c r="AU63" i="41"/>
  <c r="AU64" i="41"/>
  <c r="AU65" i="41"/>
  <c r="AU66" i="41"/>
  <c r="AU67" i="41"/>
  <c r="AU68"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8" i="41"/>
  <c r="AU119" i="41"/>
  <c r="AU120" i="41"/>
  <c r="AU121" i="41"/>
  <c r="AU122" i="41"/>
  <c r="AU123" i="41"/>
  <c r="AU124" i="41"/>
  <c r="AU125" i="41"/>
  <c r="AU126" i="41"/>
  <c r="AU127" i="41"/>
  <c r="AU128" i="41"/>
  <c r="AU129" i="41"/>
  <c r="AU130" i="41"/>
  <c r="AU131" i="41"/>
  <c r="AU132" i="41"/>
  <c r="AU133" i="41"/>
  <c r="AU134" i="41"/>
  <c r="AU135"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AU176" i="41"/>
  <c r="AU177" i="41"/>
  <c r="AU178" i="41"/>
  <c r="AU179" i="41"/>
  <c r="AU180" i="41"/>
  <c r="AU181" i="41"/>
  <c r="AU182" i="41"/>
  <c r="AU183" i="41"/>
  <c r="AU184" i="41"/>
  <c r="AU185" i="41"/>
  <c r="AU186" i="41"/>
  <c r="AU187" i="41"/>
  <c r="AU188" i="41"/>
  <c r="AU189" i="41"/>
  <c r="AU190" i="41"/>
  <c r="AU191" i="41"/>
  <c r="AU192" i="41"/>
  <c r="AU193" i="41"/>
  <c r="AU194" i="41"/>
  <c r="AU195" i="41"/>
  <c r="AU196" i="41"/>
  <c r="AU197" i="41"/>
  <c r="AU198" i="41"/>
  <c r="AU199" i="41"/>
  <c r="AU200" i="41"/>
  <c r="AU201" i="41"/>
  <c r="AU202" i="41"/>
  <c r="H50" i="50"/>
  <c r="H51" i="50"/>
  <c r="H62" i="50"/>
  <c r="P8" i="40"/>
  <c r="P9" i="40"/>
  <c r="P10" i="40"/>
  <c r="P11" i="40"/>
  <c r="P12" i="40"/>
  <c r="P13" i="40"/>
  <c r="P14" i="40"/>
  <c r="P15" i="40"/>
  <c r="P16" i="40"/>
  <c r="P17" i="40"/>
  <c r="P18" i="40"/>
  <c r="P19" i="40"/>
  <c r="P20" i="40"/>
  <c r="P21" i="40"/>
  <c r="P22" i="40"/>
  <c r="P23" i="40"/>
  <c r="P24" i="40"/>
  <c r="P25" i="40"/>
  <c r="P26" i="40"/>
  <c r="P27" i="40"/>
  <c r="P28" i="40"/>
  <c r="P29" i="40"/>
  <c r="P30" i="40"/>
  <c r="P31" i="40"/>
  <c r="P32" i="40"/>
  <c r="P33" i="40"/>
  <c r="P34" i="40"/>
  <c r="P35" i="40"/>
  <c r="P36" i="40"/>
  <c r="P37" i="40"/>
  <c r="P38" i="40"/>
  <c r="P39" i="40"/>
  <c r="P40" i="40"/>
  <c r="P41" i="40"/>
  <c r="P42" i="40"/>
  <c r="P43" i="40"/>
  <c r="P44" i="40"/>
  <c r="P45" i="40"/>
  <c r="P46" i="40"/>
  <c r="P47" i="40"/>
  <c r="P48" i="40"/>
  <c r="P49" i="40"/>
  <c r="P50" i="40"/>
  <c r="P51" i="40"/>
  <c r="P52" i="40"/>
  <c r="P53" i="40"/>
  <c r="P54" i="40"/>
  <c r="P55" i="40"/>
  <c r="P56" i="40"/>
  <c r="P57" i="40"/>
  <c r="P58" i="40"/>
  <c r="P59" i="40"/>
  <c r="P60" i="40"/>
  <c r="P61" i="40"/>
  <c r="P62" i="40"/>
  <c r="P63" i="40"/>
  <c r="P64" i="40"/>
  <c r="P65" i="40"/>
  <c r="P66" i="40"/>
  <c r="P67" i="40"/>
  <c r="P68" i="40"/>
  <c r="P69" i="40"/>
  <c r="P70" i="40"/>
  <c r="P71" i="40"/>
  <c r="P72" i="40"/>
  <c r="P73" i="40"/>
  <c r="P74" i="40"/>
  <c r="P75" i="40"/>
  <c r="P76" i="40"/>
  <c r="P77" i="40"/>
  <c r="P78" i="40"/>
  <c r="P79" i="40"/>
  <c r="P80" i="40"/>
  <c r="P81" i="40"/>
  <c r="P82" i="40"/>
  <c r="P83" i="40"/>
  <c r="P84" i="40"/>
  <c r="P85" i="40"/>
  <c r="P86" i="40"/>
  <c r="P87" i="40"/>
  <c r="P88" i="40"/>
  <c r="P89" i="40"/>
  <c r="P90" i="40"/>
  <c r="P91" i="40"/>
  <c r="P92" i="40"/>
  <c r="P93" i="40"/>
  <c r="P94" i="40"/>
  <c r="P95" i="40"/>
  <c r="P96" i="40"/>
  <c r="P97" i="40"/>
  <c r="P98" i="40"/>
  <c r="P99" i="40"/>
  <c r="P100" i="40"/>
  <c r="P101" i="40"/>
  <c r="P102" i="40"/>
  <c r="P103" i="40"/>
  <c r="P104" i="40"/>
  <c r="P105" i="40"/>
  <c r="P106" i="40"/>
  <c r="P107" i="40"/>
  <c r="P108" i="40"/>
  <c r="P109" i="40"/>
  <c r="P110" i="40"/>
  <c r="P111" i="40"/>
  <c r="P112" i="40"/>
  <c r="P113" i="40"/>
  <c r="P114" i="40"/>
  <c r="P115" i="40"/>
  <c r="P116" i="40"/>
  <c r="P117" i="40"/>
  <c r="P118" i="40"/>
  <c r="P119" i="40"/>
  <c r="P120" i="40"/>
  <c r="P121" i="40"/>
  <c r="P122" i="40"/>
  <c r="P123" i="40"/>
  <c r="P124" i="40"/>
  <c r="P125" i="40"/>
  <c r="P126" i="40"/>
  <c r="P127" i="40"/>
  <c r="P128" i="40"/>
  <c r="P129" i="40"/>
  <c r="P130" i="40"/>
  <c r="P131" i="40"/>
  <c r="P132" i="40"/>
  <c r="P133" i="40"/>
  <c r="P134" i="40"/>
  <c r="P135" i="40"/>
  <c r="P136" i="40"/>
  <c r="P137" i="40"/>
  <c r="P138" i="40"/>
  <c r="P139" i="40"/>
  <c r="P140" i="40"/>
  <c r="P141" i="40"/>
  <c r="P142" i="40"/>
  <c r="P143" i="40"/>
  <c r="P144" i="40"/>
  <c r="P145" i="40"/>
  <c r="P146" i="40"/>
  <c r="P147" i="40"/>
  <c r="P148" i="40"/>
  <c r="P149" i="40"/>
  <c r="P150" i="40"/>
  <c r="P151" i="40"/>
  <c r="P152" i="40"/>
  <c r="P153" i="40"/>
  <c r="P154" i="40"/>
  <c r="P155" i="40"/>
  <c r="P156" i="40"/>
  <c r="P157" i="40"/>
  <c r="P158" i="40"/>
  <c r="P159" i="40"/>
  <c r="P160" i="40"/>
  <c r="P161" i="40"/>
  <c r="P162" i="40"/>
  <c r="P163" i="40"/>
  <c r="P164" i="40"/>
  <c r="P165" i="40"/>
  <c r="P166" i="40"/>
  <c r="P167" i="40"/>
  <c r="P168" i="40"/>
  <c r="P169" i="40"/>
  <c r="P170" i="40"/>
  <c r="P171" i="40"/>
  <c r="P172" i="40"/>
  <c r="P173" i="40"/>
  <c r="P174" i="40"/>
  <c r="P175" i="40"/>
  <c r="P176" i="40"/>
  <c r="P177" i="40"/>
  <c r="P178" i="40"/>
  <c r="P179" i="40"/>
  <c r="P180" i="40"/>
  <c r="P181" i="40"/>
  <c r="P182" i="40"/>
  <c r="P183" i="40"/>
  <c r="P184" i="40"/>
  <c r="P185" i="40"/>
  <c r="P186" i="40"/>
  <c r="T8" i="40"/>
  <c r="T9" i="40"/>
  <c r="T10" i="40"/>
  <c r="T11" i="40"/>
  <c r="T12" i="40"/>
  <c r="T13" i="40"/>
  <c r="T14" i="40"/>
  <c r="T15" i="40"/>
  <c r="T16" i="40"/>
  <c r="T17" i="40"/>
  <c r="T18" i="40"/>
  <c r="T19" i="40"/>
  <c r="T20" i="40"/>
  <c r="T21" i="40"/>
  <c r="T22" i="40"/>
  <c r="T23" i="40"/>
  <c r="T24" i="40"/>
  <c r="T25" i="40"/>
  <c r="T26" i="40"/>
  <c r="T27" i="40"/>
  <c r="T28" i="40"/>
  <c r="T29" i="40"/>
  <c r="T30" i="40"/>
  <c r="T31" i="40"/>
  <c r="T32" i="40"/>
  <c r="T33" i="40"/>
  <c r="T34" i="40"/>
  <c r="T35" i="40"/>
  <c r="T36" i="40"/>
  <c r="T37" i="40"/>
  <c r="T38" i="40"/>
  <c r="T39" i="40"/>
  <c r="T40" i="40"/>
  <c r="T41" i="40"/>
  <c r="T42" i="40"/>
  <c r="T43" i="40"/>
  <c r="T44" i="40"/>
  <c r="T45" i="40"/>
  <c r="T46" i="40"/>
  <c r="T47" i="40"/>
  <c r="T48" i="40"/>
  <c r="T49" i="40"/>
  <c r="T50" i="40"/>
  <c r="T51" i="40"/>
  <c r="T52" i="40"/>
  <c r="T53" i="40"/>
  <c r="T54" i="40"/>
  <c r="T55" i="40"/>
  <c r="T56" i="40"/>
  <c r="T57" i="40"/>
  <c r="T58" i="40"/>
  <c r="T59" i="40"/>
  <c r="T60" i="40"/>
  <c r="T61" i="40"/>
  <c r="T62" i="40"/>
  <c r="T63" i="40"/>
  <c r="T64" i="40"/>
  <c r="T65" i="40"/>
  <c r="T66" i="40"/>
  <c r="T67" i="40"/>
  <c r="T68" i="40"/>
  <c r="T69" i="40"/>
  <c r="T70" i="40"/>
  <c r="T71" i="40"/>
  <c r="T72" i="40"/>
  <c r="T73" i="40"/>
  <c r="T74" i="40"/>
  <c r="T75" i="40"/>
  <c r="T76" i="40"/>
  <c r="T77" i="40"/>
  <c r="T78" i="40"/>
  <c r="T79" i="40"/>
  <c r="T80" i="40"/>
  <c r="T81" i="40"/>
  <c r="T82" i="40"/>
  <c r="T83" i="40"/>
  <c r="T84" i="40"/>
  <c r="T85" i="40"/>
  <c r="T86" i="40"/>
  <c r="T87" i="40"/>
  <c r="T88" i="40"/>
  <c r="T89" i="40"/>
  <c r="T90" i="40"/>
  <c r="T91" i="40"/>
  <c r="T92" i="40"/>
  <c r="T93" i="40"/>
  <c r="T94" i="40"/>
  <c r="T95" i="40"/>
  <c r="T96" i="40"/>
  <c r="T97" i="40"/>
  <c r="T98" i="40"/>
  <c r="T99" i="40"/>
  <c r="T100" i="40"/>
  <c r="T101" i="40"/>
  <c r="T102" i="40"/>
  <c r="T103" i="40"/>
  <c r="T104" i="40"/>
  <c r="T105" i="40"/>
  <c r="T106" i="40"/>
  <c r="T107" i="40"/>
  <c r="T108" i="40"/>
  <c r="T109" i="40"/>
  <c r="T110" i="40"/>
  <c r="T111" i="40"/>
  <c r="T112" i="40"/>
  <c r="T113" i="40"/>
  <c r="T114" i="40"/>
  <c r="T115" i="40"/>
  <c r="T116" i="40"/>
  <c r="T117" i="40"/>
  <c r="T118" i="40"/>
  <c r="T119" i="40"/>
  <c r="T120" i="40"/>
  <c r="T121" i="40"/>
  <c r="T122" i="40"/>
  <c r="T123" i="40"/>
  <c r="T124" i="40"/>
  <c r="T125" i="40"/>
  <c r="T126" i="40"/>
  <c r="T127" i="40"/>
  <c r="T128" i="40"/>
  <c r="T129" i="40"/>
  <c r="T130" i="40"/>
  <c r="T131" i="40"/>
  <c r="T132" i="40"/>
  <c r="T133" i="40"/>
  <c r="T134" i="40"/>
  <c r="T135" i="40"/>
  <c r="T136" i="40"/>
  <c r="T137" i="40"/>
  <c r="T138" i="40"/>
  <c r="T139" i="40"/>
  <c r="T140" i="40"/>
  <c r="T141" i="40"/>
  <c r="T142" i="40"/>
  <c r="T143" i="40"/>
  <c r="T144" i="40"/>
  <c r="T145" i="40"/>
  <c r="T146" i="40"/>
  <c r="T147" i="40"/>
  <c r="T148" i="40"/>
  <c r="T149" i="40"/>
  <c r="T150" i="40"/>
  <c r="T151" i="40"/>
  <c r="T152" i="40"/>
  <c r="T153" i="40"/>
  <c r="T154" i="40"/>
  <c r="T155" i="40"/>
  <c r="T156" i="40"/>
  <c r="T157" i="40"/>
  <c r="T158" i="40"/>
  <c r="T159" i="40"/>
  <c r="T160" i="40"/>
  <c r="T161" i="40"/>
  <c r="T162" i="40"/>
  <c r="T163" i="40"/>
  <c r="T164" i="40"/>
  <c r="T165" i="40"/>
  <c r="T166" i="40"/>
  <c r="T167" i="40"/>
  <c r="T168" i="40"/>
  <c r="T169" i="40"/>
  <c r="T170" i="40"/>
  <c r="T171" i="40"/>
  <c r="T172" i="40"/>
  <c r="T173" i="40"/>
  <c r="T174" i="40"/>
  <c r="T175" i="40"/>
  <c r="T176" i="40"/>
  <c r="T177" i="40"/>
  <c r="T178" i="40"/>
  <c r="T179" i="40"/>
  <c r="T180" i="40"/>
  <c r="T181" i="40"/>
  <c r="T182" i="40"/>
  <c r="T183" i="40"/>
  <c r="T184" i="40"/>
  <c r="T185" i="40"/>
  <c r="T186" i="40"/>
  <c r="AO160" i="41" l="1"/>
  <c r="AM160" i="41" s="1"/>
  <c r="AO8" i="41"/>
  <c r="AM8" i="41" s="1"/>
  <c r="AO77" i="41"/>
  <c r="AM77" i="41" s="1"/>
  <c r="AO67" i="41"/>
  <c r="O166" i="33"/>
  <c r="N440" i="33"/>
  <c r="O440" i="33" s="1"/>
  <c r="N238" i="33"/>
  <c r="O238" i="33" s="1"/>
  <c r="N230" i="33"/>
  <c r="O230" i="33" s="1"/>
  <c r="N197" i="33"/>
  <c r="O197" i="33" s="1"/>
  <c r="N158" i="33"/>
  <c r="O158" i="33" s="1"/>
  <c r="N126" i="33"/>
  <c r="O126" i="33" s="1"/>
  <c r="N104" i="33"/>
  <c r="O104" i="33" s="1"/>
  <c r="N85" i="33"/>
  <c r="O85" i="33" s="1"/>
  <c r="N66" i="33"/>
  <c r="O66" i="33" s="1"/>
  <c r="N54" i="33"/>
  <c r="O54" i="33" s="1"/>
  <c r="N38" i="33"/>
  <c r="O38" i="33" s="1"/>
  <c r="N21" i="33"/>
  <c r="O21" i="33" s="1"/>
  <c r="N102" i="33"/>
  <c r="O102" i="33" s="1"/>
  <c r="N326" i="33"/>
  <c r="N190" i="33"/>
  <c r="O190" i="33" s="1"/>
  <c r="N457" i="33"/>
  <c r="O457" i="33" s="1"/>
  <c r="N430" i="33"/>
  <c r="O430" i="33" s="1"/>
  <c r="N270" i="33"/>
  <c r="N182" i="33"/>
  <c r="O182" i="33" s="1"/>
  <c r="N142" i="33"/>
  <c r="O142" i="33" s="1"/>
  <c r="N118" i="33"/>
  <c r="O118" i="33" s="1"/>
  <c r="N100" i="33"/>
  <c r="O100" i="33" s="1"/>
  <c r="N62" i="33"/>
  <c r="O62" i="33" s="1"/>
  <c r="N174" i="33"/>
  <c r="O174" i="33" s="1"/>
  <c r="N134" i="33"/>
  <c r="O134" i="33" s="1"/>
  <c r="N117" i="33"/>
  <c r="O117" i="33" s="1"/>
  <c r="N350" i="33"/>
  <c r="N70" i="33"/>
  <c r="O70" i="33" s="1"/>
  <c r="N206" i="33"/>
  <c r="O206" i="33" s="1"/>
  <c r="O462" i="33"/>
  <c r="O454" i="33"/>
  <c r="O446" i="33"/>
  <c r="O438" i="33"/>
  <c r="O406" i="33"/>
  <c r="O398" i="33"/>
  <c r="O390" i="33"/>
  <c r="O366" i="33"/>
  <c r="O358" i="33"/>
  <c r="O350" i="33"/>
  <c r="O326" i="33"/>
  <c r="O310" i="33"/>
  <c r="O302" i="33"/>
  <c r="O286" i="33"/>
  <c r="O270" i="33"/>
  <c r="O262" i="33"/>
  <c r="N439" i="33"/>
  <c r="O439" i="33" s="1"/>
  <c r="N423" i="33"/>
  <c r="O423" i="33" s="1"/>
  <c r="N375" i="33"/>
  <c r="O375" i="33" s="1"/>
  <c r="N279" i="33"/>
  <c r="O279" i="33" s="1"/>
  <c r="N191" i="33"/>
  <c r="O191" i="33" s="1"/>
  <c r="N199" i="33"/>
  <c r="O199" i="33" s="1"/>
  <c r="N47" i="33"/>
  <c r="O47" i="33" s="1"/>
  <c r="N461" i="33"/>
  <c r="O461" i="33" s="1"/>
  <c r="N453" i="33"/>
  <c r="O453" i="33" s="1"/>
  <c r="N445" i="33"/>
  <c r="O445" i="33" s="1"/>
  <c r="N429" i="33"/>
  <c r="O429" i="33" s="1"/>
  <c r="N421" i="33"/>
  <c r="O421" i="33" s="1"/>
  <c r="N413" i="33"/>
  <c r="O413" i="33" s="1"/>
  <c r="N405" i="33"/>
  <c r="O405" i="33" s="1"/>
  <c r="N397" i="33"/>
  <c r="O397" i="33" s="1"/>
  <c r="N389" i="33"/>
  <c r="O389" i="33" s="1"/>
  <c r="N381" i="33"/>
  <c r="O381" i="33" s="1"/>
  <c r="N373" i="33"/>
  <c r="O373" i="33" s="1"/>
  <c r="N365" i="33"/>
  <c r="O365" i="33" s="1"/>
  <c r="N357" i="33"/>
  <c r="O357" i="33" s="1"/>
  <c r="N349" i="33"/>
  <c r="O349" i="33" s="1"/>
  <c r="N341" i="33"/>
  <c r="O341" i="33" s="1"/>
  <c r="N333" i="33"/>
  <c r="O333" i="33" s="1"/>
  <c r="N325" i="33"/>
  <c r="O325" i="33" s="1"/>
  <c r="N317" i="33"/>
  <c r="O317" i="33" s="1"/>
  <c r="N309" i="33"/>
  <c r="O309" i="33" s="1"/>
  <c r="N301" i="33"/>
  <c r="O301" i="33" s="1"/>
  <c r="N285" i="33"/>
  <c r="O285" i="33" s="1"/>
  <c r="N277" i="33"/>
  <c r="O277" i="33" s="1"/>
  <c r="N269" i="33"/>
  <c r="O269" i="33" s="1"/>
  <c r="N261" i="33"/>
  <c r="O261" i="33" s="1"/>
  <c r="N205" i="33"/>
  <c r="O205" i="33" s="1"/>
  <c r="N189" i="33"/>
  <c r="O189" i="33" s="1"/>
  <c r="N181" i="33"/>
  <c r="O181" i="33" s="1"/>
  <c r="N173" i="33"/>
  <c r="O173" i="33" s="1"/>
  <c r="N165" i="33"/>
  <c r="O165" i="33" s="1"/>
  <c r="N157" i="33"/>
  <c r="O157" i="33" s="1"/>
  <c r="N149" i="33"/>
  <c r="O149" i="33" s="1"/>
  <c r="N141" i="33"/>
  <c r="O141" i="33" s="1"/>
  <c r="N125" i="33"/>
  <c r="O125" i="33" s="1"/>
  <c r="N109" i="33"/>
  <c r="O109" i="33" s="1"/>
  <c r="N77" i="33"/>
  <c r="O77" i="33" s="1"/>
  <c r="N69" i="33"/>
  <c r="O69" i="33" s="1"/>
  <c r="N61" i="33"/>
  <c r="O61" i="33" s="1"/>
  <c r="N53" i="33"/>
  <c r="O53" i="33" s="1"/>
  <c r="N45" i="33"/>
  <c r="O45" i="33" s="1"/>
  <c r="N460" i="33"/>
  <c r="O460" i="33" s="1"/>
  <c r="N452" i="33"/>
  <c r="O452" i="33" s="1"/>
  <c r="N436" i="33"/>
  <c r="O436" i="33" s="1"/>
  <c r="N428" i="33"/>
  <c r="O428" i="33" s="1"/>
  <c r="N420" i="33"/>
  <c r="O420" i="33" s="1"/>
  <c r="N412" i="33"/>
  <c r="O412" i="33" s="1"/>
  <c r="N404" i="33"/>
  <c r="O404" i="33" s="1"/>
  <c r="N396" i="33"/>
  <c r="O396" i="33" s="1"/>
  <c r="N380" i="33"/>
  <c r="O380" i="33" s="1"/>
  <c r="N372" i="33"/>
  <c r="O372" i="33" s="1"/>
  <c r="N364" i="33"/>
  <c r="O364" i="33" s="1"/>
  <c r="N356" i="33"/>
  <c r="O356" i="33" s="1"/>
  <c r="N348" i="33"/>
  <c r="O348" i="33" s="1"/>
  <c r="N340" i="33"/>
  <c r="O340" i="33" s="1"/>
  <c r="N332" i="33"/>
  <c r="O332" i="33" s="1"/>
  <c r="N316" i="33"/>
  <c r="O316" i="33" s="1"/>
  <c r="N308" i="33"/>
  <c r="O308" i="33" s="1"/>
  <c r="N300" i="33"/>
  <c r="O300" i="33" s="1"/>
  <c r="N276" i="33"/>
  <c r="O276" i="33" s="1"/>
  <c r="N204" i="33"/>
  <c r="O204" i="33" s="1"/>
  <c r="N188" i="33"/>
  <c r="O188" i="33" s="1"/>
  <c r="N180" i="33"/>
  <c r="O180" i="33" s="1"/>
  <c r="N172" i="33"/>
  <c r="O172" i="33" s="1"/>
  <c r="N164" i="33"/>
  <c r="O164" i="33" s="1"/>
  <c r="N156" i="33"/>
  <c r="O156" i="33" s="1"/>
  <c r="N148" i="33"/>
  <c r="O148" i="33" s="1"/>
  <c r="N140" i="33"/>
  <c r="O140" i="33" s="1"/>
  <c r="N132" i="33"/>
  <c r="O132" i="33" s="1"/>
  <c r="N116" i="33"/>
  <c r="O116" i="33" s="1"/>
  <c r="N108" i="33"/>
  <c r="O108" i="33" s="1"/>
  <c r="N92" i="33"/>
  <c r="O92" i="33" s="1"/>
  <c r="N76" i="33"/>
  <c r="O76" i="33" s="1"/>
  <c r="N52" i="33"/>
  <c r="O52" i="33" s="1"/>
  <c r="N459" i="33"/>
  <c r="O459" i="33" s="1"/>
  <c r="N451" i="33"/>
  <c r="O451" i="33" s="1"/>
  <c r="N443" i="33"/>
  <c r="O443" i="33" s="1"/>
  <c r="N435" i="33"/>
  <c r="O435" i="33" s="1"/>
  <c r="N427" i="33"/>
  <c r="O427" i="33" s="1"/>
  <c r="N419" i="33"/>
  <c r="O419" i="33" s="1"/>
  <c r="N411" i="33"/>
  <c r="O411" i="33" s="1"/>
  <c r="N403" i="33"/>
  <c r="O403" i="33" s="1"/>
  <c r="N395" i="33"/>
  <c r="O395" i="33" s="1"/>
  <c r="N387" i="33"/>
  <c r="O387" i="33" s="1"/>
  <c r="N379" i="33"/>
  <c r="O379" i="33" s="1"/>
  <c r="N371" i="33"/>
  <c r="O371" i="33" s="1"/>
  <c r="N363" i="33"/>
  <c r="O363" i="33" s="1"/>
  <c r="N355" i="33"/>
  <c r="O355" i="33" s="1"/>
  <c r="N347" i="33"/>
  <c r="O347" i="33" s="1"/>
  <c r="N339" i="33"/>
  <c r="O339" i="33" s="1"/>
  <c r="N315" i="33"/>
  <c r="O315" i="33" s="1"/>
  <c r="N307" i="33"/>
  <c r="O307" i="33" s="1"/>
  <c r="N259" i="33"/>
  <c r="O259" i="33" s="1"/>
  <c r="N251" i="33"/>
  <c r="O251" i="33" s="1"/>
  <c r="N203" i="33"/>
  <c r="O203" i="33" s="1"/>
  <c r="N195" i="33"/>
  <c r="O195" i="33" s="1"/>
  <c r="N187" i="33"/>
  <c r="O187" i="33" s="1"/>
  <c r="N179" i="33"/>
  <c r="O179" i="33" s="1"/>
  <c r="N171" i="33"/>
  <c r="O171" i="33" s="1"/>
  <c r="N155" i="33"/>
  <c r="O155" i="33" s="1"/>
  <c r="N147" i="33"/>
  <c r="O147" i="33" s="1"/>
  <c r="N139" i="33"/>
  <c r="O139" i="33" s="1"/>
  <c r="N131" i="33"/>
  <c r="O131" i="33" s="1"/>
  <c r="N115" i="33"/>
  <c r="O115" i="33" s="1"/>
  <c r="N107" i="33"/>
  <c r="O107" i="33" s="1"/>
  <c r="N91" i="33"/>
  <c r="O91" i="33" s="1"/>
  <c r="N83" i="33"/>
  <c r="O83" i="33" s="1"/>
  <c r="N75" i="33"/>
  <c r="O75" i="33" s="1"/>
  <c r="N458" i="33"/>
  <c r="O458" i="33" s="1"/>
  <c r="N450" i="33"/>
  <c r="O450" i="33" s="1"/>
  <c r="N442" i="33"/>
  <c r="O442" i="33" s="1"/>
  <c r="N434" i="33"/>
  <c r="O434" i="33" s="1"/>
  <c r="N426" i="33"/>
  <c r="O426" i="33" s="1"/>
  <c r="N418" i="33"/>
  <c r="O418" i="33" s="1"/>
  <c r="N410" i="33"/>
  <c r="O410" i="33" s="1"/>
  <c r="N402" i="33"/>
  <c r="O402" i="33" s="1"/>
  <c r="N394" i="33"/>
  <c r="O394" i="33" s="1"/>
  <c r="N386" i="33"/>
  <c r="O386" i="33" s="1"/>
  <c r="N378" i="33"/>
  <c r="O378" i="33" s="1"/>
  <c r="N370" i="33"/>
  <c r="O370" i="33" s="1"/>
  <c r="N362" i="33"/>
  <c r="O362" i="33" s="1"/>
  <c r="N354" i="33"/>
  <c r="O354" i="33" s="1"/>
  <c r="N346" i="33"/>
  <c r="O346" i="33" s="1"/>
  <c r="N338" i="33"/>
  <c r="O338" i="33" s="1"/>
  <c r="N322" i="33"/>
  <c r="O322" i="33" s="1"/>
  <c r="N306" i="33"/>
  <c r="O306" i="33" s="1"/>
  <c r="N290" i="33"/>
  <c r="O290" i="33" s="1"/>
  <c r="N274" i="33"/>
  <c r="O274" i="33" s="1"/>
  <c r="N258" i="33"/>
  <c r="O258" i="33" s="1"/>
  <c r="N202" i="33"/>
  <c r="O202" i="33" s="1"/>
  <c r="N194" i="33"/>
  <c r="O194" i="33" s="1"/>
  <c r="N186" i="33"/>
  <c r="O186" i="33" s="1"/>
  <c r="N178" i="33"/>
  <c r="O178" i="33" s="1"/>
  <c r="N170" i="33"/>
  <c r="O170" i="33" s="1"/>
  <c r="N154" i="33"/>
  <c r="O154" i="33" s="1"/>
  <c r="N138" i="33"/>
  <c r="O138" i="33" s="1"/>
  <c r="N130" i="33"/>
  <c r="O130" i="33" s="1"/>
  <c r="N122" i="33"/>
  <c r="O122" i="33" s="1"/>
  <c r="N114" i="33"/>
  <c r="O114" i="33" s="1"/>
  <c r="N106" i="33"/>
  <c r="O106" i="33" s="1"/>
  <c r="N98" i="33"/>
  <c r="O98" i="33" s="1"/>
  <c r="N90" i="33"/>
  <c r="O90" i="33" s="1"/>
  <c r="N82" i="33"/>
  <c r="O82" i="33" s="1"/>
  <c r="N74" i="33"/>
  <c r="O74" i="33" s="1"/>
  <c r="N34" i="33"/>
  <c r="O34" i="33" s="1"/>
  <c r="N449" i="33"/>
  <c r="O449" i="33" s="1"/>
  <c r="N441" i="33"/>
  <c r="O441" i="33" s="1"/>
  <c r="N433" i="33"/>
  <c r="O433" i="33" s="1"/>
  <c r="N425" i="33"/>
  <c r="O425" i="33" s="1"/>
  <c r="N417" i="33"/>
  <c r="O417" i="33" s="1"/>
  <c r="N401" i="33"/>
  <c r="O401" i="33" s="1"/>
  <c r="N393" i="33"/>
  <c r="O393" i="33" s="1"/>
  <c r="N385" i="33"/>
  <c r="O385" i="33" s="1"/>
  <c r="N377" i="33"/>
  <c r="O377" i="33" s="1"/>
  <c r="N369" i="33"/>
  <c r="O369" i="33" s="1"/>
  <c r="N361" i="33"/>
  <c r="O361" i="33" s="1"/>
  <c r="N353" i="33"/>
  <c r="O353" i="33" s="1"/>
  <c r="N345" i="33"/>
  <c r="O345" i="33" s="1"/>
  <c r="N337" i="33"/>
  <c r="O337" i="33" s="1"/>
  <c r="N329" i="33"/>
  <c r="O329" i="33" s="1"/>
  <c r="N321" i="33"/>
  <c r="O321" i="33" s="1"/>
  <c r="N305" i="33"/>
  <c r="O305" i="33" s="1"/>
  <c r="N297" i="33"/>
  <c r="O297" i="33" s="1"/>
  <c r="N289" i="33"/>
  <c r="O289" i="33" s="1"/>
  <c r="N281" i="33"/>
  <c r="O281" i="33" s="1"/>
  <c r="N265" i="33"/>
  <c r="O265" i="33" s="1"/>
  <c r="N201" i="33"/>
  <c r="O201" i="33" s="1"/>
  <c r="N193" i="33"/>
  <c r="O193" i="33" s="1"/>
  <c r="N185" i="33"/>
  <c r="O185" i="33" s="1"/>
  <c r="N177" i="33"/>
  <c r="O177" i="33" s="1"/>
  <c r="N169" i="33"/>
  <c r="O169" i="33" s="1"/>
  <c r="N161" i="33"/>
  <c r="O161" i="33" s="1"/>
  <c r="N153" i="33"/>
  <c r="O153" i="33" s="1"/>
  <c r="N145" i="33"/>
  <c r="O145" i="33" s="1"/>
  <c r="N137" i="33"/>
  <c r="O137" i="33" s="1"/>
  <c r="N129" i="33"/>
  <c r="O129" i="33" s="1"/>
  <c r="N121" i="33"/>
  <c r="O121" i="33" s="1"/>
  <c r="N113" i="33"/>
  <c r="O113" i="33" s="1"/>
  <c r="N105" i="33"/>
  <c r="O105" i="33" s="1"/>
  <c r="N97" i="33"/>
  <c r="O97" i="33" s="1"/>
  <c r="N89" i="33"/>
  <c r="O89" i="33" s="1"/>
  <c r="N81" i="33"/>
  <c r="O81" i="33" s="1"/>
  <c r="N73" i="33"/>
  <c r="O73" i="33" s="1"/>
  <c r="N65" i="33"/>
  <c r="O65" i="33" s="1"/>
  <c r="N49" i="33"/>
  <c r="O49" i="33" s="1"/>
  <c r="N448" i="33"/>
  <c r="O448" i="33" s="1"/>
  <c r="N432" i="33"/>
  <c r="O432" i="33" s="1"/>
  <c r="N424" i="33"/>
  <c r="O424" i="33" s="1"/>
  <c r="N400" i="33"/>
  <c r="O400" i="33" s="1"/>
  <c r="N392" i="33"/>
  <c r="O392" i="33" s="1"/>
  <c r="N384" i="33"/>
  <c r="O384" i="33" s="1"/>
  <c r="N376" i="33"/>
  <c r="O376" i="33" s="1"/>
  <c r="N368" i="33"/>
  <c r="O368" i="33" s="1"/>
  <c r="N360" i="33"/>
  <c r="O360" i="33" s="1"/>
  <c r="N344" i="33"/>
  <c r="O344" i="33" s="1"/>
  <c r="N336" i="33"/>
  <c r="O336" i="33" s="1"/>
  <c r="N328" i="33"/>
  <c r="O328" i="33" s="1"/>
  <c r="N320" i="33"/>
  <c r="O320" i="33" s="1"/>
  <c r="N304" i="33"/>
  <c r="O304" i="33" s="1"/>
  <c r="N296" i="33"/>
  <c r="O296" i="33" s="1"/>
  <c r="N288" i="33"/>
  <c r="O288" i="33" s="1"/>
  <c r="N264" i="33"/>
  <c r="O264" i="33" s="1"/>
  <c r="N240" i="33"/>
  <c r="O240" i="33" s="1"/>
  <c r="N200" i="33"/>
  <c r="O200" i="33" s="1"/>
  <c r="N192" i="33"/>
  <c r="O192" i="33" s="1"/>
  <c r="N184" i="33"/>
  <c r="O184" i="33" s="1"/>
  <c r="N176" i="33"/>
  <c r="O176" i="33" s="1"/>
  <c r="N168" i="33"/>
  <c r="O168" i="33" s="1"/>
  <c r="N160" i="33"/>
  <c r="O160" i="33" s="1"/>
  <c r="N152" i="33"/>
  <c r="O152" i="33" s="1"/>
  <c r="N144" i="33"/>
  <c r="O144" i="33" s="1"/>
  <c r="N136" i="33"/>
  <c r="O136" i="33" s="1"/>
  <c r="N120" i="33"/>
  <c r="O120" i="33" s="1"/>
  <c r="N96" i="33"/>
  <c r="O96" i="33" s="1"/>
  <c r="N88" i="33"/>
  <c r="O88" i="33" s="1"/>
  <c r="N72" i="33"/>
  <c r="O72" i="33" s="1"/>
  <c r="N56" i="33"/>
  <c r="O56" i="33" s="1"/>
  <c r="N48" i="33"/>
  <c r="O48" i="33" s="1"/>
  <c r="N40" i="33"/>
  <c r="O40" i="33" s="1"/>
  <c r="N455" i="33"/>
  <c r="O455" i="33" s="1"/>
  <c r="N447" i="33"/>
  <c r="O447" i="33" s="1"/>
  <c r="N431" i="33"/>
  <c r="O431" i="33" s="1"/>
  <c r="N407" i="33"/>
  <c r="O407" i="33" s="1"/>
  <c r="N399" i="33"/>
  <c r="O399" i="33" s="1"/>
  <c r="N391" i="33"/>
  <c r="O391" i="33" s="1"/>
  <c r="N367" i="33"/>
  <c r="O367" i="33" s="1"/>
  <c r="N351" i="33"/>
  <c r="O351" i="33" s="1"/>
  <c r="N335" i="33"/>
  <c r="O335" i="33" s="1"/>
  <c r="N327" i="33"/>
  <c r="O327" i="33" s="1"/>
  <c r="N319" i="33"/>
  <c r="O319" i="33" s="1"/>
  <c r="N311" i="33"/>
  <c r="O311" i="33" s="1"/>
  <c r="N287" i="33"/>
  <c r="O287" i="33" s="1"/>
  <c r="N271" i="33"/>
  <c r="O271" i="33" s="1"/>
  <c r="N239" i="33"/>
  <c r="O239" i="33" s="1"/>
  <c r="N207" i="33"/>
  <c r="O207" i="33" s="1"/>
  <c r="N183" i="33"/>
  <c r="O183" i="33" s="1"/>
  <c r="N175" i="33"/>
  <c r="O175" i="33" s="1"/>
  <c r="N167" i="33"/>
  <c r="O167" i="33" s="1"/>
  <c r="N159" i="33"/>
  <c r="O159" i="33" s="1"/>
  <c r="N143" i="33"/>
  <c r="O143" i="33" s="1"/>
  <c r="N135" i="33"/>
  <c r="O135" i="33" s="1"/>
  <c r="N119" i="33"/>
  <c r="O119" i="33" s="1"/>
  <c r="N103" i="33"/>
  <c r="O103" i="33" s="1"/>
  <c r="AO201" i="41"/>
  <c r="AM201" i="41" s="1"/>
  <c r="AM174" i="41"/>
  <c r="AO175" i="41"/>
  <c r="AM42" i="41"/>
  <c r="AO43" i="41"/>
  <c r="AM43" i="41" s="1"/>
  <c r="AO143" i="41"/>
  <c r="AM143" i="41" s="1"/>
  <c r="AO95" i="41"/>
  <c r="AM95" i="41" s="1"/>
  <c r="AO31" i="41"/>
  <c r="AM31" i="41" s="1"/>
  <c r="AM41" i="41"/>
  <c r="AM33" i="41"/>
  <c r="AO22" i="41"/>
  <c r="AM22" i="41" s="1"/>
  <c r="AO133" i="41"/>
  <c r="AO109" i="41"/>
  <c r="K56" i="42"/>
  <c r="J56" i="42"/>
  <c r="I56" i="42"/>
  <c r="I56" i="42" a="1"/>
  <c r="H56" i="42"/>
  <c r="G56" i="42"/>
  <c r="F56" i="42"/>
  <c r="E56" i="42"/>
  <c r="K55" i="42"/>
  <c r="J55" i="42"/>
  <c r="I55" i="42"/>
  <c r="I55" i="42" a="1"/>
  <c r="H55" i="42"/>
  <c r="G55" i="42"/>
  <c r="F55" i="42"/>
  <c r="E55" i="42"/>
  <c r="K54" i="42"/>
  <c r="J54" i="42"/>
  <c r="I54" i="42"/>
  <c r="I54" i="42" a="1"/>
  <c r="H54" i="42"/>
  <c r="G54" i="42"/>
  <c r="F54" i="42"/>
  <c r="E54" i="42"/>
  <c r="K53" i="42"/>
  <c r="J53" i="42"/>
  <c r="I53" i="42"/>
  <c r="I53" i="42" a="1"/>
  <c r="H53" i="42"/>
  <c r="G53" i="42"/>
  <c r="F53" i="42"/>
  <c r="E53" i="42"/>
  <c r="K52" i="42"/>
  <c r="J52" i="42"/>
  <c r="I52" i="42"/>
  <c r="I52" i="42" a="1"/>
  <c r="H52" i="42"/>
  <c r="G52" i="42"/>
  <c r="F52" i="42"/>
  <c r="E52" i="42"/>
  <c r="K51" i="42"/>
  <c r="J51" i="42"/>
  <c r="I51" i="42"/>
  <c r="I51" i="42" a="1"/>
  <c r="H51" i="42"/>
  <c r="G51" i="42"/>
  <c r="F51" i="42"/>
  <c r="E51" i="42"/>
  <c r="K50" i="42"/>
  <c r="J50" i="42"/>
  <c r="I50" i="42"/>
  <c r="I50" i="42" a="1"/>
  <c r="H50" i="42"/>
  <c r="G50" i="42"/>
  <c r="F50" i="42"/>
  <c r="E50" i="42"/>
  <c r="K49" i="42"/>
  <c r="J49" i="42"/>
  <c r="I49" i="42"/>
  <c r="I49" i="42" a="1"/>
  <c r="H49" i="42"/>
  <c r="G49" i="42"/>
  <c r="F49" i="42"/>
  <c r="E49" i="42"/>
  <c r="K48" i="42"/>
  <c r="J48" i="42"/>
  <c r="I48" i="42"/>
  <c r="I48" i="42" a="1"/>
  <c r="H48" i="42"/>
  <c r="G48" i="42"/>
  <c r="F48" i="42"/>
  <c r="E48" i="42"/>
  <c r="K47" i="42"/>
  <c r="J47" i="42"/>
  <c r="I47" i="42"/>
  <c r="I47" i="42" a="1"/>
  <c r="H47" i="42"/>
  <c r="G47" i="42"/>
  <c r="F47" i="42"/>
  <c r="E47" i="42"/>
  <c r="K46" i="42"/>
  <c r="J46" i="42"/>
  <c r="I46" i="42"/>
  <c r="I46" i="42" a="1"/>
  <c r="H46" i="42"/>
  <c r="G46" i="42"/>
  <c r="F46" i="42"/>
  <c r="E46" i="42"/>
  <c r="K45" i="42"/>
  <c r="J45" i="42"/>
  <c r="I45" i="42"/>
  <c r="I45" i="42" a="1"/>
  <c r="H45" i="42"/>
  <c r="G45" i="42"/>
  <c r="F45" i="42"/>
  <c r="E45" i="42"/>
  <c r="K44" i="42"/>
  <c r="J44" i="42"/>
  <c r="I44" i="42"/>
  <c r="I44" i="42" a="1"/>
  <c r="H44" i="42"/>
  <c r="G44" i="42"/>
  <c r="F44" i="42"/>
  <c r="E44" i="42"/>
  <c r="K43" i="42"/>
  <c r="J43" i="42"/>
  <c r="I43" i="42"/>
  <c r="I43" i="42" a="1"/>
  <c r="H43" i="42"/>
  <c r="G43" i="42"/>
  <c r="F43" i="42"/>
  <c r="E43" i="42"/>
  <c r="K42" i="42"/>
  <c r="J42" i="42"/>
  <c r="I42" i="42"/>
  <c r="I42" i="42" a="1"/>
  <c r="H42" i="42"/>
  <c r="G42" i="42"/>
  <c r="F42" i="42"/>
  <c r="E42" i="42"/>
  <c r="K41" i="42"/>
  <c r="J41" i="42"/>
  <c r="I41" i="42"/>
  <c r="I41" i="42" a="1"/>
  <c r="H41" i="42"/>
  <c r="G41" i="42"/>
  <c r="F41" i="42"/>
  <c r="E41" i="42"/>
  <c r="K40" i="42"/>
  <c r="J40" i="42"/>
  <c r="I40" i="42"/>
  <c r="I40" i="42" a="1"/>
  <c r="H40" i="42"/>
  <c r="G40" i="42"/>
  <c r="F40" i="42"/>
  <c r="E40" i="42"/>
  <c r="K39" i="42"/>
  <c r="J39" i="42"/>
  <c r="I39" i="42"/>
  <c r="I39" i="42" a="1"/>
  <c r="H39" i="42"/>
  <c r="G39" i="42"/>
  <c r="F39" i="42"/>
  <c r="E39" i="42"/>
  <c r="K38" i="42"/>
  <c r="J38" i="42"/>
  <c r="I38" i="42"/>
  <c r="I38" i="42" a="1"/>
  <c r="H38" i="42"/>
  <c r="G38" i="42"/>
  <c r="F38" i="42"/>
  <c r="E38" i="42"/>
  <c r="K37" i="42"/>
  <c r="J37" i="42"/>
  <c r="I37" i="42"/>
  <c r="I37" i="42" a="1"/>
  <c r="H37" i="42"/>
  <c r="G37" i="42"/>
  <c r="F37" i="42"/>
  <c r="E37" i="42"/>
  <c r="K36" i="42"/>
  <c r="J36" i="42"/>
  <c r="I36" i="42"/>
  <c r="I36" i="42" a="1"/>
  <c r="H36" i="42"/>
  <c r="G36" i="42"/>
  <c r="F36" i="42"/>
  <c r="E36" i="42"/>
  <c r="K35" i="42"/>
  <c r="J35" i="42"/>
  <c r="I35" i="42"/>
  <c r="I35" i="42" a="1"/>
  <c r="H35" i="42"/>
  <c r="G35" i="42"/>
  <c r="F35" i="42"/>
  <c r="E35" i="42"/>
  <c r="K34" i="42"/>
  <c r="J34" i="42"/>
  <c r="I34" i="42"/>
  <c r="I34" i="42" a="1"/>
  <c r="H34" i="42"/>
  <c r="G34" i="42"/>
  <c r="F34" i="42"/>
  <c r="E34" i="42"/>
  <c r="K33" i="42"/>
  <c r="J33" i="42"/>
  <c r="I33" i="42"/>
  <c r="I33" i="42" a="1"/>
  <c r="H33" i="42"/>
  <c r="G33" i="42"/>
  <c r="F33" i="42"/>
  <c r="E33" i="42"/>
  <c r="AJ32" i="42"/>
  <c r="AI32" i="42"/>
  <c r="AH32" i="42"/>
  <c r="AG32" i="42"/>
  <c r="AF32" i="42"/>
  <c r="AE32" i="42"/>
  <c r="AD32" i="42"/>
  <c r="AC32" i="42"/>
  <c r="AB32" i="42"/>
  <c r="AA32" i="42"/>
  <c r="Z32" i="42"/>
  <c r="Y32" i="42"/>
  <c r="X32" i="42"/>
  <c r="W32" i="42"/>
  <c r="V32" i="42"/>
  <c r="U32" i="42"/>
  <c r="T32" i="42"/>
  <c r="S32" i="42"/>
  <c r="R32" i="42"/>
  <c r="Q32" i="42"/>
  <c r="P32" i="42"/>
  <c r="O32" i="42"/>
  <c r="N32" i="42"/>
  <c r="M32" i="42"/>
  <c r="K32" i="42"/>
  <c r="J32" i="42"/>
  <c r="I32" i="42"/>
  <c r="I32" i="42" a="1"/>
  <c r="H32" i="42"/>
  <c r="G32" i="42"/>
  <c r="F32" i="42"/>
  <c r="E32" i="42"/>
  <c r="AJ31" i="42"/>
  <c r="AI31" i="42"/>
  <c r="AH31" i="42"/>
  <c r="AG31" i="42"/>
  <c r="AF31" i="42"/>
  <c r="AE31" i="42"/>
  <c r="AD31" i="42"/>
  <c r="AC31" i="42"/>
  <c r="AB31" i="42"/>
  <c r="AA31" i="42"/>
  <c r="Z31" i="42"/>
  <c r="Y31" i="42"/>
  <c r="X31" i="42"/>
  <c r="W31" i="42"/>
  <c r="V31" i="42"/>
  <c r="U31" i="42"/>
  <c r="T31" i="42"/>
  <c r="S31" i="42"/>
  <c r="R31" i="42"/>
  <c r="Q31" i="42"/>
  <c r="P31" i="42"/>
  <c r="O31" i="42"/>
  <c r="N31" i="42"/>
  <c r="M31" i="42"/>
  <c r="K31" i="42"/>
  <c r="J31" i="42"/>
  <c r="I31" i="42"/>
  <c r="I31" i="42" a="1"/>
  <c r="H31" i="42"/>
  <c r="G31" i="42"/>
  <c r="F31" i="42"/>
  <c r="E31" i="42"/>
  <c r="AJ30" i="42"/>
  <c r="AI30" i="42"/>
  <c r="AH30" i="42"/>
  <c r="AG30" i="42"/>
  <c r="AF30" i="42"/>
  <c r="AE30" i="42"/>
  <c r="AD30" i="42"/>
  <c r="AC30" i="42"/>
  <c r="AB30" i="42"/>
  <c r="AA30" i="42"/>
  <c r="Z30" i="42"/>
  <c r="Y30" i="42"/>
  <c r="X30" i="42"/>
  <c r="W30" i="42"/>
  <c r="V30" i="42"/>
  <c r="U30" i="42"/>
  <c r="T30" i="42"/>
  <c r="S30" i="42"/>
  <c r="R30" i="42"/>
  <c r="Q30" i="42"/>
  <c r="P30" i="42"/>
  <c r="O30" i="42"/>
  <c r="N30" i="42"/>
  <c r="M30" i="42"/>
  <c r="K30" i="42"/>
  <c r="J30" i="42"/>
  <c r="I30" i="42"/>
  <c r="I30" i="42" a="1"/>
  <c r="H30" i="42"/>
  <c r="G30" i="42"/>
  <c r="F30" i="42"/>
  <c r="E30" i="42"/>
  <c r="AJ29" i="42"/>
  <c r="AI29" i="42"/>
  <c r="AH29" i="42"/>
  <c r="AG29" i="42"/>
  <c r="AF29" i="42"/>
  <c r="AE29" i="42"/>
  <c r="AD29" i="42"/>
  <c r="AC29" i="42"/>
  <c r="AB29" i="42"/>
  <c r="AA29" i="42"/>
  <c r="Z29" i="42"/>
  <c r="Y29" i="42"/>
  <c r="X29" i="42"/>
  <c r="W29" i="42"/>
  <c r="V29" i="42"/>
  <c r="U29" i="42"/>
  <c r="T29" i="42"/>
  <c r="S29" i="42"/>
  <c r="R29" i="42"/>
  <c r="Q29" i="42"/>
  <c r="P29" i="42"/>
  <c r="O29" i="42"/>
  <c r="N29" i="42"/>
  <c r="M29" i="42"/>
  <c r="K29" i="42"/>
  <c r="J29" i="42"/>
  <c r="I29" i="42"/>
  <c r="I29" i="42" a="1"/>
  <c r="H29" i="42"/>
  <c r="G29" i="42"/>
  <c r="F29" i="42"/>
  <c r="E29" i="42"/>
  <c r="AJ28" i="42"/>
  <c r="AI28" i="42"/>
  <c r="AH28" i="42"/>
  <c r="AG28" i="42"/>
  <c r="AF28" i="42"/>
  <c r="AE28" i="42"/>
  <c r="AD28" i="42"/>
  <c r="AC28" i="42"/>
  <c r="AB28" i="42"/>
  <c r="AA28" i="42"/>
  <c r="Z28" i="42"/>
  <c r="Y28" i="42"/>
  <c r="X28" i="42"/>
  <c r="W28" i="42"/>
  <c r="V28" i="42"/>
  <c r="U28" i="42"/>
  <c r="T28" i="42"/>
  <c r="S28" i="42"/>
  <c r="R28" i="42"/>
  <c r="Q28" i="42"/>
  <c r="P28" i="42"/>
  <c r="O28" i="42"/>
  <c r="N28" i="42"/>
  <c r="M28" i="42"/>
  <c r="K28" i="42"/>
  <c r="J28" i="42"/>
  <c r="I28" i="42"/>
  <c r="I28" i="42" a="1"/>
  <c r="H28" i="42"/>
  <c r="G28" i="42"/>
  <c r="F28" i="42"/>
  <c r="E28" i="42"/>
  <c r="AJ27" i="42"/>
  <c r="AI27" i="42"/>
  <c r="AH27" i="42"/>
  <c r="AG27" i="42"/>
  <c r="AF27" i="42"/>
  <c r="AE27" i="42"/>
  <c r="AD27" i="42"/>
  <c r="AC27" i="42"/>
  <c r="AB27" i="42"/>
  <c r="AA27" i="42"/>
  <c r="Z27" i="42"/>
  <c r="Y27" i="42"/>
  <c r="X27" i="42"/>
  <c r="W27" i="42"/>
  <c r="V27" i="42"/>
  <c r="U27" i="42"/>
  <c r="T27" i="42"/>
  <c r="S27" i="42"/>
  <c r="R27" i="42"/>
  <c r="Q27" i="42"/>
  <c r="P27" i="42"/>
  <c r="O27" i="42"/>
  <c r="N27" i="42"/>
  <c r="M27" i="42"/>
  <c r="K27" i="42"/>
  <c r="J27" i="42"/>
  <c r="I27" i="42"/>
  <c r="I27" i="42" a="1"/>
  <c r="H27" i="42"/>
  <c r="G27" i="42"/>
  <c r="F27" i="42"/>
  <c r="E27" i="42"/>
  <c r="AJ26" i="42"/>
  <c r="AI26" i="42"/>
  <c r="AH26" i="42"/>
  <c r="AG26" i="42"/>
  <c r="AF26" i="42"/>
  <c r="AE26" i="42"/>
  <c r="AD26" i="42"/>
  <c r="AC26" i="42"/>
  <c r="AB26" i="42"/>
  <c r="AA26" i="42"/>
  <c r="Z26" i="42"/>
  <c r="Y26" i="42"/>
  <c r="X26" i="42"/>
  <c r="W26" i="42"/>
  <c r="V26" i="42"/>
  <c r="U26" i="42"/>
  <c r="T26" i="42"/>
  <c r="S26" i="42"/>
  <c r="R26" i="42"/>
  <c r="Q26" i="42"/>
  <c r="P26" i="42"/>
  <c r="O26" i="42"/>
  <c r="N26" i="42"/>
  <c r="M26" i="42"/>
  <c r="K26" i="42"/>
  <c r="J26" i="42"/>
  <c r="I26" i="42"/>
  <c r="I26" i="42" a="1"/>
  <c r="H26" i="42"/>
  <c r="G26" i="42"/>
  <c r="F26" i="42"/>
  <c r="E26" i="42"/>
  <c r="AJ25" i="42"/>
  <c r="AI25" i="42"/>
  <c r="AH25" i="42"/>
  <c r="AG25" i="42"/>
  <c r="AF25" i="42"/>
  <c r="AE25" i="42"/>
  <c r="AD25" i="42"/>
  <c r="AC25" i="42"/>
  <c r="AB25" i="42"/>
  <c r="AA25" i="42"/>
  <c r="Z25" i="42"/>
  <c r="Y25" i="42"/>
  <c r="X25" i="42"/>
  <c r="W25" i="42"/>
  <c r="V25" i="42"/>
  <c r="U25" i="42"/>
  <c r="T25" i="42"/>
  <c r="S25" i="42"/>
  <c r="R25" i="42"/>
  <c r="Q25" i="42"/>
  <c r="P25" i="42"/>
  <c r="O25" i="42"/>
  <c r="N25" i="42"/>
  <c r="M25" i="42"/>
  <c r="K25" i="42"/>
  <c r="J25" i="42"/>
  <c r="I25" i="42"/>
  <c r="I25" i="42" a="1"/>
  <c r="H25" i="42"/>
  <c r="G25" i="42"/>
  <c r="F25" i="42"/>
  <c r="E25" i="42"/>
  <c r="AJ24" i="42"/>
  <c r="AI24" i="42"/>
  <c r="AH24" i="42"/>
  <c r="AG24" i="42"/>
  <c r="AF24" i="42"/>
  <c r="AE24" i="42"/>
  <c r="AD24" i="42"/>
  <c r="AC24" i="42"/>
  <c r="AB24" i="42"/>
  <c r="AA24" i="42"/>
  <c r="Z24" i="42"/>
  <c r="Y24" i="42"/>
  <c r="X24" i="42"/>
  <c r="W24" i="42"/>
  <c r="V24" i="42"/>
  <c r="U24" i="42"/>
  <c r="T24" i="42"/>
  <c r="S24" i="42"/>
  <c r="R24" i="42"/>
  <c r="Q24" i="42"/>
  <c r="P24" i="42"/>
  <c r="O24" i="42"/>
  <c r="N24" i="42"/>
  <c r="M24" i="42"/>
  <c r="K24" i="42"/>
  <c r="J24" i="42"/>
  <c r="I24" i="42"/>
  <c r="I24" i="42" a="1"/>
  <c r="H24" i="42"/>
  <c r="G24" i="42"/>
  <c r="F24" i="42"/>
  <c r="E24" i="42"/>
  <c r="AJ23" i="42"/>
  <c r="AI23" i="42"/>
  <c r="AH23" i="42"/>
  <c r="AG23" i="42"/>
  <c r="AF23" i="42"/>
  <c r="AE23" i="42"/>
  <c r="AD23" i="42"/>
  <c r="AC23" i="42"/>
  <c r="AB23" i="42"/>
  <c r="AA23" i="42"/>
  <c r="Z23" i="42"/>
  <c r="Y23" i="42"/>
  <c r="X23" i="42"/>
  <c r="W23" i="42"/>
  <c r="V23" i="42"/>
  <c r="U23" i="42"/>
  <c r="T23" i="42"/>
  <c r="S23" i="42"/>
  <c r="R23" i="42"/>
  <c r="Q23" i="42"/>
  <c r="P23" i="42"/>
  <c r="O23" i="42"/>
  <c r="N23" i="42"/>
  <c r="M23" i="42"/>
  <c r="K23" i="42"/>
  <c r="J23" i="42"/>
  <c r="I23" i="42"/>
  <c r="I23" i="42" a="1"/>
  <c r="H23" i="42"/>
  <c r="G23" i="42"/>
  <c r="F23" i="42"/>
  <c r="E23" i="42"/>
  <c r="AJ22" i="42"/>
  <c r="AI22" i="42"/>
  <c r="AH22" i="42"/>
  <c r="AG22" i="42"/>
  <c r="AF22" i="42"/>
  <c r="AE22" i="42"/>
  <c r="AD22" i="42"/>
  <c r="AC22" i="42"/>
  <c r="AB22" i="42"/>
  <c r="AA22" i="42"/>
  <c r="Z22" i="42"/>
  <c r="Y22" i="42"/>
  <c r="X22" i="42"/>
  <c r="W22" i="42"/>
  <c r="V22" i="42"/>
  <c r="U22" i="42"/>
  <c r="T22" i="42"/>
  <c r="S22" i="42"/>
  <c r="R22" i="42"/>
  <c r="Q22" i="42"/>
  <c r="P22" i="42"/>
  <c r="O22" i="42"/>
  <c r="N22" i="42"/>
  <c r="M22" i="42"/>
  <c r="K22" i="42"/>
  <c r="J22" i="42"/>
  <c r="I22" i="42"/>
  <c r="I22" i="42" a="1"/>
  <c r="H22" i="42"/>
  <c r="G22" i="42"/>
  <c r="F22" i="42"/>
  <c r="E22" i="42"/>
  <c r="AJ21" i="42"/>
  <c r="AI21" i="42"/>
  <c r="AH21" i="42"/>
  <c r="AG21" i="42"/>
  <c r="AF21" i="42"/>
  <c r="AE21" i="42"/>
  <c r="AD21" i="42"/>
  <c r="AC21" i="42"/>
  <c r="AB21" i="42"/>
  <c r="AA21" i="42"/>
  <c r="Z21" i="42"/>
  <c r="Y21" i="42"/>
  <c r="X21" i="42"/>
  <c r="W21" i="42"/>
  <c r="V21" i="42"/>
  <c r="U21" i="42"/>
  <c r="T21" i="42"/>
  <c r="S21" i="42"/>
  <c r="R21" i="42"/>
  <c r="Q21" i="42"/>
  <c r="P21" i="42"/>
  <c r="O21" i="42"/>
  <c r="N21" i="42"/>
  <c r="M21" i="42"/>
  <c r="K21" i="42"/>
  <c r="J21" i="42"/>
  <c r="I21" i="42"/>
  <c r="I21" i="42" a="1"/>
  <c r="H21" i="42"/>
  <c r="G21" i="42"/>
  <c r="F21" i="42"/>
  <c r="E21" i="42"/>
  <c r="AJ20" i="42"/>
  <c r="AI20" i="42"/>
  <c r="AH20" i="42"/>
  <c r="AG20" i="42"/>
  <c r="AF20" i="42"/>
  <c r="AE20" i="42"/>
  <c r="AD20" i="42"/>
  <c r="AC20" i="42"/>
  <c r="AB20" i="42"/>
  <c r="AA20" i="42"/>
  <c r="Z20" i="42"/>
  <c r="Y20" i="42"/>
  <c r="X20" i="42"/>
  <c r="W20" i="42"/>
  <c r="V20" i="42"/>
  <c r="U20" i="42"/>
  <c r="T20" i="42"/>
  <c r="S20" i="42"/>
  <c r="R20" i="42"/>
  <c r="Q20" i="42"/>
  <c r="P20" i="42"/>
  <c r="O20" i="42"/>
  <c r="N20" i="42"/>
  <c r="M20" i="42"/>
  <c r="K20" i="42"/>
  <c r="J20" i="42"/>
  <c r="I20" i="42"/>
  <c r="I20" i="42" a="1"/>
  <c r="H20" i="42"/>
  <c r="G20" i="42"/>
  <c r="F20" i="42"/>
  <c r="E20" i="42"/>
  <c r="AJ19" i="42"/>
  <c r="AI19" i="42"/>
  <c r="AH19" i="42"/>
  <c r="AG19" i="42"/>
  <c r="AF19" i="42"/>
  <c r="AE19" i="42"/>
  <c r="AD19" i="42"/>
  <c r="AC19" i="42"/>
  <c r="AB19" i="42"/>
  <c r="AA19" i="42"/>
  <c r="Z19" i="42"/>
  <c r="Y19" i="42"/>
  <c r="X19" i="42"/>
  <c r="W19" i="42"/>
  <c r="V19" i="42"/>
  <c r="U19" i="42"/>
  <c r="T19" i="42"/>
  <c r="S19" i="42"/>
  <c r="R19" i="42"/>
  <c r="Q19" i="42"/>
  <c r="P19" i="42"/>
  <c r="O19" i="42"/>
  <c r="N19" i="42"/>
  <c r="M19" i="42"/>
  <c r="K19" i="42"/>
  <c r="J19" i="42"/>
  <c r="I19" i="42"/>
  <c r="I19" i="42" a="1"/>
  <c r="H19" i="42"/>
  <c r="G19" i="42"/>
  <c r="F19" i="42"/>
  <c r="E19" i="42"/>
  <c r="AJ18" i="42"/>
  <c r="AI18" i="42"/>
  <c r="AH18" i="42"/>
  <c r="AG18" i="42"/>
  <c r="AF18" i="42"/>
  <c r="AE18" i="42"/>
  <c r="AD18" i="42"/>
  <c r="AC18" i="42"/>
  <c r="AB18" i="42"/>
  <c r="AA18" i="42"/>
  <c r="Z18" i="42"/>
  <c r="Y18" i="42"/>
  <c r="X18" i="42"/>
  <c r="W18" i="42"/>
  <c r="V18" i="42"/>
  <c r="U18" i="42"/>
  <c r="T18" i="42"/>
  <c r="S18" i="42"/>
  <c r="R18" i="42"/>
  <c r="Q18" i="42"/>
  <c r="P18" i="42"/>
  <c r="O18" i="42"/>
  <c r="N18" i="42"/>
  <c r="M18" i="42"/>
  <c r="K18" i="42"/>
  <c r="J18" i="42"/>
  <c r="I18" i="42"/>
  <c r="I18" i="42" a="1"/>
  <c r="H18" i="42"/>
  <c r="G18" i="42"/>
  <c r="F18" i="42"/>
  <c r="E18" i="42"/>
  <c r="AJ17" i="42"/>
  <c r="AI17" i="42"/>
  <c r="AH17" i="42"/>
  <c r="AG17" i="42"/>
  <c r="AF17" i="42"/>
  <c r="AE17" i="42"/>
  <c r="AD17" i="42"/>
  <c r="AC17" i="42"/>
  <c r="AB17" i="42"/>
  <c r="AA17" i="42"/>
  <c r="Z17" i="42"/>
  <c r="Y17" i="42"/>
  <c r="X17" i="42"/>
  <c r="W17" i="42"/>
  <c r="V17" i="42"/>
  <c r="U17" i="42"/>
  <c r="T17" i="42"/>
  <c r="S17" i="42"/>
  <c r="R17" i="42"/>
  <c r="Q17" i="42"/>
  <c r="P17" i="42"/>
  <c r="O17" i="42"/>
  <c r="N17" i="42"/>
  <c r="M17" i="42"/>
  <c r="K17" i="42"/>
  <c r="J17" i="42"/>
  <c r="I17" i="42"/>
  <c r="I17" i="42" a="1"/>
  <c r="H17" i="42"/>
  <c r="G17" i="42"/>
  <c r="F17" i="42"/>
  <c r="E17" i="42"/>
  <c r="AJ16" i="42"/>
  <c r="AI16" i="42"/>
  <c r="AH16" i="42"/>
  <c r="AG16" i="42"/>
  <c r="AF16" i="42"/>
  <c r="AE16" i="42"/>
  <c r="AD16" i="42"/>
  <c r="AC16" i="42"/>
  <c r="AB16" i="42"/>
  <c r="AA16" i="42"/>
  <c r="Z16" i="42"/>
  <c r="Y16" i="42"/>
  <c r="X16" i="42"/>
  <c r="W16" i="42"/>
  <c r="V16" i="42"/>
  <c r="U16" i="42"/>
  <c r="T16" i="42"/>
  <c r="S16" i="42"/>
  <c r="R16" i="42"/>
  <c r="Q16" i="42"/>
  <c r="P16" i="42"/>
  <c r="O16" i="42"/>
  <c r="N16" i="42"/>
  <c r="M16" i="42"/>
  <c r="K16" i="42"/>
  <c r="J16" i="42"/>
  <c r="I16" i="42"/>
  <c r="I16" i="42" a="1"/>
  <c r="H16" i="42"/>
  <c r="G16" i="42"/>
  <c r="F16" i="42"/>
  <c r="E16" i="42"/>
  <c r="AJ15" i="42"/>
  <c r="AI15" i="42"/>
  <c r="AH15" i="42"/>
  <c r="AG15" i="42"/>
  <c r="AF15" i="42"/>
  <c r="AE15" i="42"/>
  <c r="AD15" i="42"/>
  <c r="AC15" i="42"/>
  <c r="AB15" i="42"/>
  <c r="AA15" i="42"/>
  <c r="Z15" i="42"/>
  <c r="Y15" i="42"/>
  <c r="X15" i="42"/>
  <c r="W15" i="42"/>
  <c r="V15" i="42"/>
  <c r="U15" i="42"/>
  <c r="T15" i="42"/>
  <c r="S15" i="42"/>
  <c r="R15" i="42"/>
  <c r="Q15" i="42"/>
  <c r="P15" i="42"/>
  <c r="O15" i="42"/>
  <c r="N15" i="42"/>
  <c r="M15" i="42"/>
  <c r="K15" i="42"/>
  <c r="J15" i="42"/>
  <c r="I15" i="42"/>
  <c r="I15" i="42" a="1"/>
  <c r="H15" i="42"/>
  <c r="G15" i="42"/>
  <c r="F15" i="42"/>
  <c r="E15" i="42"/>
  <c r="AJ14" i="42"/>
  <c r="AI14" i="42"/>
  <c r="AH14" i="42"/>
  <c r="AG14" i="42"/>
  <c r="AF14" i="42"/>
  <c r="AE14" i="42"/>
  <c r="AD14" i="42"/>
  <c r="AC14" i="42"/>
  <c r="AB14" i="42"/>
  <c r="AA14" i="42"/>
  <c r="Z14" i="42"/>
  <c r="Y14" i="42"/>
  <c r="X14" i="42"/>
  <c r="W14" i="42"/>
  <c r="V14" i="42"/>
  <c r="U14" i="42"/>
  <c r="T14" i="42"/>
  <c r="S14" i="42"/>
  <c r="R14" i="42"/>
  <c r="Q14" i="42"/>
  <c r="P14" i="42"/>
  <c r="O14" i="42"/>
  <c r="N14" i="42"/>
  <c r="M14" i="42"/>
  <c r="K14" i="42"/>
  <c r="J14" i="42"/>
  <c r="I14" i="42"/>
  <c r="I14" i="42" a="1"/>
  <c r="H14" i="42"/>
  <c r="G14" i="42"/>
  <c r="F14" i="42"/>
  <c r="E14" i="42"/>
  <c r="AJ13" i="42"/>
  <c r="AI13" i="42"/>
  <c r="AH13" i="42"/>
  <c r="AG13" i="42"/>
  <c r="AF13" i="42"/>
  <c r="AE13" i="42"/>
  <c r="AD13" i="42"/>
  <c r="AC13" i="42"/>
  <c r="AB13" i="42"/>
  <c r="AA13" i="42"/>
  <c r="Z13" i="42"/>
  <c r="Y13" i="42"/>
  <c r="X13" i="42"/>
  <c r="W13" i="42"/>
  <c r="V13" i="42"/>
  <c r="U13" i="42"/>
  <c r="T13" i="42"/>
  <c r="S13" i="42"/>
  <c r="R13" i="42"/>
  <c r="Q13" i="42"/>
  <c r="P13" i="42"/>
  <c r="O13" i="42"/>
  <c r="N13" i="42"/>
  <c r="M13" i="42"/>
  <c r="K13" i="42"/>
  <c r="J13" i="42"/>
  <c r="I13" i="42"/>
  <c r="I13" i="42" a="1"/>
  <c r="H13" i="42"/>
  <c r="G13" i="42"/>
  <c r="F13" i="42"/>
  <c r="E13" i="42"/>
  <c r="AJ12" i="42"/>
  <c r="AI12" i="42"/>
  <c r="AH12" i="42"/>
  <c r="AG12" i="42"/>
  <c r="AF12" i="42"/>
  <c r="AE12" i="42"/>
  <c r="AD12" i="42"/>
  <c r="AC12" i="42"/>
  <c r="AB12" i="42"/>
  <c r="AA12" i="42"/>
  <c r="Z12" i="42"/>
  <c r="Y12" i="42"/>
  <c r="X12" i="42"/>
  <c r="W12" i="42"/>
  <c r="V12" i="42"/>
  <c r="U12" i="42"/>
  <c r="T12" i="42"/>
  <c r="S12" i="42"/>
  <c r="R12" i="42"/>
  <c r="Q12" i="42"/>
  <c r="P12" i="42"/>
  <c r="O12" i="42"/>
  <c r="N12" i="42"/>
  <c r="M12" i="42"/>
  <c r="K12" i="42"/>
  <c r="J12" i="42"/>
  <c r="I12" i="42"/>
  <c r="I12" i="42" a="1"/>
  <c r="H12" i="42"/>
  <c r="G12" i="42"/>
  <c r="F12" i="42"/>
  <c r="E12" i="42"/>
  <c r="AJ11" i="42"/>
  <c r="AI11" i="42"/>
  <c r="AH11" i="42"/>
  <c r="AG11" i="42"/>
  <c r="AF11" i="42"/>
  <c r="AE11" i="42"/>
  <c r="AD11" i="42"/>
  <c r="AC11" i="42"/>
  <c r="AB11" i="42"/>
  <c r="AA11" i="42"/>
  <c r="Z11" i="42"/>
  <c r="Y11" i="42"/>
  <c r="X11" i="42"/>
  <c r="W11" i="42"/>
  <c r="V11" i="42"/>
  <c r="U11" i="42"/>
  <c r="T11" i="42"/>
  <c r="S11" i="42"/>
  <c r="R11" i="42"/>
  <c r="Q11" i="42"/>
  <c r="P11" i="42"/>
  <c r="O11" i="42"/>
  <c r="N11" i="42"/>
  <c r="M11" i="42"/>
  <c r="K11" i="42"/>
  <c r="J11" i="42"/>
  <c r="I11" i="42"/>
  <c r="I11" i="42" a="1"/>
  <c r="H11" i="42"/>
  <c r="G11" i="42"/>
  <c r="F11" i="42"/>
  <c r="E11" i="42"/>
  <c r="AJ10" i="42"/>
  <c r="AI10" i="42"/>
  <c r="AH10" i="42"/>
  <c r="AG10" i="42"/>
  <c r="AF10" i="42"/>
  <c r="AE10" i="42"/>
  <c r="AD10" i="42"/>
  <c r="AC10" i="42"/>
  <c r="AB10" i="42"/>
  <c r="AA10" i="42"/>
  <c r="Z10" i="42"/>
  <c r="Y10" i="42"/>
  <c r="X10" i="42"/>
  <c r="W10" i="42"/>
  <c r="V10" i="42"/>
  <c r="U10" i="42"/>
  <c r="T10" i="42"/>
  <c r="S10" i="42"/>
  <c r="R10" i="42"/>
  <c r="Q10" i="42"/>
  <c r="P10" i="42"/>
  <c r="O10" i="42"/>
  <c r="N10" i="42"/>
  <c r="M10" i="42"/>
  <c r="K10" i="42"/>
  <c r="J10" i="42"/>
  <c r="I10" i="42"/>
  <c r="I10" i="42" a="1"/>
  <c r="H10" i="42"/>
  <c r="G10" i="42"/>
  <c r="F10" i="42"/>
  <c r="E10" i="42"/>
  <c r="AJ9" i="42"/>
  <c r="AI9" i="42"/>
  <c r="AH9" i="42"/>
  <c r="AG9" i="42"/>
  <c r="AF9" i="42"/>
  <c r="AE9" i="42"/>
  <c r="AD9" i="42"/>
  <c r="AC9" i="42"/>
  <c r="AB9" i="42"/>
  <c r="AA9" i="42"/>
  <c r="Z9" i="42"/>
  <c r="Y9" i="42"/>
  <c r="X9" i="42"/>
  <c r="W9" i="42"/>
  <c r="V9" i="42"/>
  <c r="U9" i="42"/>
  <c r="T9" i="42"/>
  <c r="S9" i="42"/>
  <c r="R9" i="42"/>
  <c r="Q9" i="42"/>
  <c r="P9" i="42"/>
  <c r="O9" i="42"/>
  <c r="N9" i="42"/>
  <c r="M9" i="42"/>
  <c r="K9" i="42"/>
  <c r="J9" i="42"/>
  <c r="I9" i="42"/>
  <c r="I9" i="42" a="1"/>
  <c r="H9" i="42"/>
  <c r="G9" i="42"/>
  <c r="F9" i="42"/>
  <c r="E9" i="42"/>
  <c r="AJ8" i="42"/>
  <c r="AI8" i="42"/>
  <c r="AH8" i="42"/>
  <c r="AG8" i="42"/>
  <c r="AF8" i="42"/>
  <c r="AE8" i="42"/>
  <c r="AD8" i="42"/>
  <c r="AC8" i="42"/>
  <c r="AB8" i="42"/>
  <c r="AA8" i="42"/>
  <c r="Z8" i="42"/>
  <c r="Y8" i="42"/>
  <c r="X8" i="42"/>
  <c r="W8" i="42"/>
  <c r="V8" i="42"/>
  <c r="U8" i="42"/>
  <c r="T8" i="42"/>
  <c r="S8" i="42"/>
  <c r="R8" i="42"/>
  <c r="Q8" i="42"/>
  <c r="P8" i="42"/>
  <c r="O8" i="42"/>
  <c r="N8" i="42"/>
  <c r="M8" i="42"/>
  <c r="K8" i="42"/>
  <c r="J8" i="42"/>
  <c r="I8" i="42"/>
  <c r="I8" i="42" a="1"/>
  <c r="H8" i="42"/>
  <c r="G8" i="42"/>
  <c r="F8" i="42"/>
  <c r="E8" i="42"/>
  <c r="AJ7" i="42"/>
  <c r="AI7" i="42"/>
  <c r="AH7" i="42"/>
  <c r="AG7" i="42"/>
  <c r="AF7" i="42"/>
  <c r="AE7" i="42"/>
  <c r="AD7" i="42"/>
  <c r="AC7" i="42"/>
  <c r="AB7" i="42"/>
  <c r="AA7" i="42"/>
  <c r="Z7" i="42"/>
  <c r="Y7" i="42"/>
  <c r="X7" i="42"/>
  <c r="W7" i="42"/>
  <c r="V7" i="42"/>
  <c r="U7" i="42"/>
  <c r="T7" i="42"/>
  <c r="S7" i="42"/>
  <c r="R7" i="42"/>
  <c r="Q7" i="42"/>
  <c r="P7" i="42"/>
  <c r="O7" i="42"/>
  <c r="N7" i="42"/>
  <c r="M7" i="42"/>
  <c r="K7" i="42"/>
  <c r="J7" i="42"/>
  <c r="I7" i="42"/>
  <c r="I7" i="42" a="1"/>
  <c r="H7" i="42"/>
  <c r="G7" i="42"/>
  <c r="F7" i="42"/>
  <c r="E7" i="42"/>
  <c r="AJ6" i="42"/>
  <c r="AI6" i="42"/>
  <c r="AH6" i="42"/>
  <c r="AG6" i="42"/>
  <c r="AF6" i="42"/>
  <c r="AE6" i="42"/>
  <c r="AD6" i="42"/>
  <c r="AC6" i="42"/>
  <c r="AB6" i="42"/>
  <c r="AA6" i="42"/>
  <c r="Z6" i="42"/>
  <c r="Y6" i="42"/>
  <c r="X6" i="42"/>
  <c r="W6" i="42"/>
  <c r="V6" i="42"/>
  <c r="U6" i="42"/>
  <c r="T6" i="42"/>
  <c r="S6" i="42"/>
  <c r="R6" i="42"/>
  <c r="Q6" i="42"/>
  <c r="P6" i="42"/>
  <c r="O6" i="42"/>
  <c r="N6" i="42"/>
  <c r="K6" i="42"/>
  <c r="J6" i="42"/>
  <c r="I6" i="42"/>
  <c r="I6" i="42" a="1"/>
  <c r="H6" i="42"/>
  <c r="G6" i="42"/>
  <c r="F6" i="42"/>
  <c r="E6" i="42"/>
  <c r="AJ5" i="42"/>
  <c r="AI5" i="42"/>
  <c r="AH5" i="42"/>
  <c r="AG5" i="42"/>
  <c r="AF5" i="42"/>
  <c r="AE5" i="42"/>
  <c r="AD5" i="42"/>
  <c r="AC5" i="42"/>
  <c r="AB5" i="42"/>
  <c r="AA5" i="42"/>
  <c r="Z5" i="42"/>
  <c r="Y5" i="42"/>
  <c r="X5" i="42"/>
  <c r="W5" i="42"/>
  <c r="V5" i="42"/>
  <c r="U5" i="42"/>
  <c r="T5" i="42"/>
  <c r="S5" i="42"/>
  <c r="R5" i="42"/>
  <c r="Q5" i="42"/>
  <c r="P5" i="42"/>
  <c r="O5" i="42"/>
  <c r="N5" i="42"/>
  <c r="K5" i="42"/>
  <c r="J5" i="42"/>
  <c r="I5" i="42"/>
  <c r="I5" i="42" a="1"/>
  <c r="H5" i="42"/>
  <c r="G5" i="42"/>
  <c r="F5" i="42"/>
  <c r="E5" i="42"/>
  <c r="AJ4" i="42"/>
  <c r="AI4" i="42"/>
  <c r="AH4" i="42"/>
  <c r="AG4" i="42"/>
  <c r="AF4" i="42"/>
  <c r="AE4" i="42"/>
  <c r="AD4" i="42"/>
  <c r="AC4" i="42"/>
  <c r="AB4" i="42"/>
  <c r="AA4" i="42"/>
  <c r="Z4" i="42"/>
  <c r="Y4" i="42"/>
  <c r="X4" i="42"/>
  <c r="W4" i="42"/>
  <c r="V4" i="42"/>
  <c r="U4" i="42"/>
  <c r="T4" i="42"/>
  <c r="S4" i="42"/>
  <c r="R4" i="42"/>
  <c r="Q4" i="42"/>
  <c r="P4" i="42"/>
  <c r="O4" i="42"/>
  <c r="N4" i="42"/>
  <c r="K4" i="42"/>
  <c r="J4" i="42"/>
  <c r="I4" i="42"/>
  <c r="I4" i="42" a="1"/>
  <c r="H4" i="42"/>
  <c r="G4" i="42"/>
  <c r="F4" i="42"/>
  <c r="E4" i="42"/>
  <c r="K3" i="42"/>
  <c r="J3" i="42"/>
  <c r="I3" i="42"/>
  <c r="I3" i="42" a="1"/>
  <c r="H3" i="42"/>
  <c r="G3" i="42"/>
  <c r="F3" i="42"/>
  <c r="E3" i="42"/>
  <c r="K2" i="42"/>
  <c r="J2" i="42"/>
  <c r="I2" i="42"/>
  <c r="I2" i="42" a="1"/>
  <c r="H2" i="42"/>
  <c r="G2" i="42"/>
  <c r="F2" i="42"/>
  <c r="E2" i="42"/>
  <c r="M1" i="42" a="1"/>
  <c r="M1" i="42" s="1"/>
  <c r="J256" i="45"/>
  <c r="I256" i="45"/>
  <c r="H256" i="45"/>
  <c r="G256" i="45"/>
  <c r="J255" i="45"/>
  <c r="I255" i="45"/>
  <c r="H255" i="45"/>
  <c r="G255" i="45"/>
  <c r="J254" i="45"/>
  <c r="I254" i="45"/>
  <c r="H254" i="45"/>
  <c r="G254" i="45"/>
  <c r="J253" i="45"/>
  <c r="I253" i="45"/>
  <c r="H253" i="45"/>
  <c r="G253" i="45"/>
  <c r="J252" i="45"/>
  <c r="I252" i="45"/>
  <c r="H252" i="45"/>
  <c r="G252" i="45"/>
  <c r="J251" i="45"/>
  <c r="I251" i="45"/>
  <c r="H251" i="45"/>
  <c r="G251" i="45"/>
  <c r="J250" i="45"/>
  <c r="I250" i="45"/>
  <c r="H250" i="45"/>
  <c r="G250" i="45"/>
  <c r="J249" i="45"/>
  <c r="I249" i="45"/>
  <c r="H249" i="45"/>
  <c r="G249" i="45"/>
  <c r="J248" i="45"/>
  <c r="I248" i="45"/>
  <c r="H248" i="45"/>
  <c r="G248" i="45"/>
  <c r="J247" i="45"/>
  <c r="I247" i="45"/>
  <c r="H247" i="45"/>
  <c r="G247" i="45"/>
  <c r="J246" i="45"/>
  <c r="I246" i="45"/>
  <c r="H246" i="45"/>
  <c r="G246" i="45"/>
  <c r="J245" i="45"/>
  <c r="I245" i="45"/>
  <c r="H245" i="45"/>
  <c r="G245" i="45"/>
  <c r="J244" i="45"/>
  <c r="I244" i="45"/>
  <c r="H244" i="45"/>
  <c r="G244" i="45"/>
  <c r="J243" i="45"/>
  <c r="I243" i="45"/>
  <c r="H243" i="45"/>
  <c r="G243" i="45"/>
  <c r="J242" i="45"/>
  <c r="I242" i="45"/>
  <c r="H242" i="45"/>
  <c r="G242" i="45"/>
  <c r="J241" i="45"/>
  <c r="I241" i="45"/>
  <c r="H241" i="45"/>
  <c r="G241" i="45"/>
  <c r="J240" i="45"/>
  <c r="I240" i="45"/>
  <c r="H240" i="45"/>
  <c r="G240" i="45"/>
  <c r="J239" i="45"/>
  <c r="I239" i="45"/>
  <c r="H239" i="45"/>
  <c r="G239" i="45"/>
  <c r="J238" i="45"/>
  <c r="I238" i="45"/>
  <c r="H238" i="45"/>
  <c r="G238" i="45"/>
  <c r="J237" i="45"/>
  <c r="I237" i="45"/>
  <c r="H237" i="45"/>
  <c r="G237" i="45"/>
  <c r="J236" i="45"/>
  <c r="I236" i="45"/>
  <c r="H236" i="45"/>
  <c r="G236" i="45"/>
  <c r="J235" i="45"/>
  <c r="I235" i="45"/>
  <c r="H235" i="45"/>
  <c r="G235" i="45"/>
  <c r="J234" i="45"/>
  <c r="I234" i="45"/>
  <c r="H234" i="45"/>
  <c r="G234" i="45"/>
  <c r="J233" i="45"/>
  <c r="I233" i="45"/>
  <c r="H233" i="45"/>
  <c r="G233" i="45"/>
  <c r="J232" i="45"/>
  <c r="I232" i="45"/>
  <c r="H232" i="45"/>
  <c r="G232" i="45"/>
  <c r="J231" i="45"/>
  <c r="I231" i="45"/>
  <c r="H231" i="45"/>
  <c r="G231" i="45"/>
  <c r="J230" i="45"/>
  <c r="I230" i="45"/>
  <c r="H230" i="45"/>
  <c r="G230" i="45"/>
  <c r="J229" i="45"/>
  <c r="I229" i="45"/>
  <c r="H229" i="45"/>
  <c r="G229" i="45"/>
  <c r="J228" i="45"/>
  <c r="I228" i="45"/>
  <c r="H228" i="45"/>
  <c r="G228" i="45"/>
  <c r="J227" i="45"/>
  <c r="I227" i="45"/>
  <c r="H227" i="45"/>
  <c r="G227" i="45"/>
  <c r="J226" i="45"/>
  <c r="I226" i="45"/>
  <c r="H226" i="45"/>
  <c r="G226" i="45"/>
  <c r="J225" i="45"/>
  <c r="I225" i="45"/>
  <c r="H225" i="45"/>
  <c r="G225" i="45"/>
  <c r="J224" i="45"/>
  <c r="I224" i="45"/>
  <c r="H224" i="45"/>
  <c r="G224" i="45"/>
  <c r="J223" i="45"/>
  <c r="I223" i="45"/>
  <c r="H223" i="45"/>
  <c r="G223" i="45"/>
  <c r="J222" i="45"/>
  <c r="I222" i="45"/>
  <c r="H222" i="45"/>
  <c r="G222" i="45"/>
  <c r="J221" i="45"/>
  <c r="I221" i="45"/>
  <c r="H221" i="45"/>
  <c r="G221" i="45"/>
  <c r="J220" i="45"/>
  <c r="I220" i="45"/>
  <c r="H220" i="45"/>
  <c r="G220" i="45"/>
  <c r="J219" i="45"/>
  <c r="I219" i="45"/>
  <c r="H219" i="45"/>
  <c r="G219" i="45"/>
  <c r="J218" i="45"/>
  <c r="I218" i="45"/>
  <c r="H218" i="45"/>
  <c r="G218" i="45"/>
  <c r="J217" i="45"/>
  <c r="I217" i="45"/>
  <c r="H217" i="45"/>
  <c r="G217" i="45"/>
  <c r="J216" i="45"/>
  <c r="I216" i="45"/>
  <c r="H216" i="45"/>
  <c r="G216" i="45"/>
  <c r="J215" i="45"/>
  <c r="I215" i="45"/>
  <c r="H215" i="45"/>
  <c r="G215" i="45"/>
  <c r="J214" i="45"/>
  <c r="I214" i="45"/>
  <c r="H214" i="45"/>
  <c r="G214" i="45"/>
  <c r="J213" i="45"/>
  <c r="I213" i="45"/>
  <c r="H213" i="45"/>
  <c r="G213" i="45"/>
  <c r="J212" i="45"/>
  <c r="I212" i="45"/>
  <c r="H212" i="45"/>
  <c r="G212" i="45"/>
  <c r="J211" i="45"/>
  <c r="I211" i="45"/>
  <c r="H211" i="45"/>
  <c r="G211" i="45"/>
  <c r="J210" i="45"/>
  <c r="I210" i="45"/>
  <c r="H210" i="45"/>
  <c r="G210" i="45"/>
  <c r="J209" i="45"/>
  <c r="I209" i="45"/>
  <c r="H209" i="45"/>
  <c r="G209" i="45"/>
  <c r="J208" i="45"/>
  <c r="I208" i="45"/>
  <c r="H208" i="45"/>
  <c r="G208" i="45"/>
  <c r="J207" i="45"/>
  <c r="I207" i="45"/>
  <c r="H207" i="45"/>
  <c r="G207" i="45"/>
  <c r="J206" i="45"/>
  <c r="I206" i="45"/>
  <c r="H206" i="45"/>
  <c r="G206" i="45"/>
  <c r="J205" i="45"/>
  <c r="I205" i="45"/>
  <c r="H205" i="45"/>
  <c r="G205" i="45"/>
  <c r="J204" i="45"/>
  <c r="I204" i="45"/>
  <c r="H204" i="45"/>
  <c r="G204" i="45"/>
  <c r="J203" i="45"/>
  <c r="I203" i="45"/>
  <c r="H203" i="45"/>
  <c r="G203" i="45"/>
  <c r="J202" i="45"/>
  <c r="I202" i="45"/>
  <c r="H202" i="45"/>
  <c r="G202" i="45"/>
  <c r="J201" i="45"/>
  <c r="I201" i="45"/>
  <c r="H201" i="45"/>
  <c r="G201" i="45"/>
  <c r="J200" i="45"/>
  <c r="I200" i="45"/>
  <c r="H200" i="45"/>
  <c r="G200" i="45"/>
  <c r="J199" i="45"/>
  <c r="I199" i="45"/>
  <c r="H199" i="45"/>
  <c r="G199" i="45"/>
  <c r="J198" i="45"/>
  <c r="I198" i="45"/>
  <c r="H198" i="45"/>
  <c r="G198" i="45"/>
  <c r="J197" i="45"/>
  <c r="I197" i="45"/>
  <c r="H197" i="45"/>
  <c r="G197" i="45"/>
  <c r="J196" i="45"/>
  <c r="I196" i="45"/>
  <c r="H196" i="45"/>
  <c r="G196" i="45"/>
  <c r="J195" i="45"/>
  <c r="I195" i="45"/>
  <c r="H195" i="45"/>
  <c r="G195" i="45"/>
  <c r="J194" i="45"/>
  <c r="I194" i="45"/>
  <c r="H194" i="45"/>
  <c r="G194" i="45"/>
  <c r="J193" i="45"/>
  <c r="I193" i="45"/>
  <c r="H193" i="45"/>
  <c r="G193" i="45"/>
  <c r="J192" i="45"/>
  <c r="I192" i="45"/>
  <c r="H192" i="45"/>
  <c r="G192" i="45"/>
  <c r="J191" i="45"/>
  <c r="I191" i="45"/>
  <c r="H191" i="45"/>
  <c r="G191" i="45"/>
  <c r="J190" i="45"/>
  <c r="I190" i="45"/>
  <c r="H190" i="45"/>
  <c r="G190" i="45"/>
  <c r="J189" i="45"/>
  <c r="I189" i="45"/>
  <c r="H189" i="45"/>
  <c r="G189" i="45"/>
  <c r="J188" i="45"/>
  <c r="I188" i="45"/>
  <c r="H188" i="45"/>
  <c r="G188" i="45"/>
  <c r="J187" i="45"/>
  <c r="I187" i="45"/>
  <c r="H187" i="45"/>
  <c r="G187" i="45"/>
  <c r="J186" i="45"/>
  <c r="I186" i="45"/>
  <c r="H186" i="45"/>
  <c r="G186" i="45"/>
  <c r="J185" i="45"/>
  <c r="I185" i="45"/>
  <c r="H185" i="45"/>
  <c r="G185" i="45"/>
  <c r="J184" i="45"/>
  <c r="I184" i="45"/>
  <c r="H184" i="45"/>
  <c r="G184" i="45"/>
  <c r="J183" i="45"/>
  <c r="I183" i="45"/>
  <c r="H183" i="45"/>
  <c r="G183" i="45"/>
  <c r="J182" i="45"/>
  <c r="I182" i="45"/>
  <c r="H182" i="45"/>
  <c r="G182" i="45"/>
  <c r="J181" i="45"/>
  <c r="I181" i="45"/>
  <c r="H181" i="45"/>
  <c r="G181" i="45"/>
  <c r="J180" i="45"/>
  <c r="I180" i="45"/>
  <c r="H180" i="45"/>
  <c r="G180" i="45"/>
  <c r="J179" i="45"/>
  <c r="I179" i="45"/>
  <c r="H179" i="45"/>
  <c r="G179" i="45"/>
  <c r="J178" i="45"/>
  <c r="I178" i="45"/>
  <c r="H178" i="45"/>
  <c r="G178" i="45"/>
  <c r="J177" i="45"/>
  <c r="I177" i="45"/>
  <c r="H177" i="45"/>
  <c r="G177" i="45"/>
  <c r="J176" i="45"/>
  <c r="I176" i="45"/>
  <c r="H176" i="45"/>
  <c r="G176" i="45"/>
  <c r="J175" i="45"/>
  <c r="I175" i="45"/>
  <c r="H175" i="45"/>
  <c r="G175" i="45"/>
  <c r="J174" i="45"/>
  <c r="I174" i="45"/>
  <c r="H174" i="45"/>
  <c r="G174" i="45"/>
  <c r="J173" i="45"/>
  <c r="I173" i="45"/>
  <c r="H173" i="45"/>
  <c r="G173" i="45"/>
  <c r="J172" i="45"/>
  <c r="I172" i="45"/>
  <c r="H172" i="45"/>
  <c r="G172" i="45"/>
  <c r="J171" i="45"/>
  <c r="I171" i="45"/>
  <c r="H171" i="45"/>
  <c r="G171" i="45"/>
  <c r="J170" i="45"/>
  <c r="I170" i="45"/>
  <c r="H170" i="45"/>
  <c r="G170" i="45"/>
  <c r="J169" i="45"/>
  <c r="I169" i="45"/>
  <c r="H169" i="45"/>
  <c r="G169" i="45"/>
  <c r="J168" i="45"/>
  <c r="I168" i="45"/>
  <c r="H168" i="45"/>
  <c r="G168" i="45"/>
  <c r="J167" i="45"/>
  <c r="I167" i="45"/>
  <c r="H167" i="45"/>
  <c r="G167" i="45"/>
  <c r="J166" i="45"/>
  <c r="I166" i="45"/>
  <c r="H166" i="45"/>
  <c r="G166" i="45"/>
  <c r="J165" i="45"/>
  <c r="I165" i="45"/>
  <c r="H165" i="45"/>
  <c r="G165" i="45"/>
  <c r="J164" i="45"/>
  <c r="I164" i="45"/>
  <c r="H164" i="45"/>
  <c r="G164" i="45"/>
  <c r="J163" i="45"/>
  <c r="I163" i="45"/>
  <c r="H163" i="45"/>
  <c r="G163" i="45"/>
  <c r="J162" i="45"/>
  <c r="I162" i="45"/>
  <c r="H162" i="45"/>
  <c r="G162" i="45"/>
  <c r="J161" i="45"/>
  <c r="I161" i="45"/>
  <c r="H161" i="45"/>
  <c r="G161" i="45"/>
  <c r="J160" i="45"/>
  <c r="I160" i="45"/>
  <c r="H160" i="45"/>
  <c r="G160" i="45"/>
  <c r="J159" i="45"/>
  <c r="I159" i="45"/>
  <c r="H159" i="45"/>
  <c r="G159" i="45"/>
  <c r="J158" i="45"/>
  <c r="I158" i="45"/>
  <c r="H158" i="45"/>
  <c r="G158" i="45"/>
  <c r="J157" i="45"/>
  <c r="I157" i="45"/>
  <c r="H157" i="45"/>
  <c r="G157" i="45"/>
  <c r="J156" i="45"/>
  <c r="I156" i="45"/>
  <c r="H156" i="45"/>
  <c r="G156" i="45"/>
  <c r="J155" i="45"/>
  <c r="I155" i="45"/>
  <c r="H155" i="45"/>
  <c r="G155" i="45"/>
  <c r="J154" i="45"/>
  <c r="I154" i="45"/>
  <c r="H154" i="45"/>
  <c r="G154" i="45"/>
  <c r="J153" i="45"/>
  <c r="I153" i="45"/>
  <c r="H153" i="45"/>
  <c r="G153" i="45"/>
  <c r="J152" i="45"/>
  <c r="I152" i="45"/>
  <c r="H152" i="45"/>
  <c r="G152" i="45"/>
  <c r="J151" i="45"/>
  <c r="I151" i="45"/>
  <c r="H151" i="45"/>
  <c r="G151" i="45"/>
  <c r="J150" i="45"/>
  <c r="I150" i="45"/>
  <c r="H150" i="45"/>
  <c r="G150" i="45"/>
  <c r="J149" i="45"/>
  <c r="I149" i="45"/>
  <c r="H149" i="45"/>
  <c r="G149" i="45"/>
  <c r="J148" i="45"/>
  <c r="I148" i="45"/>
  <c r="H148" i="45"/>
  <c r="G148" i="45"/>
  <c r="J147" i="45"/>
  <c r="I147" i="45"/>
  <c r="H147" i="45"/>
  <c r="G147" i="45"/>
  <c r="J146" i="45"/>
  <c r="I146" i="45"/>
  <c r="H146" i="45"/>
  <c r="G146" i="45"/>
  <c r="J145" i="45"/>
  <c r="I145" i="45"/>
  <c r="H145" i="45"/>
  <c r="G145" i="45"/>
  <c r="J144" i="45"/>
  <c r="I144" i="45"/>
  <c r="H144" i="45"/>
  <c r="G144" i="45"/>
  <c r="J143" i="45"/>
  <c r="I143" i="45"/>
  <c r="H143" i="45"/>
  <c r="G143" i="45"/>
  <c r="J142" i="45"/>
  <c r="I142" i="45"/>
  <c r="H142" i="45"/>
  <c r="G142" i="45"/>
  <c r="J141" i="45"/>
  <c r="I141" i="45"/>
  <c r="H141" i="45"/>
  <c r="G141" i="45"/>
  <c r="J140" i="45"/>
  <c r="I140" i="45"/>
  <c r="H140" i="45"/>
  <c r="G140" i="45"/>
  <c r="J139" i="45"/>
  <c r="I139" i="45"/>
  <c r="H139" i="45"/>
  <c r="G139" i="45"/>
  <c r="J138" i="45"/>
  <c r="I138" i="45"/>
  <c r="H138" i="45"/>
  <c r="G138" i="45"/>
  <c r="J137" i="45"/>
  <c r="I137" i="45"/>
  <c r="H137" i="45"/>
  <c r="G137" i="45"/>
  <c r="J136" i="45"/>
  <c r="I136" i="45"/>
  <c r="H136" i="45"/>
  <c r="G136" i="45"/>
  <c r="J135" i="45"/>
  <c r="I135" i="45"/>
  <c r="H135" i="45"/>
  <c r="G135" i="45"/>
  <c r="J134" i="45"/>
  <c r="I134" i="45"/>
  <c r="H134" i="45"/>
  <c r="G134" i="45"/>
  <c r="J133" i="45"/>
  <c r="I133" i="45"/>
  <c r="H133" i="45"/>
  <c r="G133" i="45"/>
  <c r="J132" i="45"/>
  <c r="I132" i="45"/>
  <c r="H132" i="45"/>
  <c r="G132" i="45"/>
  <c r="J131" i="45"/>
  <c r="I131" i="45"/>
  <c r="H131" i="45"/>
  <c r="G131" i="45"/>
  <c r="J130" i="45"/>
  <c r="I130" i="45"/>
  <c r="H130" i="45"/>
  <c r="G130" i="45"/>
  <c r="J129" i="45"/>
  <c r="I129" i="45"/>
  <c r="H129" i="45"/>
  <c r="G129" i="45"/>
  <c r="J128" i="45"/>
  <c r="I128" i="45"/>
  <c r="H128" i="45"/>
  <c r="G128" i="45"/>
  <c r="J127" i="45"/>
  <c r="I127" i="45"/>
  <c r="H127" i="45"/>
  <c r="G127" i="45"/>
  <c r="J126" i="45"/>
  <c r="I126" i="45"/>
  <c r="H126" i="45"/>
  <c r="G126" i="45"/>
  <c r="J125" i="45"/>
  <c r="I125" i="45"/>
  <c r="H125" i="45"/>
  <c r="G125" i="45"/>
  <c r="J124" i="45"/>
  <c r="I124" i="45"/>
  <c r="H124" i="45"/>
  <c r="G124" i="45"/>
  <c r="J123" i="45"/>
  <c r="I123" i="45"/>
  <c r="H123" i="45"/>
  <c r="G123" i="45"/>
  <c r="J122" i="45"/>
  <c r="I122" i="45"/>
  <c r="H122" i="45"/>
  <c r="G122" i="45"/>
  <c r="J121" i="45"/>
  <c r="I121" i="45"/>
  <c r="H121" i="45"/>
  <c r="G121" i="45"/>
  <c r="J120" i="45"/>
  <c r="I120" i="45"/>
  <c r="H120" i="45"/>
  <c r="G120" i="45"/>
  <c r="J119" i="45"/>
  <c r="I119" i="45"/>
  <c r="H119" i="45"/>
  <c r="G119" i="45"/>
  <c r="J118" i="45"/>
  <c r="I118" i="45"/>
  <c r="H118" i="45"/>
  <c r="G118" i="45"/>
  <c r="J117" i="45"/>
  <c r="I117" i="45"/>
  <c r="H117" i="45"/>
  <c r="G117" i="45"/>
  <c r="J116" i="45"/>
  <c r="I116" i="45"/>
  <c r="H116" i="45"/>
  <c r="G116" i="45"/>
  <c r="J115" i="45"/>
  <c r="I115" i="45"/>
  <c r="H115" i="45"/>
  <c r="G115" i="45"/>
  <c r="J114" i="45"/>
  <c r="I114" i="45"/>
  <c r="H114" i="45"/>
  <c r="G114" i="45"/>
  <c r="J113" i="45"/>
  <c r="I113" i="45"/>
  <c r="H113" i="45"/>
  <c r="G113" i="45"/>
  <c r="J112" i="45"/>
  <c r="I112" i="45"/>
  <c r="H112" i="45"/>
  <c r="G112" i="45"/>
  <c r="J111" i="45"/>
  <c r="I111" i="45"/>
  <c r="H111" i="45"/>
  <c r="G111" i="45"/>
  <c r="J110" i="45"/>
  <c r="I110" i="45"/>
  <c r="H110" i="45"/>
  <c r="G110" i="45"/>
  <c r="J109" i="45"/>
  <c r="I109" i="45"/>
  <c r="H109" i="45"/>
  <c r="G109" i="45"/>
  <c r="J108" i="45"/>
  <c r="I108" i="45"/>
  <c r="H108" i="45"/>
  <c r="G108" i="45"/>
  <c r="J107" i="45"/>
  <c r="I107" i="45"/>
  <c r="H107" i="45"/>
  <c r="G107" i="45"/>
  <c r="J106" i="45"/>
  <c r="I106" i="45"/>
  <c r="H106" i="45"/>
  <c r="G106" i="45"/>
  <c r="J105" i="45"/>
  <c r="I105" i="45"/>
  <c r="H105" i="45"/>
  <c r="G105" i="45"/>
  <c r="J104" i="45"/>
  <c r="I104" i="45"/>
  <c r="H104" i="45"/>
  <c r="G104" i="45"/>
  <c r="J103" i="45"/>
  <c r="I103" i="45"/>
  <c r="H103" i="45"/>
  <c r="G103" i="45"/>
  <c r="J102" i="45"/>
  <c r="I102" i="45"/>
  <c r="H102" i="45"/>
  <c r="G102" i="45"/>
  <c r="J101" i="45"/>
  <c r="I101" i="45"/>
  <c r="H101" i="45"/>
  <c r="G101" i="45"/>
  <c r="J100" i="45"/>
  <c r="I100" i="45"/>
  <c r="H100" i="45"/>
  <c r="G100" i="45"/>
  <c r="J99" i="45"/>
  <c r="I99" i="45"/>
  <c r="H99" i="45"/>
  <c r="G99" i="45"/>
  <c r="J98" i="45"/>
  <c r="I98" i="45"/>
  <c r="H98" i="45"/>
  <c r="G98" i="45"/>
  <c r="J97" i="45"/>
  <c r="I97" i="45"/>
  <c r="H97" i="45"/>
  <c r="G97" i="45"/>
  <c r="J96" i="45"/>
  <c r="I96" i="45"/>
  <c r="H96" i="45"/>
  <c r="G96" i="45"/>
  <c r="J95" i="45"/>
  <c r="I95" i="45"/>
  <c r="H95" i="45"/>
  <c r="G95" i="45"/>
  <c r="J94" i="45"/>
  <c r="I94" i="45"/>
  <c r="H94" i="45"/>
  <c r="G94" i="45"/>
  <c r="J93" i="45"/>
  <c r="I93" i="45"/>
  <c r="H93" i="45"/>
  <c r="G93" i="45"/>
  <c r="J92" i="45"/>
  <c r="I92" i="45"/>
  <c r="H92" i="45"/>
  <c r="G92" i="45"/>
  <c r="J91" i="45"/>
  <c r="I91" i="45"/>
  <c r="H91" i="45"/>
  <c r="G91" i="45"/>
  <c r="J90" i="45"/>
  <c r="I90" i="45"/>
  <c r="H90" i="45"/>
  <c r="G90" i="45"/>
  <c r="J89" i="45"/>
  <c r="I89" i="45"/>
  <c r="H89" i="45"/>
  <c r="G89" i="45"/>
  <c r="J88" i="45"/>
  <c r="I88" i="45"/>
  <c r="H88" i="45"/>
  <c r="G88" i="45"/>
  <c r="J87" i="45"/>
  <c r="I87" i="45"/>
  <c r="H87" i="45"/>
  <c r="G87" i="45"/>
  <c r="J86" i="45"/>
  <c r="I86" i="45"/>
  <c r="H86" i="45"/>
  <c r="G86" i="45"/>
  <c r="J85" i="45"/>
  <c r="I85" i="45"/>
  <c r="H85" i="45"/>
  <c r="G85" i="45"/>
  <c r="J84" i="45"/>
  <c r="I84" i="45"/>
  <c r="H84" i="45"/>
  <c r="G84" i="45"/>
  <c r="J83" i="45"/>
  <c r="I83" i="45"/>
  <c r="H83" i="45"/>
  <c r="G83" i="45"/>
  <c r="J82" i="45"/>
  <c r="I82" i="45"/>
  <c r="H82" i="45"/>
  <c r="G82" i="45"/>
  <c r="J81" i="45"/>
  <c r="I81" i="45"/>
  <c r="H81" i="45"/>
  <c r="G81" i="45"/>
  <c r="J80" i="45"/>
  <c r="I80" i="45"/>
  <c r="H80" i="45"/>
  <c r="G80" i="45"/>
  <c r="J79" i="45"/>
  <c r="I79" i="45"/>
  <c r="H79" i="45"/>
  <c r="G79" i="45"/>
  <c r="J78" i="45"/>
  <c r="I78" i="45"/>
  <c r="H78" i="45"/>
  <c r="G78" i="45"/>
  <c r="J77" i="45"/>
  <c r="I77" i="45"/>
  <c r="H77" i="45"/>
  <c r="G77" i="45"/>
  <c r="J76" i="45"/>
  <c r="I76" i="45"/>
  <c r="H76" i="45"/>
  <c r="G76" i="45"/>
  <c r="J75" i="45"/>
  <c r="I75" i="45"/>
  <c r="H75" i="45"/>
  <c r="G75" i="45"/>
  <c r="J74" i="45"/>
  <c r="I74" i="45"/>
  <c r="H74" i="45"/>
  <c r="G74" i="45"/>
  <c r="J73" i="45"/>
  <c r="I73" i="45"/>
  <c r="H73" i="45"/>
  <c r="G73" i="45"/>
  <c r="J72" i="45"/>
  <c r="I72" i="45"/>
  <c r="H72" i="45"/>
  <c r="G72" i="45"/>
  <c r="J71" i="45"/>
  <c r="I71" i="45"/>
  <c r="H71" i="45"/>
  <c r="G71" i="45"/>
  <c r="J70" i="45"/>
  <c r="I70" i="45"/>
  <c r="H70" i="45"/>
  <c r="G70" i="45"/>
  <c r="J69" i="45"/>
  <c r="I69" i="45"/>
  <c r="H69" i="45"/>
  <c r="G69" i="45"/>
  <c r="J68" i="45"/>
  <c r="I68" i="45"/>
  <c r="H68" i="45"/>
  <c r="G68" i="45"/>
  <c r="J67" i="45"/>
  <c r="I67" i="45"/>
  <c r="H67" i="45"/>
  <c r="G67" i="45"/>
  <c r="J66" i="45"/>
  <c r="I66" i="45"/>
  <c r="H66" i="45"/>
  <c r="G66" i="45"/>
  <c r="J65" i="45"/>
  <c r="I65" i="45"/>
  <c r="H65" i="45"/>
  <c r="G65" i="45"/>
  <c r="J64" i="45"/>
  <c r="I64" i="45"/>
  <c r="H64" i="45"/>
  <c r="G64" i="45"/>
  <c r="J63" i="45"/>
  <c r="I63" i="45"/>
  <c r="H63" i="45"/>
  <c r="G63" i="45"/>
  <c r="J62" i="45"/>
  <c r="I62" i="45"/>
  <c r="H62" i="45"/>
  <c r="G62" i="45"/>
  <c r="J61" i="45"/>
  <c r="I61" i="45"/>
  <c r="H61" i="45"/>
  <c r="G61" i="45"/>
  <c r="J60" i="45"/>
  <c r="I60" i="45"/>
  <c r="H60" i="45"/>
  <c r="G60" i="45"/>
  <c r="J59" i="45"/>
  <c r="I59" i="45"/>
  <c r="H59" i="45"/>
  <c r="G59" i="45"/>
  <c r="J58" i="45"/>
  <c r="I58" i="45"/>
  <c r="H58" i="45"/>
  <c r="G58" i="45"/>
  <c r="J57" i="45"/>
  <c r="I57" i="45"/>
  <c r="H57" i="45"/>
  <c r="G57" i="45"/>
  <c r="J56" i="45"/>
  <c r="I56" i="45"/>
  <c r="H56" i="45"/>
  <c r="G56" i="45"/>
  <c r="J55" i="45"/>
  <c r="I55" i="45"/>
  <c r="H55" i="45"/>
  <c r="G55" i="45"/>
  <c r="J54" i="45"/>
  <c r="I54" i="45"/>
  <c r="H54" i="45"/>
  <c r="G54" i="45"/>
  <c r="J53" i="45"/>
  <c r="I53" i="45"/>
  <c r="H53" i="45"/>
  <c r="G53" i="45"/>
  <c r="J52" i="45"/>
  <c r="I52" i="45"/>
  <c r="H52" i="45"/>
  <c r="G52" i="45"/>
  <c r="J51" i="45"/>
  <c r="I51" i="45"/>
  <c r="H51" i="45"/>
  <c r="G51" i="45"/>
  <c r="J50" i="45"/>
  <c r="I50" i="45"/>
  <c r="H50" i="45"/>
  <c r="G50" i="45"/>
  <c r="J49" i="45"/>
  <c r="I49" i="45"/>
  <c r="H49" i="45"/>
  <c r="G49" i="45"/>
  <c r="J48" i="45"/>
  <c r="I48" i="45"/>
  <c r="H48" i="45"/>
  <c r="G48" i="45"/>
  <c r="J47" i="45"/>
  <c r="I47" i="45"/>
  <c r="H47" i="45"/>
  <c r="G47" i="45"/>
  <c r="J46" i="45"/>
  <c r="I46" i="45"/>
  <c r="H46" i="45"/>
  <c r="G46" i="45"/>
  <c r="J45" i="45"/>
  <c r="I45" i="45"/>
  <c r="H45" i="45"/>
  <c r="G45" i="45"/>
  <c r="J44" i="45"/>
  <c r="I44" i="45"/>
  <c r="H44" i="45"/>
  <c r="G44" i="45"/>
  <c r="J43" i="45"/>
  <c r="I43" i="45"/>
  <c r="H43" i="45"/>
  <c r="G43" i="45"/>
  <c r="J42" i="45"/>
  <c r="I42" i="45"/>
  <c r="H42" i="45"/>
  <c r="G42" i="45"/>
  <c r="J41" i="45"/>
  <c r="I41" i="45"/>
  <c r="H41" i="45"/>
  <c r="G41" i="45"/>
  <c r="J40" i="45"/>
  <c r="I40" i="45"/>
  <c r="H40" i="45"/>
  <c r="G40" i="45"/>
  <c r="J39" i="45"/>
  <c r="I39" i="45"/>
  <c r="H39" i="45"/>
  <c r="G39" i="45"/>
  <c r="J38" i="45"/>
  <c r="I38" i="45"/>
  <c r="H38" i="45"/>
  <c r="G38" i="45"/>
  <c r="Q37" i="45"/>
  <c r="J37" i="45"/>
  <c r="I37" i="45"/>
  <c r="H37" i="45"/>
  <c r="G37" i="45"/>
  <c r="Q36" i="45"/>
  <c r="J36" i="45"/>
  <c r="I36" i="45"/>
  <c r="H36" i="45"/>
  <c r="G36" i="45"/>
  <c r="Q35" i="45"/>
  <c r="J35" i="45"/>
  <c r="I35" i="45"/>
  <c r="H35" i="45"/>
  <c r="G35" i="45"/>
  <c r="Q34" i="45"/>
  <c r="J34" i="45"/>
  <c r="I34" i="45"/>
  <c r="H34" i="45"/>
  <c r="G34" i="45"/>
  <c r="Q33" i="45"/>
  <c r="J33" i="45"/>
  <c r="I33" i="45"/>
  <c r="H33" i="45"/>
  <c r="G33" i="45"/>
  <c r="Q32" i="45"/>
  <c r="J32" i="45"/>
  <c r="I32" i="45"/>
  <c r="H32" i="45"/>
  <c r="G32" i="45"/>
  <c r="Q31" i="45"/>
  <c r="J31" i="45"/>
  <c r="I31" i="45"/>
  <c r="H31" i="45"/>
  <c r="G31" i="45"/>
  <c r="Q30" i="45"/>
  <c r="J30" i="45"/>
  <c r="I30" i="45"/>
  <c r="H30" i="45"/>
  <c r="G30" i="45"/>
  <c r="Q29" i="45"/>
  <c r="J29" i="45"/>
  <c r="I29" i="45"/>
  <c r="H29" i="45"/>
  <c r="G29" i="45"/>
  <c r="Q28" i="45"/>
  <c r="J28" i="45"/>
  <c r="I28" i="45"/>
  <c r="H28" i="45"/>
  <c r="G28" i="45"/>
  <c r="Q27" i="45"/>
  <c r="J27" i="45"/>
  <c r="I27" i="45"/>
  <c r="H27" i="45"/>
  <c r="G27" i="45"/>
  <c r="Q26" i="45"/>
  <c r="J26" i="45"/>
  <c r="I26" i="45"/>
  <c r="H26" i="45"/>
  <c r="G26" i="45"/>
  <c r="Q25" i="45"/>
  <c r="J25" i="45"/>
  <c r="I25" i="45"/>
  <c r="H25" i="45"/>
  <c r="G25" i="45"/>
  <c r="Q24" i="45"/>
  <c r="J24" i="45"/>
  <c r="I24" i="45"/>
  <c r="H24" i="45"/>
  <c r="G24" i="45"/>
  <c r="Q23" i="45"/>
  <c r="J23" i="45"/>
  <c r="I23" i="45"/>
  <c r="H23" i="45"/>
  <c r="G23" i="45"/>
  <c r="Q22" i="45"/>
  <c r="J22" i="45"/>
  <c r="I22" i="45"/>
  <c r="H22" i="45"/>
  <c r="G22" i="45"/>
  <c r="Q21" i="45"/>
  <c r="J21" i="45"/>
  <c r="I21" i="45"/>
  <c r="H21" i="45"/>
  <c r="G21" i="45"/>
  <c r="Q20" i="45"/>
  <c r="J20" i="45"/>
  <c r="I20" i="45"/>
  <c r="H20" i="45"/>
  <c r="G20" i="45"/>
  <c r="Q19" i="45"/>
  <c r="J19" i="45"/>
  <c r="I19" i="45"/>
  <c r="H19" i="45"/>
  <c r="G19" i="45"/>
  <c r="Q18" i="45"/>
  <c r="J18" i="45"/>
  <c r="I18" i="45"/>
  <c r="H18" i="45"/>
  <c r="G18" i="45"/>
  <c r="Q17" i="45"/>
  <c r="J17" i="45"/>
  <c r="I17" i="45"/>
  <c r="H17" i="45"/>
  <c r="G17" i="45"/>
  <c r="Q16" i="45"/>
  <c r="J16" i="45"/>
  <c r="I16" i="45"/>
  <c r="H16" i="45"/>
  <c r="G16" i="45"/>
  <c r="Q15" i="45"/>
  <c r="J15" i="45"/>
  <c r="I15" i="45"/>
  <c r="H15" i="45"/>
  <c r="G15" i="45"/>
  <c r="Q14" i="45"/>
  <c r="J14" i="45"/>
  <c r="I14" i="45"/>
  <c r="H14" i="45"/>
  <c r="G14" i="45"/>
  <c r="Q13" i="45"/>
  <c r="J13" i="45"/>
  <c r="I13" i="45"/>
  <c r="H13" i="45"/>
  <c r="G13" i="45"/>
  <c r="Q12" i="45"/>
  <c r="J12" i="45"/>
  <c r="I12" i="45"/>
  <c r="H12" i="45"/>
  <c r="G12" i="45"/>
  <c r="Q11" i="45"/>
  <c r="J11" i="45"/>
  <c r="I11" i="45"/>
  <c r="H11" i="45"/>
  <c r="G11" i="45"/>
  <c r="Q10" i="45"/>
  <c r="J10" i="45"/>
  <c r="I10" i="45"/>
  <c r="H10" i="45"/>
  <c r="G10" i="45"/>
  <c r="Q9" i="45"/>
  <c r="J9" i="45"/>
  <c r="I9" i="45"/>
  <c r="H9" i="45"/>
  <c r="G9" i="45"/>
  <c r="Q8" i="45"/>
  <c r="J8" i="45"/>
  <c r="I8" i="45"/>
  <c r="H8" i="45"/>
  <c r="G8" i="45"/>
  <c r="Q7" i="45"/>
  <c r="J7" i="45"/>
  <c r="I7" i="45"/>
  <c r="H7" i="45"/>
  <c r="G7" i="45"/>
  <c r="Q6" i="45"/>
  <c r="J6" i="45"/>
  <c r="I6" i="45"/>
  <c r="H6" i="45"/>
  <c r="G6" i="45"/>
  <c r="D7" i="41"/>
  <c r="D8" i="41" s="1"/>
  <c r="AA1" i="41"/>
  <c r="Y1" i="41"/>
  <c r="W1" i="41"/>
  <c r="U1" i="41"/>
  <c r="S1" i="41"/>
  <c r="Q1" i="41"/>
  <c r="O1" i="41"/>
  <c r="M1" i="41"/>
  <c r="K1" i="41"/>
  <c r="I1" i="41"/>
  <c r="G1" i="41"/>
  <c r="E1" i="41"/>
  <c r="D1" i="41" a="1"/>
  <c r="D1" i="41" s="1"/>
  <c r="M1542" i="57"/>
  <c r="L1542" i="57"/>
  <c r="M1541" i="57"/>
  <c r="L1541" i="57"/>
  <c r="M1540" i="57"/>
  <c r="L1540" i="57"/>
  <c r="M1539" i="57"/>
  <c r="L1539" i="57"/>
  <c r="M1538" i="57"/>
  <c r="L1538" i="57"/>
  <c r="M1537" i="57"/>
  <c r="L1537" i="57"/>
  <c r="M1536" i="57"/>
  <c r="L1536" i="57"/>
  <c r="M1535" i="57"/>
  <c r="L1535" i="57"/>
  <c r="M1534" i="57"/>
  <c r="L1534" i="57"/>
  <c r="M1533" i="57"/>
  <c r="L1533" i="57"/>
  <c r="M1532" i="57"/>
  <c r="L1532" i="57"/>
  <c r="M1531" i="57"/>
  <c r="L1531" i="57"/>
  <c r="M1530" i="57"/>
  <c r="L1530" i="57"/>
  <c r="M1529" i="57"/>
  <c r="L1529" i="57"/>
  <c r="M1528" i="57"/>
  <c r="L1528" i="57"/>
  <c r="M1527" i="57"/>
  <c r="L1527" i="57"/>
  <c r="M1526" i="57"/>
  <c r="L1526" i="57"/>
  <c r="M1525" i="57"/>
  <c r="L1525" i="57"/>
  <c r="M1524" i="57"/>
  <c r="L1524" i="57"/>
  <c r="M1523" i="57"/>
  <c r="L1523" i="57"/>
  <c r="M1522" i="57"/>
  <c r="L1522" i="57"/>
  <c r="M1521" i="57"/>
  <c r="L1521" i="57"/>
  <c r="M1520" i="57"/>
  <c r="L1520" i="57"/>
  <c r="M1519" i="57"/>
  <c r="L1519" i="57"/>
  <c r="M1518" i="57"/>
  <c r="L1518" i="57"/>
  <c r="M1517" i="57"/>
  <c r="L1517" i="57"/>
  <c r="M1516" i="57"/>
  <c r="L1516" i="57"/>
  <c r="M1515" i="57"/>
  <c r="L1515" i="57"/>
  <c r="M1514" i="57"/>
  <c r="L1514" i="57"/>
  <c r="M1513" i="57"/>
  <c r="L1513" i="57"/>
  <c r="M1512" i="57"/>
  <c r="L1512" i="57"/>
  <c r="M1511" i="57"/>
  <c r="L1511" i="57"/>
  <c r="M1510" i="57"/>
  <c r="L1510" i="57"/>
  <c r="M1509" i="57"/>
  <c r="L1509" i="57"/>
  <c r="M1508" i="57"/>
  <c r="L1508" i="57"/>
  <c r="M1507" i="57"/>
  <c r="L1507" i="57"/>
  <c r="M1506" i="57"/>
  <c r="L1506" i="57"/>
  <c r="M1505" i="57"/>
  <c r="L1505" i="57"/>
  <c r="M1504" i="57"/>
  <c r="L1504" i="57"/>
  <c r="M1503" i="57"/>
  <c r="L1503" i="57"/>
  <c r="M1502" i="57"/>
  <c r="L1502" i="57"/>
  <c r="M1501" i="57"/>
  <c r="L1501" i="57"/>
  <c r="M1500" i="57"/>
  <c r="L1500" i="57"/>
  <c r="M1499" i="57"/>
  <c r="L1499" i="57"/>
  <c r="M1498" i="57"/>
  <c r="L1498" i="57"/>
  <c r="M1497" i="57"/>
  <c r="L1497" i="57"/>
  <c r="M1496" i="57"/>
  <c r="L1496" i="57"/>
  <c r="M1495" i="57"/>
  <c r="L1495" i="57"/>
  <c r="M1494" i="57"/>
  <c r="L1494" i="57"/>
  <c r="M1493" i="57"/>
  <c r="L1493" i="57"/>
  <c r="M1492" i="57"/>
  <c r="L1492" i="57"/>
  <c r="M1491" i="57"/>
  <c r="L1491" i="57"/>
  <c r="M1490" i="57"/>
  <c r="L1490" i="57"/>
  <c r="M1489" i="57"/>
  <c r="L1489" i="57"/>
  <c r="M1488" i="57"/>
  <c r="L1488" i="57"/>
  <c r="M1487" i="57"/>
  <c r="L1487" i="57"/>
  <c r="M1486" i="57"/>
  <c r="L1486" i="57"/>
  <c r="M1485" i="57"/>
  <c r="L1485" i="57"/>
  <c r="M1484" i="57"/>
  <c r="L1484" i="57"/>
  <c r="M1483" i="57"/>
  <c r="L1483" i="57"/>
  <c r="M1482" i="57"/>
  <c r="L1482" i="57"/>
  <c r="M1481" i="57"/>
  <c r="L1481" i="57"/>
  <c r="M1480" i="57"/>
  <c r="L1480" i="57"/>
  <c r="M1479" i="57"/>
  <c r="L1479" i="57"/>
  <c r="M1478" i="57"/>
  <c r="L1478" i="57"/>
  <c r="M1477" i="57"/>
  <c r="L1477" i="57"/>
  <c r="M1476" i="57"/>
  <c r="L1476" i="57"/>
  <c r="M1475" i="57"/>
  <c r="L1475" i="57"/>
  <c r="M1474" i="57"/>
  <c r="L1474" i="57"/>
  <c r="M1473" i="57"/>
  <c r="L1473" i="57"/>
  <c r="M1472" i="57"/>
  <c r="L1472" i="57"/>
  <c r="M1471" i="57"/>
  <c r="L1471" i="57"/>
  <c r="M1470" i="57"/>
  <c r="L1470" i="57"/>
  <c r="M1469" i="57"/>
  <c r="L1469" i="57"/>
  <c r="M1468" i="57"/>
  <c r="L1468" i="57"/>
  <c r="M1467" i="57"/>
  <c r="L1467" i="57"/>
  <c r="M1466" i="57"/>
  <c r="L1466" i="57"/>
  <c r="M1465" i="57"/>
  <c r="L1465" i="57"/>
  <c r="M1464" i="57"/>
  <c r="L1464" i="57"/>
  <c r="M1463" i="57"/>
  <c r="L1463" i="57"/>
  <c r="M1462" i="57"/>
  <c r="L1462" i="57"/>
  <c r="M1461" i="57"/>
  <c r="L1461" i="57"/>
  <c r="M1460" i="57"/>
  <c r="L1460" i="57"/>
  <c r="M1459" i="57"/>
  <c r="L1459" i="57"/>
  <c r="M1458" i="57"/>
  <c r="L1458" i="57"/>
  <c r="M1457" i="57"/>
  <c r="L1457" i="57"/>
  <c r="M1456" i="57"/>
  <c r="L1456" i="57"/>
  <c r="M1455" i="57"/>
  <c r="L1455" i="57"/>
  <c r="M1454" i="57"/>
  <c r="L1454" i="57"/>
  <c r="M1453" i="57"/>
  <c r="L1453" i="57"/>
  <c r="M1452" i="57"/>
  <c r="L1452" i="57"/>
  <c r="M1451" i="57"/>
  <c r="L1451" i="57"/>
  <c r="M1450" i="57"/>
  <c r="L1450" i="57"/>
  <c r="M1449" i="57"/>
  <c r="L1449" i="57"/>
  <c r="M1448" i="57"/>
  <c r="L1448" i="57"/>
  <c r="M1447" i="57"/>
  <c r="L1447" i="57"/>
  <c r="M1446" i="57"/>
  <c r="L1446" i="57"/>
  <c r="M1445" i="57"/>
  <c r="L1445" i="57"/>
  <c r="M1444" i="57"/>
  <c r="L1444" i="57"/>
  <c r="M1443" i="57"/>
  <c r="L1443" i="57"/>
  <c r="M1442" i="57"/>
  <c r="L1442" i="57"/>
  <c r="M1441" i="57"/>
  <c r="L1441" i="57"/>
  <c r="M1440" i="57"/>
  <c r="L1440" i="57"/>
  <c r="M1439" i="57"/>
  <c r="L1439" i="57"/>
  <c r="M1438" i="57"/>
  <c r="L1438" i="57"/>
  <c r="M1437" i="57"/>
  <c r="L1437" i="57"/>
  <c r="M1436" i="57"/>
  <c r="L1436" i="57"/>
  <c r="M1435" i="57"/>
  <c r="L1435" i="57"/>
  <c r="M1434" i="57"/>
  <c r="L1434" i="57"/>
  <c r="M1433" i="57"/>
  <c r="L1433" i="57"/>
  <c r="M1432" i="57"/>
  <c r="L1432" i="57"/>
  <c r="M1431" i="57"/>
  <c r="L1431" i="57"/>
  <c r="M1430" i="57"/>
  <c r="L1430" i="57"/>
  <c r="M1429" i="57"/>
  <c r="L1429" i="57"/>
  <c r="M1428" i="57"/>
  <c r="L1428" i="57"/>
  <c r="M1427" i="57"/>
  <c r="L1427" i="57"/>
  <c r="M1426" i="57"/>
  <c r="L1426" i="57"/>
  <c r="M1425" i="57"/>
  <c r="L1425" i="57"/>
  <c r="M1424" i="57"/>
  <c r="L1424" i="57"/>
  <c r="M1423" i="57"/>
  <c r="L1423" i="57"/>
  <c r="M1422" i="57"/>
  <c r="L1422" i="57"/>
  <c r="M1421" i="57"/>
  <c r="L1421" i="57"/>
  <c r="M1420" i="57"/>
  <c r="L1420" i="57"/>
  <c r="M1419" i="57"/>
  <c r="L1419" i="57"/>
  <c r="M1418" i="57"/>
  <c r="L1418" i="57"/>
  <c r="M1417" i="57"/>
  <c r="L1417" i="57"/>
  <c r="M1416" i="57"/>
  <c r="L1416" i="57"/>
  <c r="M1415" i="57"/>
  <c r="L1415" i="57"/>
  <c r="M1414" i="57"/>
  <c r="L1414" i="57"/>
  <c r="M1413" i="57"/>
  <c r="L1413" i="57"/>
  <c r="M1412" i="57"/>
  <c r="L1412" i="57"/>
  <c r="M1411" i="57"/>
  <c r="L1411" i="57"/>
  <c r="M1410" i="57"/>
  <c r="L1410" i="57"/>
  <c r="M1409" i="57"/>
  <c r="L1409" i="57"/>
  <c r="M1408" i="57"/>
  <c r="L1408" i="57"/>
  <c r="M1407" i="57"/>
  <c r="L1407" i="57"/>
  <c r="M1406" i="57"/>
  <c r="L1406" i="57"/>
  <c r="M1405" i="57"/>
  <c r="L1405" i="57"/>
  <c r="M1404" i="57"/>
  <c r="L1404" i="57"/>
  <c r="M1403" i="57"/>
  <c r="L1403" i="57"/>
  <c r="M1402" i="57"/>
  <c r="L1402" i="57"/>
  <c r="M1401" i="57"/>
  <c r="L1401" i="57"/>
  <c r="M1400" i="57"/>
  <c r="L1400" i="57"/>
  <c r="M1399" i="57"/>
  <c r="L1399" i="57"/>
  <c r="M1398" i="57"/>
  <c r="L1398" i="57"/>
  <c r="M1397" i="57"/>
  <c r="L1397" i="57"/>
  <c r="M1396" i="57"/>
  <c r="L1396" i="57"/>
  <c r="M1395" i="57"/>
  <c r="L1395" i="57"/>
  <c r="M1394" i="57"/>
  <c r="L1394" i="57"/>
  <c r="M1393" i="57"/>
  <c r="L1393" i="57"/>
  <c r="M1392" i="57"/>
  <c r="L1392" i="57"/>
  <c r="M1391" i="57"/>
  <c r="L1391" i="57"/>
  <c r="M1390" i="57"/>
  <c r="L1390" i="57"/>
  <c r="M1389" i="57"/>
  <c r="L1389" i="57"/>
  <c r="M1388" i="57"/>
  <c r="L1388" i="57"/>
  <c r="M1387" i="57"/>
  <c r="L1387" i="57"/>
  <c r="M1386" i="57"/>
  <c r="L1386" i="57"/>
  <c r="M1385" i="57"/>
  <c r="L1385" i="57"/>
  <c r="M1384" i="57"/>
  <c r="L1384" i="57"/>
  <c r="M1383" i="57"/>
  <c r="L1383" i="57"/>
  <c r="M1382" i="57"/>
  <c r="L1382" i="57"/>
  <c r="M1381" i="57"/>
  <c r="L1381" i="57"/>
  <c r="M1380" i="57"/>
  <c r="L1380" i="57"/>
  <c r="M1379" i="57"/>
  <c r="L1379" i="57"/>
  <c r="M1378" i="57"/>
  <c r="L1378" i="57"/>
  <c r="M1377" i="57"/>
  <c r="L1377" i="57"/>
  <c r="M1376" i="57"/>
  <c r="L1376" i="57"/>
  <c r="M1375" i="57"/>
  <c r="L1375" i="57"/>
  <c r="M1374" i="57"/>
  <c r="L1374" i="57"/>
  <c r="M1373" i="57"/>
  <c r="L1373" i="57"/>
  <c r="M1372" i="57"/>
  <c r="L1372" i="57"/>
  <c r="M1371" i="57"/>
  <c r="L1371" i="57"/>
  <c r="M1370" i="57"/>
  <c r="L1370" i="57"/>
  <c r="M1369" i="57"/>
  <c r="L1369" i="57"/>
  <c r="M1368" i="57"/>
  <c r="L1368" i="57"/>
  <c r="M1367" i="57"/>
  <c r="L1367" i="57"/>
  <c r="M1366" i="57"/>
  <c r="L1366" i="57"/>
  <c r="M1365" i="57"/>
  <c r="L1365" i="57"/>
  <c r="M1364" i="57"/>
  <c r="L1364" i="57"/>
  <c r="M1363" i="57"/>
  <c r="L1363" i="57"/>
  <c r="M1362" i="57"/>
  <c r="L1362" i="57"/>
  <c r="M1361" i="57"/>
  <c r="L1361" i="57"/>
  <c r="M1360" i="57"/>
  <c r="L1360" i="57"/>
  <c r="M1359" i="57"/>
  <c r="L1359" i="57"/>
  <c r="M1358" i="57"/>
  <c r="L1358" i="57"/>
  <c r="M1357" i="57"/>
  <c r="L1357" i="57"/>
  <c r="M1356" i="57"/>
  <c r="L1356" i="57"/>
  <c r="M1355" i="57"/>
  <c r="L1355" i="57"/>
  <c r="M1354" i="57"/>
  <c r="L1354" i="57"/>
  <c r="M1353" i="57"/>
  <c r="L1353" i="57"/>
  <c r="M1352" i="57"/>
  <c r="L1352" i="57"/>
  <c r="M1351" i="57"/>
  <c r="L1351" i="57"/>
  <c r="M1350" i="57"/>
  <c r="L1350" i="57"/>
  <c r="M1349" i="57"/>
  <c r="L1349" i="57"/>
  <c r="M1348" i="57"/>
  <c r="L1348" i="57"/>
  <c r="M1347" i="57"/>
  <c r="L1347" i="57"/>
  <c r="M1346" i="57"/>
  <c r="L1346" i="57"/>
  <c r="M1345" i="57"/>
  <c r="L1345" i="57"/>
  <c r="M1344" i="57"/>
  <c r="L1344" i="57"/>
  <c r="M1343" i="57"/>
  <c r="L1343" i="57"/>
  <c r="M1342" i="57"/>
  <c r="L1342" i="57"/>
  <c r="M1341" i="57"/>
  <c r="L1341" i="57"/>
  <c r="M1340" i="57"/>
  <c r="L1340" i="57"/>
  <c r="M1339" i="57"/>
  <c r="L1339" i="57"/>
  <c r="M1338" i="57"/>
  <c r="L1338" i="57"/>
  <c r="M1337" i="57"/>
  <c r="L1337" i="57"/>
  <c r="M1336" i="57"/>
  <c r="L1336" i="57"/>
  <c r="M1335" i="57"/>
  <c r="L1335" i="57"/>
  <c r="M1334" i="57"/>
  <c r="L1334" i="57"/>
  <c r="M1333" i="57"/>
  <c r="L1333" i="57"/>
  <c r="M1332" i="57"/>
  <c r="L1332" i="57"/>
  <c r="M1331" i="57"/>
  <c r="L1331" i="57"/>
  <c r="M1330" i="57"/>
  <c r="L1330" i="57"/>
  <c r="M1329" i="57"/>
  <c r="L1329" i="57"/>
  <c r="M1328" i="57"/>
  <c r="L1328" i="57"/>
  <c r="M1327" i="57"/>
  <c r="L1327" i="57"/>
  <c r="M1326" i="57"/>
  <c r="L1326" i="57"/>
  <c r="M1325" i="57"/>
  <c r="L1325" i="57"/>
  <c r="M1324" i="57"/>
  <c r="L1324" i="57"/>
  <c r="M1323" i="57"/>
  <c r="L1323" i="57"/>
  <c r="M1322" i="57"/>
  <c r="L1322" i="57"/>
  <c r="M1321" i="57"/>
  <c r="L1321" i="57"/>
  <c r="M1320" i="57"/>
  <c r="L1320" i="57"/>
  <c r="M1319" i="57"/>
  <c r="L1319" i="57"/>
  <c r="M1318" i="57"/>
  <c r="L1318" i="57"/>
  <c r="M1317" i="57"/>
  <c r="L1317" i="57"/>
  <c r="M1316" i="57"/>
  <c r="L1316" i="57"/>
  <c r="M1315" i="57"/>
  <c r="L1315" i="57"/>
  <c r="M1314" i="57"/>
  <c r="L1314" i="57"/>
  <c r="M1313" i="57"/>
  <c r="L1313" i="57"/>
  <c r="M1312" i="57"/>
  <c r="L1312" i="57"/>
  <c r="M1311" i="57"/>
  <c r="L1311" i="57"/>
  <c r="M1310" i="57"/>
  <c r="L1310" i="57"/>
  <c r="M1309" i="57"/>
  <c r="L1309" i="57"/>
  <c r="M1308" i="57"/>
  <c r="L1308" i="57"/>
  <c r="M1307" i="57"/>
  <c r="L1307" i="57"/>
  <c r="M1306" i="57"/>
  <c r="L1306" i="57"/>
  <c r="M1305" i="57"/>
  <c r="L1305" i="57"/>
  <c r="M1304" i="57"/>
  <c r="L1304" i="57"/>
  <c r="M1303" i="57"/>
  <c r="L1303" i="57"/>
  <c r="M1302" i="57"/>
  <c r="L1302" i="57"/>
  <c r="M1301" i="57"/>
  <c r="L1301" i="57"/>
  <c r="M1300" i="57"/>
  <c r="L1300" i="57"/>
  <c r="M1299" i="57"/>
  <c r="L1299" i="57"/>
  <c r="M1298" i="57"/>
  <c r="L1298" i="57"/>
  <c r="M1297" i="57"/>
  <c r="L1297" i="57"/>
  <c r="M1296" i="57"/>
  <c r="L1296" i="57"/>
  <c r="M1295" i="57"/>
  <c r="L1295" i="57"/>
  <c r="M1294" i="57"/>
  <c r="L1294" i="57"/>
  <c r="M1293" i="57"/>
  <c r="L1293" i="57"/>
  <c r="M1292" i="57"/>
  <c r="L1292" i="57"/>
  <c r="M1291" i="57"/>
  <c r="L1291" i="57"/>
  <c r="M1290" i="57"/>
  <c r="L1290" i="57"/>
  <c r="M1289" i="57"/>
  <c r="L1289" i="57"/>
  <c r="M1288" i="57"/>
  <c r="L1288" i="57"/>
  <c r="M1287" i="57"/>
  <c r="L1287" i="57"/>
  <c r="M1286" i="57"/>
  <c r="L1286" i="57"/>
  <c r="M1285" i="57"/>
  <c r="L1285" i="57"/>
  <c r="M1284" i="57"/>
  <c r="L1284" i="57"/>
  <c r="M1283" i="57"/>
  <c r="L1283" i="57"/>
  <c r="M1282" i="57"/>
  <c r="L1282" i="57"/>
  <c r="M1281" i="57"/>
  <c r="L1281" i="57"/>
  <c r="M1280" i="57"/>
  <c r="L1280" i="57"/>
  <c r="M1279" i="57"/>
  <c r="L1279" i="57"/>
  <c r="M1278" i="57"/>
  <c r="L1278" i="57"/>
  <c r="M1277" i="57"/>
  <c r="L1277" i="57"/>
  <c r="M1276" i="57"/>
  <c r="L1276" i="57"/>
  <c r="M1275" i="57"/>
  <c r="L1275" i="57"/>
  <c r="M1274" i="57"/>
  <c r="L1274" i="57"/>
  <c r="M1273" i="57"/>
  <c r="L1273" i="57"/>
  <c r="M1272" i="57"/>
  <c r="L1272" i="57"/>
  <c r="M1271" i="57"/>
  <c r="L1271" i="57"/>
  <c r="M1270" i="57"/>
  <c r="L1270" i="57"/>
  <c r="M1269" i="57"/>
  <c r="L1269" i="57"/>
  <c r="M1268" i="57"/>
  <c r="L1268" i="57"/>
  <c r="M1267" i="57"/>
  <c r="L1267" i="57"/>
  <c r="M1266" i="57"/>
  <c r="L1266" i="57"/>
  <c r="M1265" i="57"/>
  <c r="L1265" i="57"/>
  <c r="M1264" i="57"/>
  <c r="L1264" i="57"/>
  <c r="M1263" i="57"/>
  <c r="L1263" i="57"/>
  <c r="M1262" i="57"/>
  <c r="L1262" i="57"/>
  <c r="M1261" i="57"/>
  <c r="L1261" i="57"/>
  <c r="M1260" i="57"/>
  <c r="L1260" i="57"/>
  <c r="M1259" i="57"/>
  <c r="L1259" i="57"/>
  <c r="M1258" i="57"/>
  <c r="L1258" i="57"/>
  <c r="M1257" i="57"/>
  <c r="L1257" i="57"/>
  <c r="M1256" i="57"/>
  <c r="L1256" i="57"/>
  <c r="M1255" i="57"/>
  <c r="L1255" i="57"/>
  <c r="M1254" i="57"/>
  <c r="L1254" i="57"/>
  <c r="M1253" i="57"/>
  <c r="L1253" i="57"/>
  <c r="M1252" i="57"/>
  <c r="L1252" i="57"/>
  <c r="M1251" i="57"/>
  <c r="L1251" i="57"/>
  <c r="M1250" i="57"/>
  <c r="L1250" i="57"/>
  <c r="M1249" i="57"/>
  <c r="L1249" i="57"/>
  <c r="M1248" i="57"/>
  <c r="L1248" i="57"/>
  <c r="M1247" i="57"/>
  <c r="L1247" i="57"/>
  <c r="M1246" i="57"/>
  <c r="L1246" i="57"/>
  <c r="M1245" i="57"/>
  <c r="L1245" i="57"/>
  <c r="M1244" i="57"/>
  <c r="L1244" i="57"/>
  <c r="M1243" i="57"/>
  <c r="L1243" i="57"/>
  <c r="M1242" i="57"/>
  <c r="L1242" i="57"/>
  <c r="M1241" i="57"/>
  <c r="L1241" i="57"/>
  <c r="M1240" i="57"/>
  <c r="L1240" i="57"/>
  <c r="M1239" i="57"/>
  <c r="L1239" i="57"/>
  <c r="M1238" i="57"/>
  <c r="L1238" i="57"/>
  <c r="M1237" i="57"/>
  <c r="L1237" i="57"/>
  <c r="M1236" i="57"/>
  <c r="L1236" i="57"/>
  <c r="M1235" i="57"/>
  <c r="L1235" i="57"/>
  <c r="M1234" i="57"/>
  <c r="L1234" i="57"/>
  <c r="M1233" i="57"/>
  <c r="L1233" i="57"/>
  <c r="M1232" i="57"/>
  <c r="L1232" i="57"/>
  <c r="M1231" i="57"/>
  <c r="L1231" i="57"/>
  <c r="M1230" i="57"/>
  <c r="L1230" i="57"/>
  <c r="M1229" i="57"/>
  <c r="L1229" i="57"/>
  <c r="M1228" i="57"/>
  <c r="L1228" i="57"/>
  <c r="M1227" i="57"/>
  <c r="L1227" i="57"/>
  <c r="M1226" i="57"/>
  <c r="L1226" i="57"/>
  <c r="M1225" i="57"/>
  <c r="L1225" i="57"/>
  <c r="M1224" i="57"/>
  <c r="L1224" i="57"/>
  <c r="M1223" i="57"/>
  <c r="L1223" i="57"/>
  <c r="M1222" i="57"/>
  <c r="L1222" i="57"/>
  <c r="M1221" i="57"/>
  <c r="L1221" i="57"/>
  <c r="M1220" i="57"/>
  <c r="L1220" i="57"/>
  <c r="M1219" i="57"/>
  <c r="L1219" i="57"/>
  <c r="M1218" i="57"/>
  <c r="L1218" i="57"/>
  <c r="M1217" i="57"/>
  <c r="L1217" i="57"/>
  <c r="M1216" i="57"/>
  <c r="L1216" i="57"/>
  <c r="M1215" i="57"/>
  <c r="L1215" i="57"/>
  <c r="M1214" i="57"/>
  <c r="L1214" i="57"/>
  <c r="M1213" i="57"/>
  <c r="L1213" i="57"/>
  <c r="M1212" i="57"/>
  <c r="L1212" i="57"/>
  <c r="M1211" i="57"/>
  <c r="L1211" i="57"/>
  <c r="M1210" i="57"/>
  <c r="L1210" i="57"/>
  <c r="M1209" i="57"/>
  <c r="L1209" i="57"/>
  <c r="M1208" i="57"/>
  <c r="L1208" i="57"/>
  <c r="M1207" i="57"/>
  <c r="L1207" i="57"/>
  <c r="M1206" i="57"/>
  <c r="L1206" i="57"/>
  <c r="M1205" i="57"/>
  <c r="L1205" i="57"/>
  <c r="M1204" i="57"/>
  <c r="L1204" i="57"/>
  <c r="M1203" i="57"/>
  <c r="L1203" i="57"/>
  <c r="M1202" i="57"/>
  <c r="L1202" i="57"/>
  <c r="M1201" i="57"/>
  <c r="L1201" i="57"/>
  <c r="M1200" i="57"/>
  <c r="L1200" i="57"/>
  <c r="M1199" i="57"/>
  <c r="L1199" i="57"/>
  <c r="M1198" i="57"/>
  <c r="L1198" i="57"/>
  <c r="M1197" i="57"/>
  <c r="L1197" i="57"/>
  <c r="M1196" i="57"/>
  <c r="L1196" i="57"/>
  <c r="M1195" i="57"/>
  <c r="L1195" i="57"/>
  <c r="M1194" i="57"/>
  <c r="L1194" i="57"/>
  <c r="M1193" i="57"/>
  <c r="L1193" i="57"/>
  <c r="M1192" i="57"/>
  <c r="L1192" i="57"/>
  <c r="M1191" i="57"/>
  <c r="L1191" i="57"/>
  <c r="M1190" i="57"/>
  <c r="L1190" i="57"/>
  <c r="M1189" i="57"/>
  <c r="L1189" i="57"/>
  <c r="M1188" i="57"/>
  <c r="L1188" i="57"/>
  <c r="M1187" i="57"/>
  <c r="L1187" i="57"/>
  <c r="M1186" i="57"/>
  <c r="L1186" i="57"/>
  <c r="M1185" i="57"/>
  <c r="L1185" i="57"/>
  <c r="M1184" i="57"/>
  <c r="L1184" i="57"/>
  <c r="M1183" i="57"/>
  <c r="L1183" i="57"/>
  <c r="M1182" i="57"/>
  <c r="L1182" i="57"/>
  <c r="M1181" i="57"/>
  <c r="L1181" i="57"/>
  <c r="M1180" i="57"/>
  <c r="L1180" i="57"/>
  <c r="M1179" i="57"/>
  <c r="L1179" i="57"/>
  <c r="M1178" i="57"/>
  <c r="L1178" i="57"/>
  <c r="M1177" i="57"/>
  <c r="L1177" i="57"/>
  <c r="M1176" i="57"/>
  <c r="L1176" i="57"/>
  <c r="M1175" i="57"/>
  <c r="L1175" i="57"/>
  <c r="M1174" i="57"/>
  <c r="L1174" i="57"/>
  <c r="M1173" i="57"/>
  <c r="L1173" i="57"/>
  <c r="M1172" i="57"/>
  <c r="L1172" i="57"/>
  <c r="M1171" i="57"/>
  <c r="L1171" i="57"/>
  <c r="M1170" i="57"/>
  <c r="L1170" i="57"/>
  <c r="M1169" i="57"/>
  <c r="L1169" i="57"/>
  <c r="M1168" i="57"/>
  <c r="L1168" i="57"/>
  <c r="M1167" i="57"/>
  <c r="L1167" i="57"/>
  <c r="M1166" i="57"/>
  <c r="L1166" i="57"/>
  <c r="M1165" i="57"/>
  <c r="L1165" i="57"/>
  <c r="M1164" i="57"/>
  <c r="L1164" i="57"/>
  <c r="M1163" i="57"/>
  <c r="L1163" i="57"/>
  <c r="M1162" i="57"/>
  <c r="L1162" i="57"/>
  <c r="M1161" i="57"/>
  <c r="L1161" i="57"/>
  <c r="M1160" i="57"/>
  <c r="L1160" i="57"/>
  <c r="M1159" i="57"/>
  <c r="L1159" i="57"/>
  <c r="M1158" i="57"/>
  <c r="L1158" i="57"/>
  <c r="M1157" i="57"/>
  <c r="L1157" i="57"/>
  <c r="M1156" i="57"/>
  <c r="L1156" i="57"/>
  <c r="M1155" i="57"/>
  <c r="L1155" i="57"/>
  <c r="M1154" i="57"/>
  <c r="L1154" i="57"/>
  <c r="M1153" i="57"/>
  <c r="L1153" i="57"/>
  <c r="M1152" i="57"/>
  <c r="L1152" i="57"/>
  <c r="M1151" i="57"/>
  <c r="L1151" i="57"/>
  <c r="M1150" i="57"/>
  <c r="L1150" i="57"/>
  <c r="M1149" i="57"/>
  <c r="L1149" i="57"/>
  <c r="M1148" i="57"/>
  <c r="L1148" i="57"/>
  <c r="M1147" i="57"/>
  <c r="L1147" i="57"/>
  <c r="M1146" i="57"/>
  <c r="L1146" i="57"/>
  <c r="M1145" i="57"/>
  <c r="L1145" i="57"/>
  <c r="M1144" i="57"/>
  <c r="L1144" i="57"/>
  <c r="M1143" i="57"/>
  <c r="L1143" i="57"/>
  <c r="M1142" i="57"/>
  <c r="L1142" i="57"/>
  <c r="M1141" i="57"/>
  <c r="L1141" i="57"/>
  <c r="M1140" i="57"/>
  <c r="L1140" i="57"/>
  <c r="M1139" i="57"/>
  <c r="L1139" i="57"/>
  <c r="M1138" i="57"/>
  <c r="L1138" i="57"/>
  <c r="M1137" i="57"/>
  <c r="L1137" i="57"/>
  <c r="M1136" i="57"/>
  <c r="L1136" i="57"/>
  <c r="M1135" i="57"/>
  <c r="L1135" i="57"/>
  <c r="M1134" i="57"/>
  <c r="L1134" i="57"/>
  <c r="M1133" i="57"/>
  <c r="L1133" i="57"/>
  <c r="M1132" i="57"/>
  <c r="L1132" i="57"/>
  <c r="M1131" i="57"/>
  <c r="L1131" i="57"/>
  <c r="M1130" i="57"/>
  <c r="L1130" i="57"/>
  <c r="M1129" i="57"/>
  <c r="L1129" i="57"/>
  <c r="M1128" i="57"/>
  <c r="L1128" i="57"/>
  <c r="M1127" i="57"/>
  <c r="L1127" i="57"/>
  <c r="M1126" i="57"/>
  <c r="L1126" i="57"/>
  <c r="M1125" i="57"/>
  <c r="L1125" i="57"/>
  <c r="M1124" i="57"/>
  <c r="L1124" i="57"/>
  <c r="M1123" i="57"/>
  <c r="L1123" i="57"/>
  <c r="M1122" i="57"/>
  <c r="L1122" i="57"/>
  <c r="M1121" i="57"/>
  <c r="L1121" i="57"/>
  <c r="M1120" i="57"/>
  <c r="L1120" i="57"/>
  <c r="M1119" i="57"/>
  <c r="L1119" i="57"/>
  <c r="M1118" i="57"/>
  <c r="L1118" i="57"/>
  <c r="M1117" i="57"/>
  <c r="L1117" i="57"/>
  <c r="M1116" i="57"/>
  <c r="L1116" i="57"/>
  <c r="M1115" i="57"/>
  <c r="L1115" i="57"/>
  <c r="M1114" i="57"/>
  <c r="L1114" i="57"/>
  <c r="M1113" i="57"/>
  <c r="L1113" i="57"/>
  <c r="M1112" i="57"/>
  <c r="L1112" i="57"/>
  <c r="M1111" i="57"/>
  <c r="L1111" i="57"/>
  <c r="M1110" i="57"/>
  <c r="L1110" i="57"/>
  <c r="M1109" i="57"/>
  <c r="L1109" i="57"/>
  <c r="M1108" i="57"/>
  <c r="L1108" i="57"/>
  <c r="M1107" i="57"/>
  <c r="L1107" i="57"/>
  <c r="M1106" i="57"/>
  <c r="L1106" i="57"/>
  <c r="M1105" i="57"/>
  <c r="L1105" i="57"/>
  <c r="M1104" i="57"/>
  <c r="L1104" i="57"/>
  <c r="M1103" i="57"/>
  <c r="L1103" i="57"/>
  <c r="M1102" i="57"/>
  <c r="L1102" i="57"/>
  <c r="M1101" i="57"/>
  <c r="L1101" i="57"/>
  <c r="M1100" i="57"/>
  <c r="L1100" i="57"/>
  <c r="M1099" i="57"/>
  <c r="L1099" i="57"/>
  <c r="M1098" i="57"/>
  <c r="L1098" i="57"/>
  <c r="M1097" i="57"/>
  <c r="L1097" i="57"/>
  <c r="M1096" i="57"/>
  <c r="L1096" i="57"/>
  <c r="M1095" i="57"/>
  <c r="L1095" i="57"/>
  <c r="M1094" i="57"/>
  <c r="L1094" i="57"/>
  <c r="M1093" i="57"/>
  <c r="L1093" i="57"/>
  <c r="M1092" i="57"/>
  <c r="L1092" i="57"/>
  <c r="M1091" i="57"/>
  <c r="L1091" i="57"/>
  <c r="M1090" i="57"/>
  <c r="L1090" i="57"/>
  <c r="M1089" i="57"/>
  <c r="L1089" i="57"/>
  <c r="M1088" i="57"/>
  <c r="L1088" i="57"/>
  <c r="M1087" i="57"/>
  <c r="L1087" i="57"/>
  <c r="M1086" i="57"/>
  <c r="L1086" i="57"/>
  <c r="M1085" i="57"/>
  <c r="L1085" i="57"/>
  <c r="M1084" i="57"/>
  <c r="L1084" i="57"/>
  <c r="M1083" i="57"/>
  <c r="L1083" i="57"/>
  <c r="M1082" i="57"/>
  <c r="L1082" i="57"/>
  <c r="M1081" i="57"/>
  <c r="L1081" i="57"/>
  <c r="M1080" i="57"/>
  <c r="L1080" i="57"/>
  <c r="M1079" i="57"/>
  <c r="L1079" i="57"/>
  <c r="M1078" i="57"/>
  <c r="L1078" i="57"/>
  <c r="M1077" i="57"/>
  <c r="L1077" i="57"/>
  <c r="M1076" i="57"/>
  <c r="L1076" i="57"/>
  <c r="M1075" i="57"/>
  <c r="L1075" i="57"/>
  <c r="M1074" i="57"/>
  <c r="L1074" i="57"/>
  <c r="M1073" i="57"/>
  <c r="L1073" i="57"/>
  <c r="M1072" i="57"/>
  <c r="L1072" i="57"/>
  <c r="M1071" i="57"/>
  <c r="L1071" i="57"/>
  <c r="M1070" i="57"/>
  <c r="L1070" i="57"/>
  <c r="M1069" i="57"/>
  <c r="L1069" i="57"/>
  <c r="M1068" i="57"/>
  <c r="L1068" i="57"/>
  <c r="M1067" i="57"/>
  <c r="L1067" i="57"/>
  <c r="M1066" i="57"/>
  <c r="L1066" i="57"/>
  <c r="M1065" i="57"/>
  <c r="L1065" i="57"/>
  <c r="M1064" i="57"/>
  <c r="L1064" i="57"/>
  <c r="M1063" i="57"/>
  <c r="L1063" i="57"/>
  <c r="M1062" i="57"/>
  <c r="L1062" i="57"/>
  <c r="M1061" i="57"/>
  <c r="L1061" i="57"/>
  <c r="M1060" i="57"/>
  <c r="L1060" i="57"/>
  <c r="M1059" i="57"/>
  <c r="L1059" i="57"/>
  <c r="M1058" i="57"/>
  <c r="L1058" i="57"/>
  <c r="M1057" i="57"/>
  <c r="L1057" i="57"/>
  <c r="M1056" i="57"/>
  <c r="L1056" i="57"/>
  <c r="M1055" i="57"/>
  <c r="L1055" i="57"/>
  <c r="M1054" i="57"/>
  <c r="L1054" i="57"/>
  <c r="M1053" i="57"/>
  <c r="L1053" i="57"/>
  <c r="M1052" i="57"/>
  <c r="L1052" i="57"/>
  <c r="M1051" i="57"/>
  <c r="L1051" i="57"/>
  <c r="M1050" i="57"/>
  <c r="L1050" i="57"/>
  <c r="M1049" i="57"/>
  <c r="L1049" i="57"/>
  <c r="M1048" i="57"/>
  <c r="L1048" i="57"/>
  <c r="M1047" i="57"/>
  <c r="L1047" i="57"/>
  <c r="M1046" i="57"/>
  <c r="L1046" i="57"/>
  <c r="M1045" i="57"/>
  <c r="L1045" i="57"/>
  <c r="M1044" i="57"/>
  <c r="L1044" i="57"/>
  <c r="M1043" i="57"/>
  <c r="L1043" i="57"/>
  <c r="M1042" i="57"/>
  <c r="L1042" i="57"/>
  <c r="M1041" i="57"/>
  <c r="L1041" i="57"/>
  <c r="M1040" i="57"/>
  <c r="L1040" i="57"/>
  <c r="M1039" i="57"/>
  <c r="L1039" i="57"/>
  <c r="M1038" i="57"/>
  <c r="L1038" i="57"/>
  <c r="M1037" i="57"/>
  <c r="L1037" i="57"/>
  <c r="M1036" i="57"/>
  <c r="L1036" i="57"/>
  <c r="M1035" i="57"/>
  <c r="L1035" i="57"/>
  <c r="M1034" i="57"/>
  <c r="L1034" i="57"/>
  <c r="M1033" i="57"/>
  <c r="L1033" i="57"/>
  <c r="M1032" i="57"/>
  <c r="L1032" i="57"/>
  <c r="M1031" i="57"/>
  <c r="L1031" i="57"/>
  <c r="M1030" i="57"/>
  <c r="L1030" i="57"/>
  <c r="M1029" i="57"/>
  <c r="L1029" i="57"/>
  <c r="M1028" i="57"/>
  <c r="L1028" i="57"/>
  <c r="M1027" i="57"/>
  <c r="L1027" i="57"/>
  <c r="M1026" i="57"/>
  <c r="L1026" i="57"/>
  <c r="M1025" i="57"/>
  <c r="L1025" i="57"/>
  <c r="M1024" i="57"/>
  <c r="L1024" i="57"/>
  <c r="M1023" i="57"/>
  <c r="L1023" i="57"/>
  <c r="M1022" i="57"/>
  <c r="L1022" i="57"/>
  <c r="M1021" i="57"/>
  <c r="L1021" i="57"/>
  <c r="M1020" i="57"/>
  <c r="L1020" i="57"/>
  <c r="M1019" i="57"/>
  <c r="L1019" i="57"/>
  <c r="M1018" i="57"/>
  <c r="L1018" i="57"/>
  <c r="M1017" i="57"/>
  <c r="L1017" i="57"/>
  <c r="M1016" i="57"/>
  <c r="L1016" i="57"/>
  <c r="M1015" i="57"/>
  <c r="L1015" i="57"/>
  <c r="M1014" i="57"/>
  <c r="L1014" i="57"/>
  <c r="M1013" i="57"/>
  <c r="L1013" i="57"/>
  <c r="M1012" i="57"/>
  <c r="L1012" i="57"/>
  <c r="M1011" i="57"/>
  <c r="L1011" i="57"/>
  <c r="M1010" i="57"/>
  <c r="L1010" i="57"/>
  <c r="M1009" i="57"/>
  <c r="L1009" i="57"/>
  <c r="M1008" i="57"/>
  <c r="L1008" i="57"/>
  <c r="M1007" i="57"/>
  <c r="L1007" i="57"/>
  <c r="M1006" i="57"/>
  <c r="L1006" i="57"/>
  <c r="M1005" i="57"/>
  <c r="L1005" i="57"/>
  <c r="M1004" i="57"/>
  <c r="L1004" i="57"/>
  <c r="M1003" i="57"/>
  <c r="L1003" i="57"/>
  <c r="M1002" i="57"/>
  <c r="L1002" i="57"/>
  <c r="M1001" i="57"/>
  <c r="L1001" i="57"/>
  <c r="M1000" i="57"/>
  <c r="L1000" i="57"/>
  <c r="M999" i="57"/>
  <c r="L999" i="57"/>
  <c r="M998" i="57"/>
  <c r="L998" i="57"/>
  <c r="M997" i="57"/>
  <c r="L997" i="57"/>
  <c r="M996" i="57"/>
  <c r="L996" i="57"/>
  <c r="M995" i="57"/>
  <c r="L995" i="57"/>
  <c r="M994" i="57"/>
  <c r="L994" i="57"/>
  <c r="M993" i="57"/>
  <c r="L993" i="57"/>
  <c r="M992" i="57"/>
  <c r="L992" i="57"/>
  <c r="M991" i="57"/>
  <c r="L991" i="57"/>
  <c r="M990" i="57"/>
  <c r="L990" i="57"/>
  <c r="M989" i="57"/>
  <c r="L989" i="57"/>
  <c r="M988" i="57"/>
  <c r="L988" i="57"/>
  <c r="M987" i="57"/>
  <c r="L987" i="57"/>
  <c r="M986" i="57"/>
  <c r="L986" i="57"/>
  <c r="M985" i="57"/>
  <c r="L985" i="57"/>
  <c r="M984" i="57"/>
  <c r="L984" i="57"/>
  <c r="M983" i="57"/>
  <c r="L983" i="57"/>
  <c r="M982" i="57"/>
  <c r="L982" i="57"/>
  <c r="M981" i="57"/>
  <c r="L981" i="57"/>
  <c r="M980" i="57"/>
  <c r="L980" i="57"/>
  <c r="M979" i="57"/>
  <c r="L979" i="57"/>
  <c r="M978" i="57"/>
  <c r="L978" i="57"/>
  <c r="M977" i="57"/>
  <c r="L977" i="57"/>
  <c r="M976" i="57"/>
  <c r="L976" i="57"/>
  <c r="M975" i="57"/>
  <c r="L975" i="57"/>
  <c r="M974" i="57"/>
  <c r="L974" i="57"/>
  <c r="M973" i="57"/>
  <c r="L973" i="57"/>
  <c r="M972" i="57"/>
  <c r="L972" i="57"/>
  <c r="M971" i="57"/>
  <c r="L971" i="57"/>
  <c r="M970" i="57"/>
  <c r="L970" i="57"/>
  <c r="M969" i="57"/>
  <c r="L969" i="57"/>
  <c r="M968" i="57"/>
  <c r="L968" i="57"/>
  <c r="M967" i="57"/>
  <c r="L967" i="57"/>
  <c r="M966" i="57"/>
  <c r="L966" i="57"/>
  <c r="M965" i="57"/>
  <c r="L965" i="57"/>
  <c r="M964" i="57"/>
  <c r="L964" i="57"/>
  <c r="M963" i="57"/>
  <c r="L963" i="57"/>
  <c r="M962" i="57"/>
  <c r="L962" i="57"/>
  <c r="M961" i="57"/>
  <c r="L961" i="57"/>
  <c r="M960" i="57"/>
  <c r="L960" i="57"/>
  <c r="M959" i="57"/>
  <c r="L959" i="57"/>
  <c r="M958" i="57"/>
  <c r="L958" i="57"/>
  <c r="M957" i="57"/>
  <c r="L957" i="57"/>
  <c r="M956" i="57"/>
  <c r="L956" i="57"/>
  <c r="M955" i="57"/>
  <c r="L955" i="57"/>
  <c r="M954" i="57"/>
  <c r="L954" i="57"/>
  <c r="M953" i="57"/>
  <c r="L953" i="57"/>
  <c r="M952" i="57"/>
  <c r="L952" i="57"/>
  <c r="M951" i="57"/>
  <c r="L951" i="57"/>
  <c r="M950" i="57"/>
  <c r="L950" i="57"/>
  <c r="M949" i="57"/>
  <c r="L949" i="57"/>
  <c r="M948" i="57"/>
  <c r="L948" i="57"/>
  <c r="M947" i="57"/>
  <c r="L947" i="57"/>
  <c r="M946" i="57"/>
  <c r="L946" i="57"/>
  <c r="M945" i="57"/>
  <c r="L945" i="57"/>
  <c r="M944" i="57"/>
  <c r="L944" i="57"/>
  <c r="M943" i="57"/>
  <c r="L943" i="57"/>
  <c r="M942" i="57"/>
  <c r="L942" i="57"/>
  <c r="M941" i="57"/>
  <c r="L941" i="57"/>
  <c r="M940" i="57"/>
  <c r="L940" i="57"/>
  <c r="M939" i="57"/>
  <c r="L939" i="57"/>
  <c r="M938" i="57"/>
  <c r="L938" i="57"/>
  <c r="M937" i="57"/>
  <c r="L937" i="57"/>
  <c r="M936" i="57"/>
  <c r="L936" i="57"/>
  <c r="M935" i="57"/>
  <c r="L935" i="57"/>
  <c r="M934" i="57"/>
  <c r="L934" i="57"/>
  <c r="M933" i="57"/>
  <c r="L933" i="57"/>
  <c r="M932" i="57"/>
  <c r="L932" i="57"/>
  <c r="M931" i="57"/>
  <c r="L931" i="57"/>
  <c r="M930" i="57"/>
  <c r="L930" i="57"/>
  <c r="M929" i="57"/>
  <c r="L929" i="57"/>
  <c r="M928" i="57"/>
  <c r="L928" i="57"/>
  <c r="M927" i="57"/>
  <c r="L927" i="57"/>
  <c r="M926" i="57"/>
  <c r="L926" i="57"/>
  <c r="M925" i="57"/>
  <c r="L925" i="57"/>
  <c r="M924" i="57"/>
  <c r="L924" i="57"/>
  <c r="M923" i="57"/>
  <c r="L923" i="57"/>
  <c r="M922" i="57"/>
  <c r="L922" i="57"/>
  <c r="M921" i="57"/>
  <c r="L921" i="57"/>
  <c r="M920" i="57"/>
  <c r="L920" i="57"/>
  <c r="M919" i="57"/>
  <c r="L919" i="57"/>
  <c r="M918" i="57"/>
  <c r="L918" i="57"/>
  <c r="M917" i="57"/>
  <c r="L917" i="57"/>
  <c r="M916" i="57"/>
  <c r="L916" i="57"/>
  <c r="M915" i="57"/>
  <c r="L915" i="57"/>
  <c r="M914" i="57"/>
  <c r="L914" i="57"/>
  <c r="M913" i="57"/>
  <c r="L913" i="57"/>
  <c r="M912" i="57"/>
  <c r="L912" i="57"/>
  <c r="M911" i="57"/>
  <c r="L911" i="57"/>
  <c r="M910" i="57"/>
  <c r="L910" i="57"/>
  <c r="M909" i="57"/>
  <c r="L909" i="57"/>
  <c r="M908" i="57"/>
  <c r="L908" i="57"/>
  <c r="M907" i="57"/>
  <c r="L907" i="57"/>
  <c r="M906" i="57"/>
  <c r="L906" i="57"/>
  <c r="M905" i="57"/>
  <c r="L905" i="57"/>
  <c r="M904" i="57"/>
  <c r="L904" i="57"/>
  <c r="M903" i="57"/>
  <c r="L903" i="57"/>
  <c r="M902" i="57"/>
  <c r="L902" i="57"/>
  <c r="M901" i="57"/>
  <c r="L901" i="57"/>
  <c r="M900" i="57"/>
  <c r="L900" i="57"/>
  <c r="M899" i="57"/>
  <c r="L899" i="57"/>
  <c r="M898" i="57"/>
  <c r="L898" i="57"/>
  <c r="M897" i="57"/>
  <c r="L897" i="57"/>
  <c r="M896" i="57"/>
  <c r="L896" i="57"/>
  <c r="M895" i="57"/>
  <c r="L895" i="57"/>
  <c r="M894" i="57"/>
  <c r="L894" i="57"/>
  <c r="M893" i="57"/>
  <c r="L893" i="57"/>
  <c r="M892" i="57"/>
  <c r="L892" i="57"/>
  <c r="M891" i="57"/>
  <c r="L891" i="57"/>
  <c r="M890" i="57"/>
  <c r="L890" i="57"/>
  <c r="M889" i="57"/>
  <c r="L889" i="57"/>
  <c r="M888" i="57"/>
  <c r="L888" i="57"/>
  <c r="M887" i="57"/>
  <c r="L887" i="57"/>
  <c r="M886" i="57"/>
  <c r="L886" i="57"/>
  <c r="M885" i="57"/>
  <c r="L885" i="57"/>
  <c r="M884" i="57"/>
  <c r="L884" i="57"/>
  <c r="M883" i="57"/>
  <c r="L883" i="57"/>
  <c r="M882" i="57"/>
  <c r="L882" i="57"/>
  <c r="M881" i="57"/>
  <c r="L881" i="57"/>
  <c r="M880" i="57"/>
  <c r="L880" i="57"/>
  <c r="M879" i="57"/>
  <c r="L879" i="57"/>
  <c r="M878" i="57"/>
  <c r="L878" i="57"/>
  <c r="M877" i="57"/>
  <c r="L877" i="57"/>
  <c r="M876" i="57"/>
  <c r="L876" i="57"/>
  <c r="M875" i="57"/>
  <c r="L875" i="57"/>
  <c r="M874" i="57"/>
  <c r="L874" i="57"/>
  <c r="M873" i="57"/>
  <c r="L873" i="57"/>
  <c r="M872" i="57"/>
  <c r="L872" i="57"/>
  <c r="M871" i="57"/>
  <c r="L871" i="57"/>
  <c r="M870" i="57"/>
  <c r="L870" i="57"/>
  <c r="M869" i="57"/>
  <c r="L869" i="57"/>
  <c r="M868" i="57"/>
  <c r="L868" i="57"/>
  <c r="M867" i="57"/>
  <c r="L867" i="57"/>
  <c r="M866" i="57"/>
  <c r="L866" i="57"/>
  <c r="M865" i="57"/>
  <c r="L865" i="57"/>
  <c r="M864" i="57"/>
  <c r="L864" i="57"/>
  <c r="M863" i="57"/>
  <c r="L863" i="57"/>
  <c r="M862" i="57"/>
  <c r="L862" i="57"/>
  <c r="M861" i="57"/>
  <c r="L861" i="57"/>
  <c r="M860" i="57"/>
  <c r="L860" i="57"/>
  <c r="M859" i="57"/>
  <c r="L859" i="57"/>
  <c r="M858" i="57"/>
  <c r="L858" i="57"/>
  <c r="M857" i="57"/>
  <c r="L857" i="57"/>
  <c r="M856" i="57"/>
  <c r="L856" i="57"/>
  <c r="M855" i="57"/>
  <c r="L855" i="57"/>
  <c r="M854" i="57"/>
  <c r="L854" i="57"/>
  <c r="M853" i="57"/>
  <c r="L853" i="57"/>
  <c r="M852" i="57"/>
  <c r="L852" i="57"/>
  <c r="M851" i="57"/>
  <c r="L851" i="57"/>
  <c r="M850" i="57"/>
  <c r="L850" i="57"/>
  <c r="M849" i="57"/>
  <c r="L849" i="57"/>
  <c r="M848" i="57"/>
  <c r="L848" i="57"/>
  <c r="M847" i="57"/>
  <c r="L847" i="57"/>
  <c r="M846" i="57"/>
  <c r="L846" i="57"/>
  <c r="M845" i="57"/>
  <c r="L845" i="57"/>
  <c r="M844" i="57"/>
  <c r="L844" i="57"/>
  <c r="M843" i="57"/>
  <c r="L843" i="57"/>
  <c r="M842" i="57"/>
  <c r="L842" i="57"/>
  <c r="M841" i="57"/>
  <c r="L841" i="57"/>
  <c r="M840" i="57"/>
  <c r="L840" i="57"/>
  <c r="M839" i="57"/>
  <c r="L839" i="57"/>
  <c r="M838" i="57"/>
  <c r="L838" i="57"/>
  <c r="M837" i="57"/>
  <c r="L837" i="57"/>
  <c r="M836" i="57"/>
  <c r="L836" i="57"/>
  <c r="M835" i="57"/>
  <c r="L835" i="57"/>
  <c r="M834" i="57"/>
  <c r="L834" i="57"/>
  <c r="M833" i="57"/>
  <c r="L833" i="57"/>
  <c r="M832" i="57"/>
  <c r="L832" i="57"/>
  <c r="M831" i="57"/>
  <c r="L831" i="57"/>
  <c r="M830" i="57"/>
  <c r="L830" i="57"/>
  <c r="M829" i="57"/>
  <c r="L829" i="57"/>
  <c r="M828" i="57"/>
  <c r="L828" i="57"/>
  <c r="M827" i="57"/>
  <c r="L827" i="57"/>
  <c r="M826" i="57"/>
  <c r="L826" i="57"/>
  <c r="M825" i="57"/>
  <c r="L825" i="57"/>
  <c r="M824" i="57"/>
  <c r="L824" i="57"/>
  <c r="M823" i="57"/>
  <c r="L823" i="57"/>
  <c r="M822" i="57"/>
  <c r="L822" i="57"/>
  <c r="M821" i="57"/>
  <c r="L821" i="57"/>
  <c r="M820" i="57"/>
  <c r="L820" i="57"/>
  <c r="M819" i="57"/>
  <c r="L819" i="57"/>
  <c r="M818" i="57"/>
  <c r="L818" i="57"/>
  <c r="M817" i="57"/>
  <c r="L817" i="57"/>
  <c r="M816" i="57"/>
  <c r="L816" i="57"/>
  <c r="M815" i="57"/>
  <c r="L815" i="57"/>
  <c r="M814" i="57"/>
  <c r="L814" i="57"/>
  <c r="M813" i="57"/>
  <c r="L813" i="57"/>
  <c r="M812" i="57"/>
  <c r="L812" i="57"/>
  <c r="M811" i="57"/>
  <c r="L811" i="57"/>
  <c r="M810" i="57"/>
  <c r="L810" i="57"/>
  <c r="M809" i="57"/>
  <c r="L809" i="57"/>
  <c r="M808" i="57"/>
  <c r="L808" i="57"/>
  <c r="M807" i="57"/>
  <c r="L807" i="57"/>
  <c r="M806" i="57"/>
  <c r="L806" i="57"/>
  <c r="M805" i="57"/>
  <c r="L805" i="57"/>
  <c r="M804" i="57"/>
  <c r="L804" i="57"/>
  <c r="M803" i="57"/>
  <c r="L803" i="57"/>
  <c r="M802" i="57"/>
  <c r="L802" i="57"/>
  <c r="M801" i="57"/>
  <c r="L801" i="57"/>
  <c r="M800" i="57"/>
  <c r="L800" i="57"/>
  <c r="M799" i="57"/>
  <c r="L799" i="57"/>
  <c r="M798" i="57"/>
  <c r="L798" i="57"/>
  <c r="M797" i="57"/>
  <c r="L797" i="57"/>
  <c r="M796" i="57"/>
  <c r="L796" i="57"/>
  <c r="M795" i="57"/>
  <c r="L795" i="57"/>
  <c r="M794" i="57"/>
  <c r="L794" i="57"/>
  <c r="M793" i="57"/>
  <c r="L793" i="57"/>
  <c r="M792" i="57"/>
  <c r="L792" i="57"/>
  <c r="M791" i="57"/>
  <c r="L791" i="57"/>
  <c r="M790" i="57"/>
  <c r="L790" i="57"/>
  <c r="M789" i="57"/>
  <c r="L789" i="57"/>
  <c r="M788" i="57"/>
  <c r="L788" i="57"/>
  <c r="M787" i="57"/>
  <c r="L787" i="57"/>
  <c r="M786" i="57"/>
  <c r="L786" i="57"/>
  <c r="M785" i="57"/>
  <c r="L785" i="57"/>
  <c r="M784" i="57"/>
  <c r="L784" i="57"/>
  <c r="M783" i="57"/>
  <c r="L783" i="57"/>
  <c r="M782" i="57"/>
  <c r="L782" i="57"/>
  <c r="M781" i="57"/>
  <c r="L781" i="57"/>
  <c r="M780" i="57"/>
  <c r="L780" i="57"/>
  <c r="M779" i="57"/>
  <c r="L779" i="57"/>
  <c r="M778" i="57"/>
  <c r="L778" i="57"/>
  <c r="M777" i="57"/>
  <c r="L777" i="57"/>
  <c r="M776" i="57"/>
  <c r="L776" i="57"/>
  <c r="M775" i="57"/>
  <c r="L775" i="57"/>
  <c r="M774" i="57"/>
  <c r="L774" i="57"/>
  <c r="M773" i="57"/>
  <c r="L773" i="57"/>
  <c r="M772" i="57"/>
  <c r="L772" i="57"/>
  <c r="M771" i="57"/>
  <c r="L771" i="57"/>
  <c r="M770" i="57"/>
  <c r="L770" i="57"/>
  <c r="M769" i="57"/>
  <c r="L769" i="57"/>
  <c r="M768" i="57"/>
  <c r="L768" i="57"/>
  <c r="M767" i="57"/>
  <c r="L767" i="57"/>
  <c r="M766" i="57"/>
  <c r="L766" i="57"/>
  <c r="M765" i="57"/>
  <c r="L765" i="57"/>
  <c r="M764" i="57"/>
  <c r="L764" i="57"/>
  <c r="M763" i="57"/>
  <c r="L763" i="57"/>
  <c r="M762" i="57"/>
  <c r="L762" i="57"/>
  <c r="M761" i="57"/>
  <c r="L761" i="57"/>
  <c r="M760" i="57"/>
  <c r="L760" i="57"/>
  <c r="M759" i="57"/>
  <c r="L759" i="57"/>
  <c r="M758" i="57"/>
  <c r="L758" i="57"/>
  <c r="M757" i="57"/>
  <c r="L757" i="57"/>
  <c r="M756" i="57"/>
  <c r="L756" i="57"/>
  <c r="M755" i="57"/>
  <c r="L755" i="57"/>
  <c r="M754" i="57"/>
  <c r="L754" i="57"/>
  <c r="M753" i="57"/>
  <c r="L753" i="57"/>
  <c r="M752" i="57"/>
  <c r="L752" i="57"/>
  <c r="M751" i="57"/>
  <c r="L751" i="57"/>
  <c r="M750" i="57"/>
  <c r="L750" i="57"/>
  <c r="M749" i="57"/>
  <c r="L749" i="57"/>
  <c r="M748" i="57"/>
  <c r="L748" i="57"/>
  <c r="M747" i="57"/>
  <c r="L747" i="57"/>
  <c r="M746" i="57"/>
  <c r="L746" i="57"/>
  <c r="M745" i="57"/>
  <c r="L745" i="57"/>
  <c r="M744" i="57"/>
  <c r="L744" i="57"/>
  <c r="M743" i="57"/>
  <c r="L743" i="57"/>
  <c r="M742" i="57"/>
  <c r="L742" i="57"/>
  <c r="M741" i="57"/>
  <c r="L741" i="57"/>
  <c r="M740" i="57"/>
  <c r="L740" i="57"/>
  <c r="M739" i="57"/>
  <c r="L739" i="57"/>
  <c r="M738" i="57"/>
  <c r="L738" i="57"/>
  <c r="M737" i="57"/>
  <c r="L737" i="57"/>
  <c r="M736" i="57"/>
  <c r="L736" i="57"/>
  <c r="M735" i="57"/>
  <c r="L735" i="57"/>
  <c r="M734" i="57"/>
  <c r="L734" i="57"/>
  <c r="M733" i="57"/>
  <c r="L733" i="57"/>
  <c r="M732" i="57"/>
  <c r="L732" i="57"/>
  <c r="M731" i="57"/>
  <c r="L731" i="57"/>
  <c r="M730" i="57"/>
  <c r="L730" i="57"/>
  <c r="M729" i="57"/>
  <c r="L729" i="57"/>
  <c r="M728" i="57"/>
  <c r="L728" i="57"/>
  <c r="M727" i="57"/>
  <c r="L727" i="57"/>
  <c r="M726" i="57"/>
  <c r="L726" i="57"/>
  <c r="M725" i="57"/>
  <c r="L725" i="57"/>
  <c r="M724" i="57"/>
  <c r="L724" i="57"/>
  <c r="M723" i="57"/>
  <c r="L723" i="57"/>
  <c r="M722" i="57"/>
  <c r="L722" i="57"/>
  <c r="M721" i="57"/>
  <c r="L721" i="57"/>
  <c r="M720" i="57"/>
  <c r="L720" i="57"/>
  <c r="M719" i="57"/>
  <c r="L719" i="57"/>
  <c r="M718" i="57"/>
  <c r="L718" i="57"/>
  <c r="M717" i="57"/>
  <c r="L717" i="57"/>
  <c r="M716" i="57"/>
  <c r="L716" i="57"/>
  <c r="M715" i="57"/>
  <c r="L715" i="57"/>
  <c r="M714" i="57"/>
  <c r="L714" i="57"/>
  <c r="M713" i="57"/>
  <c r="L713" i="57"/>
  <c r="M712" i="57"/>
  <c r="L712" i="57"/>
  <c r="M711" i="57"/>
  <c r="L711" i="57"/>
  <c r="M710" i="57"/>
  <c r="L710" i="57"/>
  <c r="M709" i="57"/>
  <c r="L709" i="57"/>
  <c r="M708" i="57"/>
  <c r="L708" i="57"/>
  <c r="M707" i="57"/>
  <c r="L707" i="57"/>
  <c r="M706" i="57"/>
  <c r="L706" i="57"/>
  <c r="M705" i="57"/>
  <c r="L705" i="57"/>
  <c r="M704" i="57"/>
  <c r="L704" i="57"/>
  <c r="M703" i="57"/>
  <c r="L703" i="57"/>
  <c r="M702" i="57"/>
  <c r="L702" i="57"/>
  <c r="M701" i="57"/>
  <c r="L701" i="57"/>
  <c r="M700" i="57"/>
  <c r="L700" i="57"/>
  <c r="M699" i="57"/>
  <c r="L699" i="57"/>
  <c r="M698" i="57"/>
  <c r="L698" i="57"/>
  <c r="M697" i="57"/>
  <c r="L697" i="57"/>
  <c r="M696" i="57"/>
  <c r="L696" i="57"/>
  <c r="M695" i="57"/>
  <c r="L695" i="57"/>
  <c r="M694" i="57"/>
  <c r="L694" i="57"/>
  <c r="M693" i="57"/>
  <c r="L693" i="57"/>
  <c r="M692" i="57"/>
  <c r="L692" i="57"/>
  <c r="M691" i="57"/>
  <c r="L691" i="57"/>
  <c r="M690" i="57"/>
  <c r="L690" i="57"/>
  <c r="M689" i="57"/>
  <c r="L689" i="57"/>
  <c r="M688" i="57"/>
  <c r="L688" i="57"/>
  <c r="M687" i="57"/>
  <c r="L687" i="57"/>
  <c r="M686" i="57"/>
  <c r="L686" i="57"/>
  <c r="M685" i="57"/>
  <c r="L685" i="57"/>
  <c r="M684" i="57"/>
  <c r="L684" i="57"/>
  <c r="M683" i="57"/>
  <c r="L683" i="57"/>
  <c r="M682" i="57"/>
  <c r="L682" i="57"/>
  <c r="M681" i="57"/>
  <c r="L681" i="57"/>
  <c r="M680" i="57"/>
  <c r="L680" i="57"/>
  <c r="M679" i="57"/>
  <c r="L679" i="57"/>
  <c r="M678" i="57"/>
  <c r="L678" i="57"/>
  <c r="M677" i="57"/>
  <c r="L677" i="57"/>
  <c r="M676" i="57"/>
  <c r="L676" i="57"/>
  <c r="M675" i="57"/>
  <c r="L675" i="57"/>
  <c r="M674" i="57"/>
  <c r="L674" i="57"/>
  <c r="M673" i="57"/>
  <c r="L673" i="57"/>
  <c r="M672" i="57"/>
  <c r="L672" i="57"/>
  <c r="M671" i="57"/>
  <c r="L671" i="57"/>
  <c r="M670" i="57"/>
  <c r="L670" i="57"/>
  <c r="M669" i="57"/>
  <c r="L669" i="57"/>
  <c r="M668" i="57"/>
  <c r="L668" i="57"/>
  <c r="M667" i="57"/>
  <c r="L667" i="57"/>
  <c r="M666" i="57"/>
  <c r="L666" i="57"/>
  <c r="M665" i="57"/>
  <c r="L665" i="57"/>
  <c r="M664" i="57"/>
  <c r="L664" i="57"/>
  <c r="M663" i="57"/>
  <c r="L663" i="57"/>
  <c r="M662" i="57"/>
  <c r="L662" i="57"/>
  <c r="M661" i="57"/>
  <c r="L661" i="57"/>
  <c r="M660" i="57"/>
  <c r="L660" i="57"/>
  <c r="M659" i="57"/>
  <c r="L659" i="57"/>
  <c r="M658" i="57"/>
  <c r="L658" i="57"/>
  <c r="M657" i="57"/>
  <c r="L657" i="57"/>
  <c r="M656" i="57"/>
  <c r="L656" i="57"/>
  <c r="M655" i="57"/>
  <c r="L655" i="57"/>
  <c r="M654" i="57"/>
  <c r="L654" i="57"/>
  <c r="M653" i="57"/>
  <c r="L653" i="57"/>
  <c r="M652" i="57"/>
  <c r="L652" i="57"/>
  <c r="M651" i="57"/>
  <c r="L651" i="57"/>
  <c r="M650" i="57"/>
  <c r="L650" i="57"/>
  <c r="M649" i="57"/>
  <c r="L649" i="57"/>
  <c r="M648" i="57"/>
  <c r="L648" i="57"/>
  <c r="M647" i="57"/>
  <c r="L647" i="57"/>
  <c r="M646" i="57"/>
  <c r="L646" i="57"/>
  <c r="M645" i="57"/>
  <c r="L645" i="57"/>
  <c r="M644" i="57"/>
  <c r="L644" i="57"/>
  <c r="M643" i="57"/>
  <c r="L643" i="57"/>
  <c r="M642" i="57"/>
  <c r="L642" i="57"/>
  <c r="M641" i="57"/>
  <c r="L641" i="57"/>
  <c r="M640" i="57"/>
  <c r="L640" i="57"/>
  <c r="M639" i="57"/>
  <c r="L639" i="57"/>
  <c r="M638" i="57"/>
  <c r="L638" i="57"/>
  <c r="M637" i="57"/>
  <c r="L637" i="57"/>
  <c r="M636" i="57"/>
  <c r="L636" i="57"/>
  <c r="M635" i="57"/>
  <c r="L635" i="57"/>
  <c r="M634" i="57"/>
  <c r="L634" i="57"/>
  <c r="M633" i="57"/>
  <c r="L633" i="57"/>
  <c r="M632" i="57"/>
  <c r="L632" i="57"/>
  <c r="M631" i="57"/>
  <c r="L631" i="57"/>
  <c r="M630" i="57"/>
  <c r="L630" i="57"/>
  <c r="M629" i="57"/>
  <c r="L629" i="57"/>
  <c r="M628" i="57"/>
  <c r="L628" i="57"/>
  <c r="M627" i="57"/>
  <c r="L627" i="57"/>
  <c r="M626" i="57"/>
  <c r="L626" i="57"/>
  <c r="M625" i="57"/>
  <c r="L625" i="57"/>
  <c r="M624" i="57"/>
  <c r="L624" i="57"/>
  <c r="M623" i="57"/>
  <c r="L623" i="57"/>
  <c r="M622" i="57"/>
  <c r="L622" i="57"/>
  <c r="M621" i="57"/>
  <c r="L621" i="57"/>
  <c r="M620" i="57"/>
  <c r="L620" i="57"/>
  <c r="M619" i="57"/>
  <c r="L619" i="57"/>
  <c r="M618" i="57"/>
  <c r="L618" i="57"/>
  <c r="M617" i="57"/>
  <c r="L617" i="57"/>
  <c r="M616" i="57"/>
  <c r="L616" i="57"/>
  <c r="M615" i="57"/>
  <c r="L615" i="57"/>
  <c r="M614" i="57"/>
  <c r="L614" i="57"/>
  <c r="M613" i="57"/>
  <c r="L613" i="57"/>
  <c r="M612" i="57"/>
  <c r="L612" i="57"/>
  <c r="M611" i="57"/>
  <c r="L611" i="57"/>
  <c r="M610" i="57"/>
  <c r="L610" i="57"/>
  <c r="M609" i="57"/>
  <c r="L609" i="57"/>
  <c r="M608" i="57"/>
  <c r="L608" i="57"/>
  <c r="M607" i="57"/>
  <c r="L607" i="57"/>
  <c r="M606" i="57"/>
  <c r="L606" i="57"/>
  <c r="M605" i="57"/>
  <c r="L605" i="57"/>
  <c r="M604" i="57"/>
  <c r="L604" i="57"/>
  <c r="M603" i="57"/>
  <c r="L603" i="57"/>
  <c r="M602" i="57"/>
  <c r="L602" i="57"/>
  <c r="M601" i="57"/>
  <c r="L601" i="57"/>
  <c r="M600" i="57"/>
  <c r="L600" i="57"/>
  <c r="M599" i="57"/>
  <c r="L599" i="57"/>
  <c r="M598" i="57"/>
  <c r="L598" i="57"/>
  <c r="M597" i="57"/>
  <c r="L597" i="57"/>
  <c r="M596" i="57"/>
  <c r="L596" i="57"/>
  <c r="M595" i="57"/>
  <c r="L595" i="57"/>
  <c r="M594" i="57"/>
  <c r="L594" i="57"/>
  <c r="M593" i="57"/>
  <c r="L593" i="57"/>
  <c r="M592" i="57"/>
  <c r="L592" i="57"/>
  <c r="M591" i="57"/>
  <c r="L591" i="57"/>
  <c r="M590" i="57"/>
  <c r="L590" i="57"/>
  <c r="M589" i="57"/>
  <c r="L589" i="57"/>
  <c r="M588" i="57"/>
  <c r="L588" i="57"/>
  <c r="M587" i="57"/>
  <c r="L587" i="57"/>
  <c r="M586" i="57"/>
  <c r="L586" i="57"/>
  <c r="M585" i="57"/>
  <c r="L585" i="57"/>
  <c r="M584" i="57"/>
  <c r="L584" i="57"/>
  <c r="M583" i="57"/>
  <c r="L583" i="57"/>
  <c r="M582" i="57"/>
  <c r="L582" i="57"/>
  <c r="M581" i="57"/>
  <c r="L581" i="57"/>
  <c r="M580" i="57"/>
  <c r="L580" i="57"/>
  <c r="M579" i="57"/>
  <c r="L579" i="57"/>
  <c r="M578" i="57"/>
  <c r="L578" i="57"/>
  <c r="M577" i="57"/>
  <c r="L577" i="57"/>
  <c r="M576" i="57"/>
  <c r="L576" i="57"/>
  <c r="M575" i="57"/>
  <c r="L575" i="57"/>
  <c r="M574" i="57"/>
  <c r="L574" i="57"/>
  <c r="M573" i="57"/>
  <c r="L573" i="57"/>
  <c r="M572" i="57"/>
  <c r="L572" i="57"/>
  <c r="M571" i="57"/>
  <c r="L571" i="57"/>
  <c r="M570" i="57"/>
  <c r="L570" i="57"/>
  <c r="M569" i="57"/>
  <c r="L569" i="57"/>
  <c r="M568" i="57"/>
  <c r="L568" i="57"/>
  <c r="M567" i="57"/>
  <c r="L567" i="57"/>
  <c r="M566" i="57"/>
  <c r="L566" i="57"/>
  <c r="M565" i="57"/>
  <c r="L565" i="57"/>
  <c r="M564" i="57"/>
  <c r="L564" i="57"/>
  <c r="M563" i="57"/>
  <c r="L563" i="57"/>
  <c r="M562" i="57"/>
  <c r="L562" i="57"/>
  <c r="M561" i="57"/>
  <c r="L561" i="57"/>
  <c r="M560" i="57"/>
  <c r="L560" i="57"/>
  <c r="M559" i="57"/>
  <c r="L559" i="57"/>
  <c r="M558" i="57"/>
  <c r="L558" i="57"/>
  <c r="M557" i="57"/>
  <c r="L557" i="57"/>
  <c r="M556" i="57"/>
  <c r="L556" i="57"/>
  <c r="M555" i="57"/>
  <c r="L555" i="57"/>
  <c r="M554" i="57"/>
  <c r="L554" i="57"/>
  <c r="M553" i="57"/>
  <c r="L553" i="57"/>
  <c r="M552" i="57"/>
  <c r="L552" i="57"/>
  <c r="M551" i="57"/>
  <c r="L551" i="57"/>
  <c r="M550" i="57"/>
  <c r="L550" i="57"/>
  <c r="M549" i="57"/>
  <c r="L549" i="57"/>
  <c r="M548" i="57"/>
  <c r="L548" i="57"/>
  <c r="M547" i="57"/>
  <c r="L547" i="57"/>
  <c r="M546" i="57"/>
  <c r="L546" i="57"/>
  <c r="M545" i="57"/>
  <c r="L545" i="57"/>
  <c r="M544" i="57"/>
  <c r="L544" i="57"/>
  <c r="M543" i="57"/>
  <c r="L543" i="57"/>
  <c r="M542" i="57"/>
  <c r="L542" i="57"/>
  <c r="M541" i="57"/>
  <c r="L541" i="57"/>
  <c r="M540" i="57"/>
  <c r="L540" i="57"/>
  <c r="M539" i="57"/>
  <c r="L539" i="57"/>
  <c r="M538" i="57"/>
  <c r="L538" i="57"/>
  <c r="M537" i="57"/>
  <c r="L537" i="57"/>
  <c r="M536" i="57"/>
  <c r="L536" i="57"/>
  <c r="M535" i="57"/>
  <c r="L535" i="57"/>
  <c r="M534" i="57"/>
  <c r="L534" i="57"/>
  <c r="M533" i="57"/>
  <c r="L533" i="57"/>
  <c r="M532" i="57"/>
  <c r="L532" i="57"/>
  <c r="M531" i="57"/>
  <c r="L531" i="57"/>
  <c r="M530" i="57"/>
  <c r="L530" i="57"/>
  <c r="M529" i="57"/>
  <c r="L529" i="57"/>
  <c r="M528" i="57"/>
  <c r="L528" i="57"/>
  <c r="M527" i="57"/>
  <c r="L527" i="57"/>
  <c r="M526" i="57"/>
  <c r="L526" i="57"/>
  <c r="M525" i="57"/>
  <c r="L525" i="57"/>
  <c r="M524" i="57"/>
  <c r="L524" i="57"/>
  <c r="M523" i="57"/>
  <c r="L523" i="57"/>
  <c r="M522" i="57"/>
  <c r="L522" i="57"/>
  <c r="M521" i="57"/>
  <c r="L521" i="57"/>
  <c r="M520" i="57"/>
  <c r="L520" i="57"/>
  <c r="M519" i="57"/>
  <c r="L519" i="57"/>
  <c r="M518" i="57"/>
  <c r="L518" i="57"/>
  <c r="M517" i="57"/>
  <c r="L517" i="57"/>
  <c r="M516" i="57"/>
  <c r="L516" i="57"/>
  <c r="M515" i="57"/>
  <c r="L515" i="57"/>
  <c r="M514" i="57"/>
  <c r="L514" i="57"/>
  <c r="M513" i="57"/>
  <c r="L513" i="57"/>
  <c r="M512" i="57"/>
  <c r="L512" i="57"/>
  <c r="M511" i="57"/>
  <c r="L511" i="57"/>
  <c r="M510" i="57"/>
  <c r="L510" i="57"/>
  <c r="M509" i="57"/>
  <c r="L509" i="57"/>
  <c r="M508" i="57"/>
  <c r="L508" i="57"/>
  <c r="M507" i="57"/>
  <c r="L507" i="57"/>
  <c r="M506" i="57"/>
  <c r="L506" i="57"/>
  <c r="M505" i="57"/>
  <c r="L505" i="57"/>
  <c r="M504" i="57"/>
  <c r="L504" i="57"/>
  <c r="M503" i="57"/>
  <c r="L503" i="57"/>
  <c r="M502" i="57"/>
  <c r="L502" i="57"/>
  <c r="M501" i="57"/>
  <c r="L501" i="57"/>
  <c r="M500" i="57"/>
  <c r="L500" i="57"/>
  <c r="M499" i="57"/>
  <c r="L499" i="57"/>
  <c r="M498" i="57"/>
  <c r="L498" i="57"/>
  <c r="M497" i="57"/>
  <c r="L497" i="57"/>
  <c r="M496" i="57"/>
  <c r="L496" i="57"/>
  <c r="M495" i="57"/>
  <c r="L495" i="57"/>
  <c r="M494" i="57"/>
  <c r="L494" i="57"/>
  <c r="M493" i="57"/>
  <c r="L493" i="57"/>
  <c r="M492" i="57"/>
  <c r="L492" i="57"/>
  <c r="M491" i="57"/>
  <c r="L491" i="57"/>
  <c r="M490" i="57"/>
  <c r="L490" i="57"/>
  <c r="M489" i="57"/>
  <c r="L489" i="57"/>
  <c r="M488" i="57"/>
  <c r="L488" i="57"/>
  <c r="M487" i="57"/>
  <c r="L487" i="57"/>
  <c r="M486" i="57"/>
  <c r="L486" i="57"/>
  <c r="M485" i="57"/>
  <c r="L485" i="57"/>
  <c r="M484" i="57"/>
  <c r="L484" i="57"/>
  <c r="M483" i="57"/>
  <c r="L483" i="57"/>
  <c r="M482" i="57"/>
  <c r="L482" i="57"/>
  <c r="M481" i="57"/>
  <c r="L481" i="57"/>
  <c r="M480" i="57"/>
  <c r="L480" i="57"/>
  <c r="M479" i="57"/>
  <c r="L479" i="57"/>
  <c r="M478" i="57"/>
  <c r="L478" i="57"/>
  <c r="M477" i="57"/>
  <c r="L477" i="57"/>
  <c r="M476" i="57"/>
  <c r="L476" i="57"/>
  <c r="M475" i="57"/>
  <c r="L475" i="57"/>
  <c r="M474" i="57"/>
  <c r="L474" i="57"/>
  <c r="M473" i="57"/>
  <c r="L473" i="57"/>
  <c r="M472" i="57"/>
  <c r="L472" i="57"/>
  <c r="M471" i="57"/>
  <c r="L471" i="57"/>
  <c r="M470" i="57"/>
  <c r="L470" i="57"/>
  <c r="M469" i="57"/>
  <c r="L469" i="57"/>
  <c r="M468" i="57"/>
  <c r="L468" i="57"/>
  <c r="M467" i="57"/>
  <c r="L467" i="57"/>
  <c r="M466" i="57"/>
  <c r="L466" i="57"/>
  <c r="M465" i="57"/>
  <c r="L465" i="57"/>
  <c r="M464" i="57"/>
  <c r="L464" i="57"/>
  <c r="M463" i="57"/>
  <c r="L463" i="57"/>
  <c r="M462" i="57"/>
  <c r="L462" i="57"/>
  <c r="M461" i="57"/>
  <c r="L461" i="57"/>
  <c r="M460" i="57"/>
  <c r="L460" i="57"/>
  <c r="M459" i="57"/>
  <c r="L459" i="57"/>
  <c r="M458" i="57"/>
  <c r="L458" i="57"/>
  <c r="M457" i="57"/>
  <c r="L457" i="57"/>
  <c r="M456" i="57"/>
  <c r="L456" i="57"/>
  <c r="M455" i="57"/>
  <c r="L455" i="57"/>
  <c r="M454" i="57"/>
  <c r="L454" i="57"/>
  <c r="M453" i="57"/>
  <c r="L453" i="57"/>
  <c r="M452" i="57"/>
  <c r="L452" i="57"/>
  <c r="M451" i="57"/>
  <c r="L451" i="57"/>
  <c r="M450" i="57"/>
  <c r="L450" i="57"/>
  <c r="M449" i="57"/>
  <c r="L449" i="57"/>
  <c r="M448" i="57"/>
  <c r="L448" i="57"/>
  <c r="M447" i="57"/>
  <c r="L447" i="57"/>
  <c r="M446" i="57"/>
  <c r="L446" i="57"/>
  <c r="M445" i="57"/>
  <c r="L445" i="57"/>
  <c r="M444" i="57"/>
  <c r="L444" i="57"/>
  <c r="M443" i="57"/>
  <c r="L443" i="57"/>
  <c r="M442" i="57"/>
  <c r="L442" i="57"/>
  <c r="M441" i="57"/>
  <c r="L441" i="57"/>
  <c r="M440" i="57"/>
  <c r="L440" i="57"/>
  <c r="M439" i="57"/>
  <c r="L439" i="57"/>
  <c r="M438" i="57"/>
  <c r="L438" i="57"/>
  <c r="M437" i="57"/>
  <c r="L437" i="57"/>
  <c r="M436" i="57"/>
  <c r="L436" i="57"/>
  <c r="M435" i="57"/>
  <c r="L435" i="57"/>
  <c r="M434" i="57"/>
  <c r="L434" i="57"/>
  <c r="M433" i="57"/>
  <c r="L433" i="57"/>
  <c r="M432" i="57"/>
  <c r="L432" i="57"/>
  <c r="M431" i="57"/>
  <c r="L431" i="57"/>
  <c r="M430" i="57"/>
  <c r="L430" i="57"/>
  <c r="M429" i="57"/>
  <c r="L429" i="57"/>
  <c r="M428" i="57"/>
  <c r="L428" i="57"/>
  <c r="M427" i="57"/>
  <c r="L427" i="57"/>
  <c r="M426" i="57"/>
  <c r="L426" i="57"/>
  <c r="M425" i="57"/>
  <c r="L425" i="57"/>
  <c r="M424" i="57"/>
  <c r="L424" i="57"/>
  <c r="M423" i="57"/>
  <c r="L423" i="57"/>
  <c r="M422" i="57"/>
  <c r="L422" i="57"/>
  <c r="M421" i="57"/>
  <c r="L421" i="57"/>
  <c r="M420" i="57"/>
  <c r="L420" i="57"/>
  <c r="M419" i="57"/>
  <c r="L419" i="57"/>
  <c r="M418" i="57"/>
  <c r="L418" i="57"/>
  <c r="M417" i="57"/>
  <c r="L417" i="57"/>
  <c r="M416" i="57"/>
  <c r="L416" i="57"/>
  <c r="M415" i="57"/>
  <c r="L415" i="57"/>
  <c r="M414" i="57"/>
  <c r="L414" i="57"/>
  <c r="M413" i="57"/>
  <c r="L413" i="57"/>
  <c r="M412" i="57"/>
  <c r="L412" i="57"/>
  <c r="M411" i="57"/>
  <c r="L411" i="57"/>
  <c r="M410" i="57"/>
  <c r="L410" i="57"/>
  <c r="M409" i="57"/>
  <c r="L409" i="57"/>
  <c r="M408" i="57"/>
  <c r="L408" i="57"/>
  <c r="M407" i="57"/>
  <c r="L407" i="57"/>
  <c r="M406" i="57"/>
  <c r="L406" i="57"/>
  <c r="M405" i="57"/>
  <c r="L405" i="57"/>
  <c r="M404" i="57"/>
  <c r="L404" i="57"/>
  <c r="M403" i="57"/>
  <c r="L403" i="57"/>
  <c r="M402" i="57"/>
  <c r="L402" i="57"/>
  <c r="M401" i="57"/>
  <c r="L401" i="57"/>
  <c r="M400" i="57"/>
  <c r="L400" i="57"/>
  <c r="M399" i="57"/>
  <c r="L399" i="57"/>
  <c r="M398" i="57"/>
  <c r="L398" i="57"/>
  <c r="M397" i="57"/>
  <c r="L397" i="57"/>
  <c r="M396" i="57"/>
  <c r="L396" i="57"/>
  <c r="M395" i="57"/>
  <c r="L395" i="57"/>
  <c r="M394" i="57"/>
  <c r="L394" i="57"/>
  <c r="M393" i="57"/>
  <c r="L393" i="57"/>
  <c r="M392" i="57"/>
  <c r="L392" i="57"/>
  <c r="M391" i="57"/>
  <c r="L391" i="57"/>
  <c r="M390" i="57"/>
  <c r="L390" i="57"/>
  <c r="M389" i="57"/>
  <c r="L389" i="57"/>
  <c r="M388" i="57"/>
  <c r="L388" i="57"/>
  <c r="M387" i="57"/>
  <c r="L387" i="57"/>
  <c r="M386" i="57"/>
  <c r="L386" i="57"/>
  <c r="M385" i="57"/>
  <c r="L385" i="57"/>
  <c r="M384" i="57"/>
  <c r="L384" i="57"/>
  <c r="M383" i="57"/>
  <c r="L383" i="57"/>
  <c r="M382" i="57"/>
  <c r="L382" i="57"/>
  <c r="M381" i="57"/>
  <c r="L381" i="57"/>
  <c r="M380" i="57"/>
  <c r="L380" i="57"/>
  <c r="M379" i="57"/>
  <c r="L379" i="57"/>
  <c r="M378" i="57"/>
  <c r="L378" i="57"/>
  <c r="M377" i="57"/>
  <c r="L377" i="57"/>
  <c r="M376" i="57"/>
  <c r="L376" i="57"/>
  <c r="M375" i="57"/>
  <c r="L375" i="57"/>
  <c r="M374" i="57"/>
  <c r="L374" i="57"/>
  <c r="M373" i="57"/>
  <c r="L373" i="57"/>
  <c r="M372" i="57"/>
  <c r="L372" i="57"/>
  <c r="M371" i="57"/>
  <c r="L371" i="57"/>
  <c r="M370" i="57"/>
  <c r="L370" i="57"/>
  <c r="M369" i="57"/>
  <c r="L369" i="57"/>
  <c r="M368" i="57"/>
  <c r="L368" i="57"/>
  <c r="M367" i="57"/>
  <c r="L367" i="57"/>
  <c r="M366" i="57"/>
  <c r="L366" i="57"/>
  <c r="M365" i="57"/>
  <c r="L365" i="57"/>
  <c r="M364" i="57"/>
  <c r="L364" i="57"/>
  <c r="M363" i="57"/>
  <c r="L363" i="57"/>
  <c r="M362" i="57"/>
  <c r="L362" i="57"/>
  <c r="M361" i="57"/>
  <c r="L361" i="57"/>
  <c r="M360" i="57"/>
  <c r="L360" i="57"/>
  <c r="M359" i="57"/>
  <c r="L359" i="57"/>
  <c r="M358" i="57"/>
  <c r="L358" i="57"/>
  <c r="M357" i="57"/>
  <c r="L357" i="57"/>
  <c r="M356" i="57"/>
  <c r="L356" i="57"/>
  <c r="M355" i="57"/>
  <c r="L355" i="57"/>
  <c r="M354" i="57"/>
  <c r="L354" i="57"/>
  <c r="M353" i="57"/>
  <c r="L353" i="57"/>
  <c r="M352" i="57"/>
  <c r="L352" i="57"/>
  <c r="M351" i="57"/>
  <c r="L351" i="57"/>
  <c r="M350" i="57"/>
  <c r="L350" i="57"/>
  <c r="M349" i="57"/>
  <c r="L349" i="57"/>
  <c r="M348" i="57"/>
  <c r="L348" i="57"/>
  <c r="M347" i="57"/>
  <c r="L347" i="57"/>
  <c r="M346" i="57"/>
  <c r="L346" i="57"/>
  <c r="M345" i="57"/>
  <c r="L345" i="57"/>
  <c r="M344" i="57"/>
  <c r="L344" i="57"/>
  <c r="M343" i="57"/>
  <c r="L343" i="57"/>
  <c r="M342" i="57"/>
  <c r="L342" i="57"/>
  <c r="M341" i="57"/>
  <c r="L341" i="57"/>
  <c r="M340" i="57"/>
  <c r="L340" i="57"/>
  <c r="M339" i="57"/>
  <c r="L339" i="57"/>
  <c r="M338" i="57"/>
  <c r="L338" i="57"/>
  <c r="M337" i="57"/>
  <c r="L337" i="57"/>
  <c r="M336" i="57"/>
  <c r="L336" i="57"/>
  <c r="M335" i="57"/>
  <c r="L335" i="57"/>
  <c r="M334" i="57"/>
  <c r="L334" i="57"/>
  <c r="M333" i="57"/>
  <c r="L333" i="57"/>
  <c r="M332" i="57"/>
  <c r="L332" i="57"/>
  <c r="M331" i="57"/>
  <c r="L331" i="57"/>
  <c r="M330" i="57"/>
  <c r="L330" i="57"/>
  <c r="M329" i="57"/>
  <c r="L329" i="57"/>
  <c r="M328" i="57"/>
  <c r="L328" i="57"/>
  <c r="M327" i="57"/>
  <c r="L327" i="57"/>
  <c r="M326" i="57"/>
  <c r="L326" i="57"/>
  <c r="M325" i="57"/>
  <c r="L325" i="57"/>
  <c r="M324" i="57"/>
  <c r="L324" i="57"/>
  <c r="M323" i="57"/>
  <c r="L323" i="57"/>
  <c r="M322" i="57"/>
  <c r="L322" i="57"/>
  <c r="M321" i="57"/>
  <c r="L321" i="57"/>
  <c r="M320" i="57"/>
  <c r="L320" i="57"/>
  <c r="M319" i="57"/>
  <c r="L319" i="57"/>
  <c r="M318" i="57"/>
  <c r="L318" i="57"/>
  <c r="M317" i="57"/>
  <c r="L317" i="57"/>
  <c r="M316" i="57"/>
  <c r="L316" i="57"/>
  <c r="M315" i="57"/>
  <c r="L315" i="57"/>
  <c r="M314" i="57"/>
  <c r="L314" i="57"/>
  <c r="M313" i="57"/>
  <c r="L313" i="57"/>
  <c r="M312" i="57"/>
  <c r="L312" i="57"/>
  <c r="M311" i="57"/>
  <c r="L311" i="57"/>
  <c r="M310" i="57"/>
  <c r="L310" i="57"/>
  <c r="M309" i="57"/>
  <c r="L309" i="57"/>
  <c r="M308" i="57"/>
  <c r="L308" i="57"/>
  <c r="M307" i="57"/>
  <c r="L307" i="57"/>
  <c r="M306" i="57"/>
  <c r="L306" i="57"/>
  <c r="M305" i="57"/>
  <c r="L305" i="57"/>
  <c r="M304" i="57"/>
  <c r="L304" i="57"/>
  <c r="M303" i="57"/>
  <c r="L303" i="57"/>
  <c r="M302" i="57"/>
  <c r="L302" i="57"/>
  <c r="M301" i="57"/>
  <c r="L301" i="57"/>
  <c r="M300" i="57"/>
  <c r="L300" i="57"/>
  <c r="M299" i="57"/>
  <c r="L299" i="57"/>
  <c r="M298" i="57"/>
  <c r="L298" i="57"/>
  <c r="M297" i="57"/>
  <c r="L297" i="57"/>
  <c r="M296" i="57"/>
  <c r="L296" i="57"/>
  <c r="M295" i="57"/>
  <c r="L295" i="57"/>
  <c r="M294" i="57"/>
  <c r="L294" i="57"/>
  <c r="M293" i="57"/>
  <c r="L293" i="57"/>
  <c r="M292" i="57"/>
  <c r="L292" i="57"/>
  <c r="M291" i="57"/>
  <c r="L291" i="57"/>
  <c r="M290" i="57"/>
  <c r="L290" i="57"/>
  <c r="M289" i="57"/>
  <c r="L289" i="57"/>
  <c r="M288" i="57"/>
  <c r="L288" i="57"/>
  <c r="M287" i="57"/>
  <c r="L287" i="57"/>
  <c r="M286" i="57"/>
  <c r="L286" i="57"/>
  <c r="M285" i="57"/>
  <c r="L285" i="57"/>
  <c r="M284" i="57"/>
  <c r="L284" i="57"/>
  <c r="M283" i="57"/>
  <c r="L283" i="57"/>
  <c r="M282" i="57"/>
  <c r="L282" i="57"/>
  <c r="M281" i="57"/>
  <c r="L281" i="57"/>
  <c r="M280" i="57"/>
  <c r="L280" i="57"/>
  <c r="M279" i="57"/>
  <c r="L279" i="57"/>
  <c r="M278" i="57"/>
  <c r="L278" i="57"/>
  <c r="M277" i="57"/>
  <c r="L277" i="57"/>
  <c r="M276" i="57"/>
  <c r="L276" i="57"/>
  <c r="M275" i="57"/>
  <c r="L275" i="57"/>
  <c r="M274" i="57"/>
  <c r="L274" i="57"/>
  <c r="M273" i="57"/>
  <c r="L273" i="57"/>
  <c r="M272" i="57"/>
  <c r="L272" i="57"/>
  <c r="M271" i="57"/>
  <c r="L271" i="57"/>
  <c r="M270" i="57"/>
  <c r="L270" i="57"/>
  <c r="M269" i="57"/>
  <c r="L269" i="57"/>
  <c r="M268" i="57"/>
  <c r="L268" i="57"/>
  <c r="M267" i="57"/>
  <c r="L267" i="57"/>
  <c r="M266" i="57"/>
  <c r="L266" i="57"/>
  <c r="M265" i="57"/>
  <c r="L265" i="57"/>
  <c r="M264" i="57"/>
  <c r="L264" i="57"/>
  <c r="M263" i="57"/>
  <c r="L263" i="57"/>
  <c r="M262" i="57"/>
  <c r="L262" i="57"/>
  <c r="M261" i="57"/>
  <c r="L261" i="57"/>
  <c r="M260" i="57"/>
  <c r="L260" i="57"/>
  <c r="M259" i="57"/>
  <c r="L259" i="57"/>
  <c r="M258" i="57"/>
  <c r="L258" i="57"/>
  <c r="M257" i="57"/>
  <c r="L257" i="57"/>
  <c r="M256" i="57"/>
  <c r="L256" i="57"/>
  <c r="M255" i="57"/>
  <c r="L255" i="57"/>
  <c r="M254" i="57"/>
  <c r="L254" i="57"/>
  <c r="M253" i="57"/>
  <c r="L253" i="57"/>
  <c r="M252" i="57"/>
  <c r="L252" i="57"/>
  <c r="M251" i="57"/>
  <c r="L251" i="57"/>
  <c r="M250" i="57"/>
  <c r="L250" i="57"/>
  <c r="M249" i="57"/>
  <c r="L249" i="57"/>
  <c r="M248" i="57"/>
  <c r="L248" i="57"/>
  <c r="M247" i="57"/>
  <c r="L247" i="57"/>
  <c r="M246" i="57"/>
  <c r="L246" i="57"/>
  <c r="M245" i="57"/>
  <c r="L245" i="57"/>
  <c r="M244" i="57"/>
  <c r="L244" i="57"/>
  <c r="M243" i="57"/>
  <c r="L243" i="57"/>
  <c r="M242" i="57"/>
  <c r="L242" i="57"/>
  <c r="M241" i="57"/>
  <c r="L241" i="57"/>
  <c r="M240" i="57"/>
  <c r="L240" i="57"/>
  <c r="M239" i="57"/>
  <c r="L239" i="57"/>
  <c r="M238" i="57"/>
  <c r="L238" i="57"/>
  <c r="M237" i="57"/>
  <c r="L237" i="57"/>
  <c r="M236" i="57"/>
  <c r="L236" i="57"/>
  <c r="M235" i="57"/>
  <c r="L235" i="57"/>
  <c r="M234" i="57"/>
  <c r="L234" i="57"/>
  <c r="M233" i="57"/>
  <c r="L233" i="57"/>
  <c r="M232" i="57"/>
  <c r="L232" i="57"/>
  <c r="M231" i="57"/>
  <c r="L231" i="57"/>
  <c r="M230" i="57"/>
  <c r="L230" i="57"/>
  <c r="M229" i="57"/>
  <c r="L229" i="57"/>
  <c r="M228" i="57"/>
  <c r="L228" i="57"/>
  <c r="M227" i="57"/>
  <c r="L227" i="57"/>
  <c r="M226" i="57"/>
  <c r="L226" i="57"/>
  <c r="M225" i="57"/>
  <c r="L225" i="57"/>
  <c r="M224" i="57"/>
  <c r="L224" i="57"/>
  <c r="M223" i="57"/>
  <c r="L223" i="57"/>
  <c r="M222" i="57"/>
  <c r="L222" i="57"/>
  <c r="M221" i="57"/>
  <c r="L221" i="57"/>
  <c r="M220" i="57"/>
  <c r="L220" i="57"/>
  <c r="M219" i="57"/>
  <c r="L219" i="57"/>
  <c r="M218" i="57"/>
  <c r="L218" i="57"/>
  <c r="M217" i="57"/>
  <c r="L217" i="57"/>
  <c r="M216" i="57"/>
  <c r="L216" i="57"/>
  <c r="M215" i="57"/>
  <c r="L215" i="57"/>
  <c r="M214" i="57"/>
  <c r="L214" i="57"/>
  <c r="M213" i="57"/>
  <c r="L213" i="57"/>
  <c r="M212" i="57"/>
  <c r="L212" i="57"/>
  <c r="M211" i="57"/>
  <c r="L211" i="57"/>
  <c r="M210" i="57"/>
  <c r="L210" i="57"/>
  <c r="M209" i="57"/>
  <c r="L209" i="57"/>
  <c r="M208" i="57"/>
  <c r="L208" i="57"/>
  <c r="M207" i="57"/>
  <c r="L207" i="57"/>
  <c r="M206" i="57"/>
  <c r="L206" i="57"/>
  <c r="M205" i="57"/>
  <c r="L205" i="57"/>
  <c r="M204" i="57"/>
  <c r="L204" i="57"/>
  <c r="M203" i="57"/>
  <c r="L203" i="57"/>
  <c r="M202" i="57"/>
  <c r="L202" i="57"/>
  <c r="M201" i="57"/>
  <c r="L201" i="57"/>
  <c r="M200" i="57"/>
  <c r="L200" i="57"/>
  <c r="M199" i="57"/>
  <c r="L199" i="57"/>
  <c r="M198" i="57"/>
  <c r="L198" i="57"/>
  <c r="M197" i="57"/>
  <c r="L197" i="57"/>
  <c r="M196" i="57"/>
  <c r="L196" i="57"/>
  <c r="M195" i="57"/>
  <c r="L195" i="57"/>
  <c r="M194" i="57"/>
  <c r="L194" i="57"/>
  <c r="M193" i="57"/>
  <c r="L193" i="57"/>
  <c r="M192" i="57"/>
  <c r="L192" i="57"/>
  <c r="M191" i="57"/>
  <c r="L191" i="57"/>
  <c r="M190" i="57"/>
  <c r="L190" i="57"/>
  <c r="M189" i="57"/>
  <c r="L189" i="57"/>
  <c r="M188" i="57"/>
  <c r="L188" i="57"/>
  <c r="M187" i="57"/>
  <c r="L187" i="57"/>
  <c r="M186" i="57"/>
  <c r="L186" i="57"/>
  <c r="M185" i="57"/>
  <c r="L185" i="57"/>
  <c r="M184" i="57"/>
  <c r="L184" i="57"/>
  <c r="M183" i="57"/>
  <c r="L183" i="57"/>
  <c r="M182" i="57"/>
  <c r="L182" i="57"/>
  <c r="M181" i="57"/>
  <c r="L181" i="57"/>
  <c r="M180" i="57"/>
  <c r="L180" i="57"/>
  <c r="M179" i="57"/>
  <c r="L179" i="57"/>
  <c r="M178" i="57"/>
  <c r="L178" i="57"/>
  <c r="M177" i="57"/>
  <c r="L177" i="57"/>
  <c r="M176" i="57"/>
  <c r="L176" i="57"/>
  <c r="M175" i="57"/>
  <c r="L175" i="57"/>
  <c r="M174" i="57"/>
  <c r="L174" i="57"/>
  <c r="M173" i="57"/>
  <c r="L173" i="57"/>
  <c r="M172" i="57"/>
  <c r="L172" i="57"/>
  <c r="M171" i="57"/>
  <c r="L171" i="57"/>
  <c r="M170" i="57"/>
  <c r="L170" i="57"/>
  <c r="M169" i="57"/>
  <c r="L169" i="57"/>
  <c r="M168" i="57"/>
  <c r="L168" i="57"/>
  <c r="M167" i="57"/>
  <c r="L167" i="57"/>
  <c r="M166" i="57"/>
  <c r="L166" i="57"/>
  <c r="M165" i="57"/>
  <c r="L165" i="57"/>
  <c r="M164" i="57"/>
  <c r="L164" i="57"/>
  <c r="M163" i="57"/>
  <c r="L163" i="57"/>
  <c r="M162" i="57"/>
  <c r="L162" i="57"/>
  <c r="M161" i="57"/>
  <c r="L161" i="57"/>
  <c r="M160" i="57"/>
  <c r="L160" i="57"/>
  <c r="M159" i="57"/>
  <c r="L159" i="57"/>
  <c r="M158" i="57"/>
  <c r="L158" i="57"/>
  <c r="M157" i="57"/>
  <c r="L157" i="57"/>
  <c r="M156" i="57"/>
  <c r="L156" i="57"/>
  <c r="M155" i="57"/>
  <c r="L155" i="57"/>
  <c r="M154" i="57"/>
  <c r="L154" i="57"/>
  <c r="M153" i="57"/>
  <c r="L153" i="57"/>
  <c r="M152" i="57"/>
  <c r="L152" i="57"/>
  <c r="M151" i="57"/>
  <c r="L151" i="57"/>
  <c r="M150" i="57"/>
  <c r="L150" i="57"/>
  <c r="M149" i="57"/>
  <c r="L149" i="57"/>
  <c r="M148" i="57"/>
  <c r="L148" i="57"/>
  <c r="M147" i="57"/>
  <c r="L147" i="57"/>
  <c r="M146" i="57"/>
  <c r="L146" i="57"/>
  <c r="M145" i="57"/>
  <c r="L145" i="57"/>
  <c r="M144" i="57"/>
  <c r="L144" i="57"/>
  <c r="M143" i="57"/>
  <c r="L143" i="57"/>
  <c r="M142" i="57"/>
  <c r="L142" i="57"/>
  <c r="M141" i="57"/>
  <c r="L141" i="57"/>
  <c r="M140" i="57"/>
  <c r="L140" i="57"/>
  <c r="M139" i="57"/>
  <c r="L139" i="57"/>
  <c r="M138" i="57"/>
  <c r="L138" i="57"/>
  <c r="M137" i="57"/>
  <c r="L137" i="57"/>
  <c r="M136" i="57"/>
  <c r="L136" i="57"/>
  <c r="M135" i="57"/>
  <c r="L135" i="57"/>
  <c r="M134" i="57"/>
  <c r="L134" i="57"/>
  <c r="M133" i="57"/>
  <c r="L133" i="57"/>
  <c r="M132" i="57"/>
  <c r="L132" i="57"/>
  <c r="M131" i="57"/>
  <c r="L131" i="57"/>
  <c r="M130" i="57"/>
  <c r="L130" i="57"/>
  <c r="M129" i="57"/>
  <c r="L129" i="57"/>
  <c r="M128" i="57"/>
  <c r="L128" i="57"/>
  <c r="M127" i="57"/>
  <c r="L127" i="57"/>
  <c r="M126" i="57"/>
  <c r="L126" i="57"/>
  <c r="M125" i="57"/>
  <c r="L125" i="57"/>
  <c r="M124" i="57"/>
  <c r="L124" i="57"/>
  <c r="M123" i="57"/>
  <c r="L123" i="57"/>
  <c r="M122" i="57"/>
  <c r="L122" i="57"/>
  <c r="M121" i="57"/>
  <c r="L121" i="57"/>
  <c r="M120" i="57"/>
  <c r="L120" i="57"/>
  <c r="M119" i="57"/>
  <c r="L119" i="57"/>
  <c r="M118" i="57"/>
  <c r="L118" i="57"/>
  <c r="M117" i="57"/>
  <c r="L117" i="57"/>
  <c r="M116" i="57"/>
  <c r="L116" i="57"/>
  <c r="M115" i="57"/>
  <c r="L115" i="57"/>
  <c r="M114" i="57"/>
  <c r="L114" i="57"/>
  <c r="M113" i="57"/>
  <c r="L113" i="57"/>
  <c r="M112" i="57"/>
  <c r="L112" i="57"/>
  <c r="M111" i="57"/>
  <c r="L111" i="57"/>
  <c r="M110" i="57"/>
  <c r="L110" i="57"/>
  <c r="M109" i="57"/>
  <c r="L109" i="57"/>
  <c r="M108" i="57"/>
  <c r="L108" i="57"/>
  <c r="M107" i="57"/>
  <c r="L107" i="57"/>
  <c r="M106" i="57"/>
  <c r="L106" i="57"/>
  <c r="M105" i="57"/>
  <c r="L105" i="57"/>
  <c r="M104" i="57"/>
  <c r="L104" i="57"/>
  <c r="M103" i="57"/>
  <c r="L103" i="57"/>
  <c r="M102" i="57"/>
  <c r="L102" i="57"/>
  <c r="M101" i="57"/>
  <c r="L101" i="57"/>
  <c r="M100" i="57"/>
  <c r="L100" i="57"/>
  <c r="M99" i="57"/>
  <c r="L99" i="57"/>
  <c r="M98" i="57"/>
  <c r="L98" i="57"/>
  <c r="M97" i="57"/>
  <c r="L97" i="57"/>
  <c r="M96" i="57"/>
  <c r="L96" i="57"/>
  <c r="M95" i="57"/>
  <c r="L95" i="57"/>
  <c r="M94" i="57"/>
  <c r="L94" i="57"/>
  <c r="M93" i="57"/>
  <c r="L93" i="57"/>
  <c r="M92" i="57"/>
  <c r="L92" i="57"/>
  <c r="M91" i="57"/>
  <c r="L91" i="57"/>
  <c r="M90" i="57"/>
  <c r="L90" i="57"/>
  <c r="M89" i="57"/>
  <c r="L89" i="57"/>
  <c r="M88" i="57"/>
  <c r="L88" i="57"/>
  <c r="M87" i="57"/>
  <c r="L87" i="57"/>
  <c r="M86" i="57"/>
  <c r="L86" i="57"/>
  <c r="M85" i="57"/>
  <c r="L85" i="57"/>
  <c r="M84" i="57"/>
  <c r="L84" i="57"/>
  <c r="M83" i="57"/>
  <c r="L83" i="57"/>
  <c r="M82" i="57"/>
  <c r="L82" i="57"/>
  <c r="M81" i="57"/>
  <c r="L81" i="57"/>
  <c r="M80" i="57"/>
  <c r="L80" i="57"/>
  <c r="M79" i="57"/>
  <c r="L79" i="57"/>
  <c r="M78" i="57"/>
  <c r="L78" i="57"/>
  <c r="M77" i="57"/>
  <c r="L77" i="57"/>
  <c r="M76" i="57"/>
  <c r="L76" i="57"/>
  <c r="M75" i="57"/>
  <c r="L75" i="57"/>
  <c r="M74" i="57"/>
  <c r="L74" i="57"/>
  <c r="M73" i="57"/>
  <c r="L73" i="57"/>
  <c r="M72" i="57"/>
  <c r="L72" i="57"/>
  <c r="M71" i="57"/>
  <c r="L71" i="57"/>
  <c r="M70" i="57"/>
  <c r="L70" i="57"/>
  <c r="M69" i="57"/>
  <c r="L69" i="57"/>
  <c r="M68" i="57"/>
  <c r="L68" i="57"/>
  <c r="M67" i="57"/>
  <c r="L67" i="57"/>
  <c r="M66" i="57"/>
  <c r="L66" i="57"/>
  <c r="M65" i="57"/>
  <c r="L65" i="57"/>
  <c r="M64" i="57"/>
  <c r="L64" i="57"/>
  <c r="M63" i="57"/>
  <c r="L63" i="57"/>
  <c r="M62" i="57"/>
  <c r="L62" i="57"/>
  <c r="M61" i="57"/>
  <c r="L61" i="57"/>
  <c r="M60" i="57"/>
  <c r="L60" i="57"/>
  <c r="M59" i="57"/>
  <c r="L59" i="57"/>
  <c r="M58" i="57"/>
  <c r="L58" i="57"/>
  <c r="M57" i="57"/>
  <c r="L57" i="57"/>
  <c r="M56" i="57"/>
  <c r="L56" i="57"/>
  <c r="M55" i="57"/>
  <c r="L55" i="57"/>
  <c r="M54" i="57"/>
  <c r="L54" i="57"/>
  <c r="M53" i="57"/>
  <c r="L53" i="57"/>
  <c r="M52" i="57"/>
  <c r="L52" i="57"/>
  <c r="M51" i="57"/>
  <c r="L51" i="57"/>
  <c r="M50" i="57"/>
  <c r="L50" i="57"/>
  <c r="M49" i="57"/>
  <c r="L49" i="57"/>
  <c r="M48" i="57"/>
  <c r="L48" i="57"/>
  <c r="M47" i="57"/>
  <c r="L47" i="57"/>
  <c r="M46" i="57"/>
  <c r="L46" i="57"/>
  <c r="M45" i="57"/>
  <c r="L45" i="57"/>
  <c r="M44" i="57"/>
  <c r="L44" i="57"/>
  <c r="M43" i="57"/>
  <c r="L43" i="57"/>
  <c r="M42" i="57"/>
  <c r="L42" i="57"/>
  <c r="M41" i="57"/>
  <c r="L41" i="57"/>
  <c r="M40" i="57"/>
  <c r="L40" i="57"/>
  <c r="M39" i="57"/>
  <c r="L39" i="57"/>
  <c r="M38" i="57"/>
  <c r="L38" i="57"/>
  <c r="M37" i="57"/>
  <c r="L37" i="57"/>
  <c r="M36" i="57"/>
  <c r="L36" i="57"/>
  <c r="M35" i="57"/>
  <c r="L35" i="57"/>
  <c r="M34" i="57"/>
  <c r="L34" i="57"/>
  <c r="M33" i="57"/>
  <c r="L33" i="57"/>
  <c r="M32" i="57"/>
  <c r="L32" i="57"/>
  <c r="M31" i="57"/>
  <c r="L31" i="57"/>
  <c r="M30" i="57"/>
  <c r="L30" i="57"/>
  <c r="M29" i="57"/>
  <c r="L29" i="57"/>
  <c r="M28" i="57"/>
  <c r="L28" i="57"/>
  <c r="M27" i="57"/>
  <c r="L27" i="57"/>
  <c r="M26" i="57"/>
  <c r="L26" i="57"/>
  <c r="M25" i="57"/>
  <c r="L25" i="57"/>
  <c r="M24" i="57"/>
  <c r="L24" i="57"/>
  <c r="M23" i="57"/>
  <c r="L23" i="57"/>
  <c r="M22" i="57"/>
  <c r="L22" i="57"/>
  <c r="M21" i="57"/>
  <c r="L21" i="57"/>
  <c r="M20" i="57"/>
  <c r="L20" i="57"/>
  <c r="M19" i="57"/>
  <c r="L19" i="57"/>
  <c r="M18" i="57"/>
  <c r="L18" i="57"/>
  <c r="M17" i="57"/>
  <c r="L17" i="57"/>
  <c r="M16" i="57"/>
  <c r="L16" i="57"/>
  <c r="M15" i="57"/>
  <c r="L15" i="57"/>
  <c r="M14" i="57"/>
  <c r="L14" i="57"/>
  <c r="M13" i="57"/>
  <c r="L13" i="57"/>
  <c r="M12" i="57"/>
  <c r="L12" i="57"/>
  <c r="M11" i="57"/>
  <c r="L11" i="57"/>
  <c r="M10" i="57"/>
  <c r="L10" i="57"/>
  <c r="AQ9" i="33"/>
  <c r="AP9" i="33"/>
  <c r="AQ8" i="33"/>
  <c r="AP8" i="33"/>
  <c r="AQ7" i="33"/>
  <c r="AP7" i="33"/>
  <c r="T7" i="40"/>
  <c r="P7" i="40"/>
  <c r="AG14" i="39"/>
  <c r="AG13" i="39"/>
  <c r="AG12" i="39"/>
  <c r="AG11" i="39"/>
  <c r="AG10" i="39"/>
  <c r="AG9" i="39"/>
  <c r="AG8" i="39"/>
  <c r="AG7" i="39"/>
  <c r="AG6" i="39"/>
  <c r="H65" i="50"/>
  <c r="H64" i="50"/>
  <c r="H63" i="50"/>
  <c r="H61" i="50"/>
  <c r="H60" i="50"/>
  <c r="H59" i="50"/>
  <c r="H58" i="50"/>
  <c r="H57" i="50"/>
  <c r="H56" i="50"/>
  <c r="H55" i="50"/>
  <c r="H54" i="50"/>
  <c r="H53" i="50"/>
  <c r="H52"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H10" i="50"/>
  <c r="H9" i="50"/>
  <c r="H8" i="50"/>
  <c r="H7" i="50"/>
  <c r="H6" i="50"/>
  <c r="C14" i="56"/>
  <c r="C12" i="56"/>
  <c r="Q10" i="39" s="1"/>
  <c r="G9" i="56"/>
  <c r="G8" i="56"/>
  <c r="G7" i="56"/>
  <c r="M18" i="26"/>
  <c r="M17" i="26"/>
  <c r="M16" i="26"/>
  <c r="M15" i="26"/>
  <c r="M14" i="26"/>
  <c r="M10" i="26" a="1"/>
  <c r="M10" i="26" s="1"/>
  <c r="AM67" i="41" l="1"/>
  <c r="AO68" i="41"/>
  <c r="AN2" i="41"/>
  <c r="AP2" i="41" s="1"/>
  <c r="AQ2" i="41" s="1" a="1"/>
  <c r="AQ2" i="41" s="1"/>
  <c r="AN10" i="41"/>
  <c r="AN18" i="41"/>
  <c r="AN26" i="41"/>
  <c r="AN34" i="41"/>
  <c r="AN42" i="41"/>
  <c r="AN50" i="41"/>
  <c r="AN58" i="41"/>
  <c r="AP58" i="41" s="1"/>
  <c r="AN66" i="41"/>
  <c r="AN74" i="41"/>
  <c r="AN82" i="41"/>
  <c r="AN90" i="41"/>
  <c r="AN98" i="41"/>
  <c r="AN106" i="41"/>
  <c r="AN114" i="41"/>
  <c r="AN122" i="41"/>
  <c r="AP122" i="41" s="1"/>
  <c r="AN130" i="41"/>
  <c r="AN138" i="41"/>
  <c r="AN146" i="41"/>
  <c r="AN154" i="41"/>
  <c r="AN162" i="41"/>
  <c r="AN170" i="41"/>
  <c r="AN178" i="41"/>
  <c r="AN186" i="41"/>
  <c r="AN194" i="41"/>
  <c r="AN202" i="41"/>
  <c r="AN17" i="41"/>
  <c r="AN137" i="41"/>
  <c r="AN201" i="41"/>
  <c r="AN3" i="41"/>
  <c r="AN11" i="41"/>
  <c r="AN19" i="41"/>
  <c r="AP19" i="41" s="1"/>
  <c r="AN27" i="41"/>
  <c r="AN35" i="41"/>
  <c r="AN43" i="41"/>
  <c r="AN51" i="41"/>
  <c r="AN59" i="41"/>
  <c r="AN67" i="41"/>
  <c r="AN75" i="41"/>
  <c r="AP75" i="41" s="1"/>
  <c r="AN83" i="41"/>
  <c r="AP83" i="41" s="1"/>
  <c r="AN91" i="41"/>
  <c r="AN99" i="41"/>
  <c r="AP99" i="41" s="1"/>
  <c r="AN107" i="41"/>
  <c r="AN115" i="41"/>
  <c r="AN123" i="41"/>
  <c r="AN131" i="41"/>
  <c r="AN139" i="41"/>
  <c r="AP139" i="41" s="1"/>
  <c r="AN147" i="41"/>
  <c r="AP147" i="41" s="1"/>
  <c r="AN155" i="41"/>
  <c r="AN163" i="41"/>
  <c r="AN171" i="41"/>
  <c r="AN179" i="41"/>
  <c r="AN187" i="41"/>
  <c r="AN195" i="41"/>
  <c r="AN25" i="41"/>
  <c r="AN169" i="41"/>
  <c r="AN4" i="41"/>
  <c r="AP4" i="41" s="1"/>
  <c r="AN12" i="41"/>
  <c r="AN20" i="41"/>
  <c r="AN28" i="41"/>
  <c r="AN36" i="41"/>
  <c r="AP36" i="41" s="1"/>
  <c r="AN44" i="41"/>
  <c r="AN52" i="41"/>
  <c r="AP52" i="41" s="1"/>
  <c r="AN60" i="41"/>
  <c r="AP60" i="41" s="1"/>
  <c r="AN68" i="41"/>
  <c r="AN76" i="41"/>
  <c r="AN84" i="41"/>
  <c r="AN92" i="41"/>
  <c r="AN100" i="41"/>
  <c r="AP100" i="41" s="1"/>
  <c r="AN108" i="41"/>
  <c r="AN116" i="41"/>
  <c r="AP116" i="41" s="1"/>
  <c r="AN124" i="41"/>
  <c r="AP124" i="41" s="1"/>
  <c r="AN132" i="41"/>
  <c r="AP132" i="41" s="1"/>
  <c r="AN140" i="41"/>
  <c r="AN148" i="41"/>
  <c r="AN156" i="41"/>
  <c r="AN164" i="41"/>
  <c r="AP164" i="41" s="1"/>
  <c r="AN172" i="41"/>
  <c r="AN180" i="41"/>
  <c r="AP180" i="41" s="1"/>
  <c r="AN188" i="41"/>
  <c r="AP188" i="41" s="1"/>
  <c r="AN196" i="41"/>
  <c r="AP196" i="41" s="1"/>
  <c r="AN49" i="41"/>
  <c r="AN89" i="41"/>
  <c r="AN105" i="41"/>
  <c r="AN121" i="41"/>
  <c r="AN145" i="41"/>
  <c r="AN185" i="41"/>
  <c r="AN5" i="41"/>
  <c r="AN13" i="41"/>
  <c r="AN21" i="41"/>
  <c r="AN29" i="41"/>
  <c r="AN37" i="41"/>
  <c r="AN45" i="41"/>
  <c r="AP45" i="41" s="1"/>
  <c r="AN53" i="41"/>
  <c r="AN61" i="41"/>
  <c r="AN69" i="41"/>
  <c r="AN77" i="41"/>
  <c r="AN85" i="41"/>
  <c r="AN93" i="41"/>
  <c r="AN101" i="41"/>
  <c r="AP101" i="41" s="1"/>
  <c r="AN109" i="41"/>
  <c r="AN117" i="41"/>
  <c r="AN125" i="41"/>
  <c r="AN133" i="41"/>
  <c r="AN141" i="41"/>
  <c r="AP141" i="41" s="1"/>
  <c r="AN149" i="41"/>
  <c r="AN157" i="41"/>
  <c r="AN165" i="41"/>
  <c r="AP165" i="41" s="1"/>
  <c r="AN173" i="41"/>
  <c r="AN181" i="41"/>
  <c r="AN189" i="41"/>
  <c r="AN197" i="41"/>
  <c r="AN33" i="41"/>
  <c r="AN153" i="41"/>
  <c r="AN6" i="41"/>
  <c r="AN14" i="41"/>
  <c r="AN22" i="41"/>
  <c r="AN30" i="41"/>
  <c r="AN38" i="41"/>
  <c r="AP38" i="41" s="1"/>
  <c r="AN46" i="41"/>
  <c r="AP46" i="41" s="1"/>
  <c r="AN54" i="41"/>
  <c r="AP54" i="41" s="1"/>
  <c r="AN62" i="41"/>
  <c r="AN70" i="41"/>
  <c r="AN78" i="41"/>
  <c r="AN86" i="41"/>
  <c r="AN94" i="41"/>
  <c r="AN102" i="41"/>
  <c r="AN110" i="41"/>
  <c r="AN118" i="41"/>
  <c r="AP118" i="41" s="1"/>
  <c r="AN126" i="41"/>
  <c r="AN134" i="41"/>
  <c r="AN142" i="41"/>
  <c r="AN150" i="41"/>
  <c r="AP150" i="41" s="1"/>
  <c r="AN158" i="41"/>
  <c r="AN166" i="41"/>
  <c r="AP166" i="41" s="1"/>
  <c r="AN174" i="41"/>
  <c r="AP174" i="41" s="1"/>
  <c r="AN182" i="41"/>
  <c r="AN190" i="41"/>
  <c r="AN198" i="41"/>
  <c r="AN41" i="41"/>
  <c r="AN161" i="41"/>
  <c r="AN7" i="41"/>
  <c r="AN15" i="41"/>
  <c r="AP15" i="41" s="1"/>
  <c r="AN23" i="41"/>
  <c r="AP23" i="41" s="1"/>
  <c r="AN31" i="41"/>
  <c r="AN39" i="41"/>
  <c r="AN47" i="41"/>
  <c r="AN55" i="41"/>
  <c r="AN63" i="41"/>
  <c r="AN71" i="41"/>
  <c r="AN79" i="41"/>
  <c r="AP79" i="41" s="1"/>
  <c r="AN87" i="41"/>
  <c r="AP87" i="41" s="1"/>
  <c r="AN95" i="41"/>
  <c r="AN103" i="41"/>
  <c r="AN111" i="41"/>
  <c r="AN119" i="41"/>
  <c r="AN127" i="41"/>
  <c r="AN135" i="41"/>
  <c r="AN143" i="41"/>
  <c r="AN151" i="41"/>
  <c r="AP151" i="41" s="1"/>
  <c r="AN159" i="41"/>
  <c r="AP159" i="41" s="1"/>
  <c r="AP160" i="41" s="1"/>
  <c r="AN167" i="41"/>
  <c r="AN175" i="41"/>
  <c r="AN183" i="41"/>
  <c r="AN191" i="41"/>
  <c r="AP191" i="41" s="1"/>
  <c r="AN199" i="41"/>
  <c r="AN73" i="41"/>
  <c r="AN8" i="41"/>
  <c r="AN16" i="41"/>
  <c r="AN24" i="41"/>
  <c r="AN32" i="41"/>
  <c r="AN40" i="41"/>
  <c r="AP40" i="41" s="1"/>
  <c r="AP41" i="41" s="1"/>
  <c r="AN48" i="41"/>
  <c r="AN56" i="41"/>
  <c r="AN64" i="41"/>
  <c r="AP64" i="41" s="1"/>
  <c r="AN72" i="41"/>
  <c r="AP72" i="41" s="1"/>
  <c r="AN80" i="41"/>
  <c r="AN88" i="41"/>
  <c r="AN96" i="41"/>
  <c r="AN104" i="41"/>
  <c r="AP104" i="41" s="1"/>
  <c r="AN112" i="41"/>
  <c r="AN120" i="41"/>
  <c r="AN128" i="41"/>
  <c r="AP128" i="41" s="1"/>
  <c r="AN136" i="41"/>
  <c r="AN144" i="41"/>
  <c r="AN152" i="41"/>
  <c r="AN160" i="41"/>
  <c r="AN168" i="41"/>
  <c r="AP168" i="41" s="1"/>
  <c r="AN176" i="41"/>
  <c r="AN184" i="41"/>
  <c r="AN192" i="41"/>
  <c r="AN200" i="41"/>
  <c r="AP200" i="41" s="1"/>
  <c r="AP201" i="41" s="1"/>
  <c r="AN9" i="41"/>
  <c r="AN57" i="41"/>
  <c r="AN65" i="41"/>
  <c r="AN81" i="41"/>
  <c r="AN97" i="41"/>
  <c r="AN113" i="41"/>
  <c r="AP113" i="41" s="1"/>
  <c r="AN129" i="41"/>
  <c r="AN177" i="41"/>
  <c r="AN193" i="41"/>
  <c r="AM109" i="41"/>
  <c r="AO110" i="41"/>
  <c r="AM110" i="41" s="1"/>
  <c r="AM133" i="41"/>
  <c r="AO134" i="41"/>
  <c r="AO176" i="41"/>
  <c r="AM175" i="41"/>
  <c r="AR8" i="33"/>
  <c r="AR7" i="33"/>
  <c r="AR9" i="33"/>
  <c r="D9" i="41"/>
  <c r="R9" i="39"/>
  <c r="G6" i="39"/>
  <c r="Q11" i="39"/>
  <c r="Q7" i="39"/>
  <c r="R10" i="39"/>
  <c r="J6" i="39"/>
  <c r="J8" i="39"/>
  <c r="R8" i="39"/>
  <c r="R11" i="39"/>
  <c r="R6" i="39"/>
  <c r="Q8" i="39"/>
  <c r="G7" i="39"/>
  <c r="J7" i="39"/>
  <c r="Q9" i="39"/>
  <c r="R7" i="39"/>
  <c r="Q6" i="39"/>
  <c r="G8" i="39"/>
  <c r="AP184" i="41" l="1"/>
  <c r="AP120" i="41"/>
  <c r="AP56" i="41"/>
  <c r="AP181" i="41"/>
  <c r="AP179" i="41"/>
  <c r="AP65" i="41"/>
  <c r="AP175" i="41"/>
  <c r="AP176" i="41" s="1"/>
  <c r="AP111" i="41"/>
  <c r="AP47" i="41"/>
  <c r="AP198" i="41"/>
  <c r="AP6" i="41"/>
  <c r="AP157" i="41"/>
  <c r="AP93" i="41"/>
  <c r="AP29" i="41"/>
  <c r="AP89" i="41"/>
  <c r="AP148" i="41"/>
  <c r="AP20" i="41"/>
  <c r="AP171" i="41"/>
  <c r="AP107" i="41"/>
  <c r="AP115" i="41"/>
  <c r="AP103" i="41"/>
  <c r="AP190" i="41"/>
  <c r="AP126" i="41"/>
  <c r="AP62" i="41"/>
  <c r="AP140" i="41"/>
  <c r="AP76" i="41"/>
  <c r="AP12" i="41"/>
  <c r="AP193" i="41"/>
  <c r="AP9" i="41"/>
  <c r="AP144" i="41"/>
  <c r="AP80" i="41"/>
  <c r="AP16" i="41"/>
  <c r="AP182" i="41"/>
  <c r="AP33" i="41"/>
  <c r="AP13" i="41"/>
  <c r="AP155" i="41"/>
  <c r="AP91" i="41"/>
  <c r="AP27" i="41"/>
  <c r="AP130" i="41"/>
  <c r="AP169" i="41"/>
  <c r="AP186" i="41"/>
  <c r="AM68" i="41"/>
  <c r="AO69" i="41"/>
  <c r="AP197" i="41"/>
  <c r="AP192" i="41"/>
  <c r="AP73" i="41"/>
  <c r="AP102" i="41"/>
  <c r="AP189" i="41"/>
  <c r="AP125" i="41"/>
  <c r="AP61" i="41"/>
  <c r="AP185" i="41"/>
  <c r="AP25" i="41"/>
  <c r="AP11" i="41"/>
  <c r="AP178" i="41"/>
  <c r="AP114" i="41"/>
  <c r="AP50" i="41"/>
  <c r="AP177" i="41"/>
  <c r="AP129" i="41"/>
  <c r="AP199" i="41"/>
  <c r="AP71" i="41"/>
  <c r="AP7" i="41"/>
  <c r="AP8" i="41" s="1"/>
  <c r="AP158" i="41"/>
  <c r="AP94" i="41"/>
  <c r="AP30" i="41"/>
  <c r="AP31" i="41" s="1"/>
  <c r="AP117" i="41"/>
  <c r="AP53" i="41"/>
  <c r="AP145" i="41"/>
  <c r="AP172" i="41"/>
  <c r="AP108" i="41"/>
  <c r="AP109" i="41" s="1"/>
  <c r="AP110" i="41" s="1"/>
  <c r="AP44" i="41"/>
  <c r="AP195" i="41"/>
  <c r="AP131" i="41"/>
  <c r="AP3" i="41"/>
  <c r="AP170" i="41"/>
  <c r="AP106" i="41"/>
  <c r="AP133" i="41"/>
  <c r="AP5" i="41"/>
  <c r="AP97" i="41"/>
  <c r="AP112" i="41"/>
  <c r="AP48" i="41"/>
  <c r="AP127" i="41"/>
  <c r="AP63" i="41"/>
  <c r="AP161" i="41"/>
  <c r="AP86" i="41"/>
  <c r="AP173" i="41"/>
  <c r="AP121" i="41"/>
  <c r="AP187" i="41"/>
  <c r="AP123" i="41"/>
  <c r="AP59" i="41"/>
  <c r="AP162" i="41"/>
  <c r="AP98" i="41"/>
  <c r="AP34" i="41"/>
  <c r="AP95" i="41"/>
  <c r="AP81" i="41"/>
  <c r="AP42" i="41"/>
  <c r="AP183" i="41"/>
  <c r="AP119" i="41"/>
  <c r="AP55" i="41"/>
  <c r="AP142" i="41"/>
  <c r="AP143" i="41" s="1"/>
  <c r="AP78" i="41"/>
  <c r="AP14" i="41"/>
  <c r="AP37" i="41"/>
  <c r="AP105" i="41"/>
  <c r="AP156" i="41"/>
  <c r="AP92" i="41"/>
  <c r="AP28" i="41"/>
  <c r="AP51" i="41"/>
  <c r="AP154" i="41"/>
  <c r="AP90" i="41"/>
  <c r="AP26" i="41"/>
  <c r="AP96" i="41"/>
  <c r="AP134" i="41"/>
  <c r="AP135" i="41" s="1"/>
  <c r="AP136" i="41" s="1"/>
  <c r="AP43" i="41"/>
  <c r="AP17" i="41"/>
  <c r="AP146" i="41"/>
  <c r="AP82" i="41"/>
  <c r="AP18" i="41"/>
  <c r="AP32" i="41"/>
  <c r="AP84" i="41"/>
  <c r="AP57" i="41"/>
  <c r="AP152" i="41"/>
  <c r="AP88" i="41"/>
  <c r="AP24" i="41"/>
  <c r="AP167" i="41"/>
  <c r="AP39" i="41"/>
  <c r="AP153" i="41"/>
  <c r="AP149" i="41"/>
  <c r="AP85" i="41"/>
  <c r="AP21" i="41"/>
  <c r="AP22" i="41" s="1"/>
  <c r="AP49" i="41"/>
  <c r="AP77" i="41"/>
  <c r="AP163" i="41"/>
  <c r="AP35" i="41"/>
  <c r="AP202" i="41"/>
  <c r="AP138" i="41"/>
  <c r="AP74" i="41"/>
  <c r="AP10" i="41"/>
  <c r="AP194" i="41"/>
  <c r="AP66" i="41"/>
  <c r="AP67" i="41" s="1"/>
  <c r="AP68" i="41" s="1"/>
  <c r="AP69" i="41" s="1"/>
  <c r="AP70" i="41" s="1"/>
  <c r="AQ3" i="41" a="1"/>
  <c r="AQ3" i="41" s="1"/>
  <c r="AU2" i="41"/>
  <c r="AT2" i="41"/>
  <c r="AR2" i="41"/>
  <c r="AS2" i="41"/>
  <c r="AO177" i="41"/>
  <c r="AM177" i="41" s="1"/>
  <c r="AM176" i="41"/>
  <c r="AM134" i="41"/>
  <c r="AO135" i="41"/>
  <c r="D10" i="41"/>
  <c r="AM69" i="41" l="1"/>
  <c r="AO70" i="41"/>
  <c r="AM70" i="41" s="1"/>
  <c r="AR3" i="41"/>
  <c r="AS3" i="41"/>
  <c r="AQ4" i="41" a="1"/>
  <c r="AQ4" i="41" s="1"/>
  <c r="AQ5" i="41" s="1" a="1"/>
  <c r="AQ5" i="41" s="1"/>
  <c r="AP137" i="41"/>
  <c r="AO136" i="41"/>
  <c r="AM135" i="41"/>
  <c r="D11" i="41"/>
  <c r="AR5" i="41" l="1"/>
  <c r="AS5" i="41"/>
  <c r="AQ6" i="41" a="1"/>
  <c r="AQ6" i="41" s="1"/>
  <c r="AR4" i="41"/>
  <c r="AS4" i="41"/>
  <c r="AO137" i="41"/>
  <c r="AM137" i="41" s="1"/>
  <c r="AM136" i="41"/>
  <c r="D12" i="41"/>
  <c r="AS6" i="41" l="1"/>
  <c r="AQ7" i="41" a="1"/>
  <c r="AQ7" i="41" s="1"/>
  <c r="AR6" i="41"/>
  <c r="D13" i="41"/>
  <c r="AR7" i="41" l="1"/>
  <c r="AQ8" i="41" a="1"/>
  <c r="AQ8" i="41" s="1"/>
  <c r="D14" i="41"/>
  <c r="AQ9" i="41" l="1" a="1"/>
  <c r="AQ9" i="41" s="1"/>
  <c r="AR8" i="41"/>
  <c r="AS8" i="41"/>
  <c r="AT8" i="41"/>
  <c r="D15" i="41"/>
  <c r="AR9" i="41" l="1"/>
  <c r="AQ10" i="41" a="1"/>
  <c r="AQ10" i="41" s="1"/>
  <c r="AS9" i="41"/>
  <c r="D16" i="41"/>
  <c r="AR10" i="41" l="1"/>
  <c r="AS10" i="41"/>
  <c r="AQ11" i="41" a="1"/>
  <c r="AQ11" i="41" s="1"/>
  <c r="D17" i="41"/>
  <c r="AT11" i="41" l="1"/>
  <c r="AQ12" i="41" a="1"/>
  <c r="AQ12" i="41" s="1"/>
  <c r="AS11" i="41"/>
  <c r="AR11" i="41"/>
  <c r="D18" i="41"/>
  <c r="AR12" i="41" l="1"/>
  <c r="AQ13" i="41" a="1"/>
  <c r="AQ13" i="41" s="1"/>
  <c r="AS12" i="41"/>
  <c r="D19" i="41"/>
  <c r="AQ14" i="41" l="1" a="1"/>
  <c r="AQ14" i="41" s="1"/>
  <c r="AR13" i="41"/>
  <c r="AT13" i="41"/>
  <c r="AS13" i="41"/>
  <c r="D20" i="41"/>
  <c r="AR14" i="41" l="1"/>
  <c r="AS14" i="41"/>
  <c r="AQ15" i="41" a="1"/>
  <c r="AQ15" i="41" s="1"/>
  <c r="D21" i="41"/>
  <c r="AR15" i="41" l="1"/>
  <c r="AS15" i="41"/>
  <c r="AQ16" i="41" a="1"/>
  <c r="AQ16" i="41" s="1"/>
  <c r="D22" i="41"/>
  <c r="AR16" i="41" l="1"/>
  <c r="AQ17" i="41" a="1"/>
  <c r="AQ17" i="41" s="1"/>
  <c r="AS16" i="41"/>
  <c r="AT16" i="41"/>
  <c r="D23" i="41"/>
  <c r="AQ18" i="41" l="1" a="1"/>
  <c r="AQ18" i="41" s="1"/>
  <c r="AR17" i="41"/>
  <c r="AS17" i="41"/>
  <c r="D24" i="41"/>
  <c r="AQ19" i="41" l="1" a="1"/>
  <c r="AQ19" i="41" s="1"/>
  <c r="AR18" i="41"/>
  <c r="AS18" i="41"/>
  <c r="D25" i="41"/>
  <c r="AQ20" i="41" l="1" a="1"/>
  <c r="AQ20" i="41" s="1"/>
  <c r="AR19" i="41"/>
  <c r="AS19" i="41"/>
  <c r="D26" i="41"/>
  <c r="AR20" i="41" l="1"/>
  <c r="AS20" i="41"/>
  <c r="AQ21" i="41" a="1"/>
  <c r="AQ21" i="41" s="1"/>
  <c r="D27" i="41"/>
  <c r="AR21" i="41" l="1"/>
  <c r="AQ22" i="41" a="1"/>
  <c r="AQ22" i="41" s="1"/>
  <c r="D28" i="41"/>
  <c r="AR22" i="41" l="1"/>
  <c r="AS22" i="41"/>
  <c r="AQ23" i="41" a="1"/>
  <c r="AQ23" i="41" s="1"/>
  <c r="D29" i="41"/>
  <c r="AQ24" i="41" l="1" a="1"/>
  <c r="AQ24" i="41" s="1"/>
  <c r="AR23" i="41"/>
  <c r="AS23" i="41"/>
  <c r="AT23" i="41"/>
  <c r="D30" i="41"/>
  <c r="AS24" i="41" l="1"/>
  <c r="AR24" i="41"/>
  <c r="AQ25" i="41" a="1"/>
  <c r="AQ25" i="41" s="1"/>
  <c r="D31" i="41"/>
  <c r="AT25" i="41" l="1"/>
  <c r="AR25" i="41"/>
  <c r="AQ26" i="41" a="1"/>
  <c r="AQ26" i="41" s="1"/>
  <c r="AS25" i="41"/>
  <c r="D32" i="41"/>
  <c r="AR26" i="41" l="1"/>
  <c r="AS26" i="41"/>
  <c r="AQ27" i="41" a="1"/>
  <c r="AQ27" i="41" s="1"/>
  <c r="Q5" i="41"/>
  <c r="U5" i="41"/>
  <c r="W6" i="41"/>
  <c r="O5" i="41"/>
  <c r="W5" i="41"/>
  <c r="U6" i="41"/>
  <c r="S5" i="41"/>
  <c r="AR27" i="41" l="1"/>
  <c r="AS27" i="41"/>
  <c r="AQ28" i="41" a="1"/>
  <c r="AQ28" i="41" s="1"/>
  <c r="AT27" i="41"/>
  <c r="S6" i="41"/>
  <c r="AR28" i="41" l="1"/>
  <c r="AS28" i="41"/>
  <c r="AQ29" i="41" a="1"/>
  <c r="AQ29" i="41" s="1"/>
  <c r="I5" i="41"/>
  <c r="G5" i="41"/>
  <c r="E4" i="41"/>
  <c r="M5" i="41"/>
  <c r="K5" i="41"/>
  <c r="I4" i="41"/>
  <c r="K4" i="41"/>
  <c r="E5" i="41"/>
  <c r="G4" i="41"/>
  <c r="AQ30" i="41" l="1" a="1"/>
  <c r="AQ30" i="41" s="1"/>
  <c r="AR29" i="41"/>
  <c r="AS29" i="41"/>
  <c r="Q6" i="41"/>
  <c r="AR30" i="41" l="1"/>
  <c r="AQ31" i="41" a="1"/>
  <c r="AQ31" i="41" s="1"/>
  <c r="O6" i="41"/>
  <c r="AR31" i="41" l="1"/>
  <c r="AS31" i="41"/>
  <c r="M6" i="41" s="1"/>
  <c r="AT31" i="41"/>
  <c r="AQ32" i="41" a="1"/>
  <c r="AQ32" i="41" s="1"/>
  <c r="AR32" i="41" l="1"/>
  <c r="AS32" i="41"/>
  <c r="AQ33" i="41" a="1"/>
  <c r="AQ33" i="41" s="1"/>
  <c r="AT32" i="41"/>
  <c r="M4" i="41"/>
  <c r="AR33" i="41" l="1"/>
  <c r="AQ34" i="41" a="1"/>
  <c r="AQ34" i="41" s="1"/>
  <c r="AQ35" i="41" l="1" a="1"/>
  <c r="AQ35" i="41" s="1"/>
  <c r="AR34" i="41"/>
  <c r="AT34" i="41"/>
  <c r="AS34" i="41"/>
  <c r="K6" i="41" l="1"/>
  <c r="AT35" i="41"/>
  <c r="AQ36" i="41" a="1"/>
  <c r="AQ36" i="41" s="1"/>
  <c r="AR35" i="41"/>
  <c r="AS35" i="41"/>
  <c r="AR36" i="41" l="1"/>
  <c r="AQ37" i="41" a="1"/>
  <c r="AQ37" i="41" s="1"/>
  <c r="AS36" i="41"/>
  <c r="I6" i="41" s="1"/>
  <c r="AQ38" i="41" l="1" a="1"/>
  <c r="AQ38" i="41" s="1"/>
  <c r="AT37" i="41"/>
  <c r="AS37" i="41"/>
  <c r="AR37" i="41"/>
  <c r="AS38" i="41" l="1"/>
  <c r="G6" i="41" s="1"/>
  <c r="AR38" i="41"/>
  <c r="AQ39" i="41" a="1"/>
  <c r="AQ39" i="41" s="1"/>
  <c r="AT39" i="41" l="1"/>
  <c r="AQ40" i="41" a="1"/>
  <c r="AQ40" i="41" s="1"/>
  <c r="AS39" i="41"/>
  <c r="AR39" i="41"/>
  <c r="AR40" i="41" l="1"/>
  <c r="AQ41" i="41" a="1"/>
  <c r="AQ41" i="41" s="1"/>
  <c r="AR41" i="41" l="1"/>
  <c r="AQ42" i="41" a="1"/>
  <c r="AQ42" i="41" s="1"/>
  <c r="AT41" i="41"/>
  <c r="AT42" i="41" l="1"/>
  <c r="AR42" i="41"/>
  <c r="AQ43" i="41" a="1"/>
  <c r="AQ43" i="41" s="1"/>
  <c r="AR43" i="41" l="1"/>
  <c r="AQ44" i="41" a="1"/>
  <c r="AQ44" i="41" s="1"/>
  <c r="AS43" i="41"/>
  <c r="E6" i="41" l="1"/>
  <c r="AQ45" i="41" a="1"/>
  <c r="AQ45" i="41" s="1"/>
  <c r="AR44" i="41"/>
  <c r="AS44" i="41"/>
  <c r="AT44" i="41"/>
  <c r="AR45" i="41" l="1"/>
  <c r="AQ46" i="41" a="1"/>
  <c r="AQ46" i="41" s="1"/>
  <c r="AS45" i="41"/>
  <c r="E7" i="41"/>
  <c r="AS46" i="41" l="1"/>
  <c r="AQ47" i="41" a="1"/>
  <c r="AQ47" i="41" s="1"/>
  <c r="AR46" i="41"/>
  <c r="I7" i="41"/>
  <c r="G7" i="41"/>
  <c r="AS47" i="41" l="1"/>
  <c r="K7" i="41" s="1"/>
  <c r="AR47" i="41"/>
  <c r="AQ48" i="41" a="1"/>
  <c r="AQ48" i="41" s="1"/>
  <c r="AR48" i="41" l="1"/>
  <c r="AT48" i="41"/>
  <c r="AS48" i="41"/>
  <c r="AQ49" i="41" a="1"/>
  <c r="AQ49" i="41" s="1"/>
  <c r="AR49" i="41" l="1"/>
  <c r="AQ50" i="41" a="1"/>
  <c r="AQ50" i="41" s="1"/>
  <c r="AS49" i="41"/>
  <c r="M7" i="41"/>
  <c r="AQ51" i="41" l="1" a="1"/>
  <c r="AQ51" i="41" s="1"/>
  <c r="AR50" i="41"/>
  <c r="AS50" i="41"/>
  <c r="O7" i="41" l="1"/>
  <c r="AT51" i="41"/>
  <c r="AQ52" i="41" a="1"/>
  <c r="AQ52" i="41" s="1"/>
  <c r="AR51" i="41"/>
  <c r="AS51" i="41"/>
  <c r="AR52" i="41" l="1"/>
  <c r="AS52" i="41"/>
  <c r="Q7" i="41" s="1"/>
  <c r="AQ53" i="41" a="1"/>
  <c r="AQ53" i="41" s="1"/>
  <c r="AR53" i="41" l="1"/>
  <c r="AT53" i="41"/>
  <c r="AQ54" i="41" a="1"/>
  <c r="AQ54" i="41" s="1"/>
  <c r="AS53" i="41"/>
  <c r="AS54" i="41" l="1"/>
  <c r="AQ55" i="41" a="1"/>
  <c r="AQ55" i="41" s="1"/>
  <c r="AR54" i="41"/>
  <c r="AR55" i="41" l="1"/>
  <c r="AT55" i="41"/>
  <c r="AQ56" i="41" a="1"/>
  <c r="AQ56" i="41" s="1"/>
  <c r="AS55" i="41"/>
  <c r="AS56" i="41" l="1"/>
  <c r="AR56" i="41"/>
  <c r="AQ57" i="41" a="1"/>
  <c r="AQ57" i="41" s="1"/>
  <c r="AS57" i="41" l="1"/>
  <c r="AQ58" i="41" a="1"/>
  <c r="AQ58" i="41" s="1"/>
  <c r="AR57" i="41"/>
  <c r="AT57" i="41"/>
  <c r="AR58" i="41" l="1"/>
  <c r="AQ59" i="41" a="1"/>
  <c r="AQ59" i="41" s="1"/>
  <c r="AS58" i="41"/>
  <c r="AQ60" i="41" l="1" a="1"/>
  <c r="AQ60" i="41" s="1"/>
  <c r="AR59" i="41"/>
  <c r="AS59" i="41"/>
  <c r="AQ61" i="41" l="1" a="1"/>
  <c r="AQ61" i="41" s="1"/>
  <c r="AR60" i="41"/>
  <c r="AS60" i="41"/>
  <c r="AQ62" i="41" l="1" a="1"/>
  <c r="AQ62" i="41" s="1"/>
  <c r="AR61" i="41"/>
  <c r="AS61" i="41"/>
  <c r="AQ63" i="41" l="1" a="1"/>
  <c r="AQ63" i="41" s="1"/>
  <c r="AR62" i="41"/>
  <c r="AS62" i="41"/>
  <c r="AS63" i="41" l="1"/>
  <c r="AR63" i="41"/>
  <c r="AT63" i="41"/>
  <c r="AQ64" i="41" a="1"/>
  <c r="AQ64" i="41" s="1"/>
  <c r="AR64" i="41" l="1"/>
  <c r="AQ65" i="41" a="1"/>
  <c r="AQ65" i="41" s="1"/>
  <c r="AS64" i="41"/>
  <c r="AT65" i="41" l="1"/>
  <c r="AQ66" i="41" a="1"/>
  <c r="AQ66" i="41" s="1"/>
  <c r="AS65" i="41"/>
  <c r="AR65" i="41"/>
  <c r="AR66" i="41" l="1"/>
  <c r="AQ67" i="41" a="1"/>
  <c r="AQ67" i="41" s="1"/>
  <c r="AT67" i="41" l="1"/>
  <c r="AR67" i="41"/>
  <c r="AQ68" i="41" a="1"/>
  <c r="AQ68" i="41" s="1"/>
  <c r="AR68" i="41" l="1"/>
  <c r="AQ69" i="41" a="1"/>
  <c r="AQ69" i="41" s="1"/>
  <c r="AR69" i="41" l="1"/>
  <c r="AT69" i="41"/>
  <c r="AQ70" i="41" a="1"/>
  <c r="AQ70" i="41" s="1"/>
  <c r="AU69" i="41"/>
  <c r="AS70" i="41" l="1"/>
  <c r="AR70" i="41"/>
  <c r="AQ71" i="41" a="1"/>
  <c r="AQ71" i="41" s="1"/>
  <c r="AQ72" i="41" l="1" a="1"/>
  <c r="AQ72" i="41" s="1"/>
  <c r="AS71" i="41"/>
  <c r="AT71" i="41"/>
  <c r="AR71" i="41"/>
  <c r="AQ73" i="41" l="1" a="1"/>
  <c r="AQ73" i="41" s="1"/>
  <c r="AS72" i="41"/>
  <c r="AR72" i="41"/>
  <c r="AT73" i="41" l="1"/>
  <c r="AQ74" i="41" a="1"/>
  <c r="AQ74" i="41" s="1"/>
  <c r="AS73" i="41"/>
  <c r="AR73" i="41"/>
  <c r="AR74" i="41" l="1"/>
  <c r="AS74" i="41"/>
  <c r="AQ75" i="41" a="1"/>
  <c r="AQ75" i="41" s="1"/>
  <c r="AQ76" i="41" l="1" a="1"/>
  <c r="AQ76" i="41" s="1"/>
  <c r="AR75" i="41"/>
  <c r="AS75" i="41"/>
  <c r="AR76" i="41" l="1"/>
  <c r="AQ77" i="41" a="1"/>
  <c r="AQ77" i="41" s="1"/>
  <c r="AR77" i="41" l="1"/>
  <c r="AQ78" i="41" a="1"/>
  <c r="AQ78" i="41" s="1"/>
  <c r="AS77" i="41"/>
  <c r="AT77" i="41"/>
  <c r="AQ79" i="41" l="1" a="1"/>
  <c r="AQ79" i="41" s="1"/>
  <c r="AS78" i="41"/>
  <c r="AR78" i="41"/>
  <c r="AR79" i="41" l="1"/>
  <c r="AQ80" i="41" a="1"/>
  <c r="AQ80" i="41" s="1"/>
  <c r="AS79" i="41"/>
  <c r="AR80" i="41" l="1"/>
  <c r="AQ81" i="41" a="1"/>
  <c r="AQ81" i="41" s="1"/>
  <c r="AS80" i="41"/>
  <c r="AT80" i="41"/>
  <c r="AS81" i="41" l="1"/>
  <c r="AQ82" i="41" a="1"/>
  <c r="AQ82" i="41" s="1"/>
  <c r="AR81" i="41"/>
  <c r="AR82" i="41" l="1"/>
  <c r="AQ83" i="41" a="1"/>
  <c r="AQ83" i="41" s="1"/>
  <c r="AS82" i="41"/>
  <c r="AT82" i="41"/>
  <c r="AQ84" i="41" l="1" a="1"/>
  <c r="AQ84" i="41" s="1"/>
  <c r="AR83" i="41"/>
  <c r="AS83" i="41"/>
  <c r="AT84" i="41" l="1"/>
  <c r="AR84" i="41"/>
  <c r="AS84" i="41"/>
  <c r="AQ85" i="41" a="1"/>
  <c r="AQ85" i="41" s="1"/>
  <c r="AS85" i="41" l="1"/>
  <c r="AQ86" i="41" a="1"/>
  <c r="AQ86" i="41" s="1"/>
  <c r="AR85" i="41"/>
  <c r="AS86" i="41" l="1"/>
  <c r="AR86" i="41"/>
  <c r="AT86" i="41"/>
  <c r="AQ87" i="41" a="1"/>
  <c r="AQ87" i="41" s="1"/>
  <c r="AQ88" i="41" l="1" a="1"/>
  <c r="AQ88" i="41" s="1"/>
  <c r="AS87" i="41"/>
  <c r="AR87" i="41"/>
  <c r="AR88" i="41" l="1"/>
  <c r="AQ89" i="41" a="1"/>
  <c r="AQ89" i="41" s="1"/>
  <c r="AS88" i="41"/>
  <c r="AQ90" i="41" l="1" a="1"/>
  <c r="AQ90" i="41" s="1"/>
  <c r="AR89" i="41"/>
  <c r="AS89" i="41"/>
  <c r="AS90" i="41" l="1"/>
  <c r="AR90" i="41"/>
  <c r="AQ91" i="41" a="1"/>
  <c r="AQ91" i="41" s="1"/>
  <c r="AT90" i="41"/>
  <c r="AQ92" i="41" l="1" a="1"/>
  <c r="AQ92" i="41" s="1"/>
  <c r="AR91" i="41"/>
  <c r="AT92" i="41" l="1"/>
  <c r="AR92" i="41"/>
  <c r="AS92" i="41"/>
  <c r="AQ93" i="41" a="1"/>
  <c r="AQ93" i="41" s="1"/>
  <c r="AR93" i="41" l="1"/>
  <c r="AS93" i="41"/>
  <c r="AQ94" i="41" a="1"/>
  <c r="AQ94" i="41" s="1"/>
  <c r="AT93" i="41"/>
  <c r="AR94" i="41" l="1"/>
  <c r="AQ95" i="41" a="1"/>
  <c r="AQ95" i="41" s="1"/>
  <c r="AQ96" i="41" l="1" a="1"/>
  <c r="AQ96" i="41" s="1"/>
  <c r="AS95" i="41"/>
  <c r="AR95" i="41"/>
  <c r="AS96" i="41" l="1"/>
  <c r="AR96" i="41"/>
  <c r="AT96" i="41"/>
  <c r="AQ97" i="41" a="1"/>
  <c r="AQ97" i="41" s="1"/>
  <c r="AQ98" i="41" l="1" a="1"/>
  <c r="AQ98" i="41" s="1"/>
  <c r="AS97" i="41"/>
  <c r="AR97" i="41"/>
  <c r="AQ99" i="41" l="1" a="1"/>
  <c r="AQ99" i="41" s="1"/>
  <c r="AR98" i="41"/>
  <c r="AS98" i="41"/>
  <c r="AQ100" i="41" l="1" a="1"/>
  <c r="AQ100" i="41" s="1"/>
  <c r="AR99" i="41"/>
  <c r="AS99" i="41"/>
  <c r="AQ101" i="41" l="1" a="1"/>
  <c r="AQ101" i="41" s="1"/>
  <c r="AS100" i="41"/>
  <c r="AR100" i="41"/>
  <c r="AQ102" i="41" l="1" a="1"/>
  <c r="AQ102" i="41" s="1"/>
  <c r="AS101" i="41"/>
  <c r="AR101" i="41"/>
  <c r="AS102" i="41" l="1"/>
  <c r="AR102" i="41"/>
  <c r="AQ103" i="41" a="1"/>
  <c r="AQ103" i="41" s="1"/>
  <c r="AT102" i="41"/>
  <c r="AQ104" i="41" l="1" a="1"/>
  <c r="AQ104" i="41" s="1"/>
  <c r="AR103" i="41"/>
  <c r="AS103" i="41"/>
  <c r="AQ105" i="41" l="1" a="1"/>
  <c r="AQ105" i="41" s="1"/>
  <c r="AR104" i="41"/>
  <c r="AS104" i="41"/>
  <c r="AQ106" i="41" l="1" a="1"/>
  <c r="AQ106" i="41" s="1"/>
  <c r="AS105" i="41"/>
  <c r="AR105" i="41"/>
  <c r="AT105" i="41"/>
  <c r="AQ107" i="41" l="1" a="1"/>
  <c r="AQ107" i="41" s="1"/>
  <c r="AS106" i="41"/>
  <c r="AR106" i="41"/>
  <c r="AQ108" i="41" l="1" a="1"/>
  <c r="AQ108" i="41" s="1"/>
  <c r="AR107" i="41"/>
  <c r="AT107" i="41"/>
  <c r="AS107" i="41"/>
  <c r="AQ109" i="41" l="1" a="1"/>
  <c r="AQ109" i="41" s="1"/>
  <c r="AR108" i="41"/>
  <c r="AQ110" i="41" l="1" a="1"/>
  <c r="AQ110" i="41" s="1"/>
  <c r="AR109" i="41"/>
  <c r="AT109" i="41"/>
  <c r="AQ111" i="41" l="1" a="1"/>
  <c r="AQ111" i="41" s="1"/>
  <c r="AR110" i="41"/>
  <c r="AS110" i="41"/>
  <c r="AQ112" i="41" l="1" a="1"/>
  <c r="AQ112" i="41" s="1"/>
  <c r="AS111" i="41"/>
  <c r="AR111" i="41"/>
  <c r="AT111" i="41"/>
  <c r="AR112" i="41" l="1"/>
  <c r="AQ113" i="41" a="1"/>
  <c r="AQ113" i="41" s="1"/>
  <c r="AS112" i="41"/>
  <c r="AR113" i="41" l="1"/>
  <c r="AQ114" i="41" a="1"/>
  <c r="AQ114" i="41" s="1"/>
  <c r="AS113" i="41"/>
  <c r="AR114" i="41" l="1"/>
  <c r="AQ115" i="41" a="1"/>
  <c r="AQ115" i="41" s="1"/>
  <c r="AS114" i="41"/>
  <c r="AQ116" i="41" l="1" a="1"/>
  <c r="AQ116" i="41" s="1"/>
  <c r="AS115" i="41"/>
  <c r="AR115" i="41"/>
  <c r="AR116" i="41" l="1"/>
  <c r="AQ117" i="41" a="1"/>
  <c r="AQ117" i="41" s="1"/>
  <c r="AS116" i="41"/>
  <c r="AR117" i="41" l="1"/>
  <c r="AT117" i="41"/>
  <c r="AQ118" i="41" a="1"/>
  <c r="AQ118" i="41" s="1"/>
  <c r="AS117" i="41"/>
  <c r="AR118" i="41" l="1"/>
  <c r="AQ119" i="41" a="1"/>
  <c r="AQ119" i="41" s="1"/>
  <c r="AS118" i="41"/>
  <c r="AR119" i="41" l="1"/>
  <c r="AS119" i="41"/>
  <c r="AQ120" i="41" a="1"/>
  <c r="AQ120" i="41" s="1"/>
  <c r="AT119" i="41"/>
  <c r="AQ121" i="41" l="1" a="1"/>
  <c r="AQ121" i="41" s="1"/>
  <c r="AR120" i="41"/>
  <c r="AS120" i="41"/>
  <c r="AQ122" i="41" l="1" a="1"/>
  <c r="AQ122" i="41" s="1"/>
  <c r="AS121" i="41"/>
  <c r="AR121" i="41"/>
  <c r="AQ123" i="41" l="1" a="1"/>
  <c r="AQ123" i="41" s="1"/>
  <c r="AS122" i="41"/>
  <c r="AR122" i="41"/>
  <c r="AR123" i="41" l="1"/>
  <c r="AQ124" i="41" a="1"/>
  <c r="AQ124" i="41" s="1"/>
  <c r="AS123" i="41"/>
  <c r="AR124" i="41" l="1"/>
  <c r="AQ125" i="41" a="1"/>
  <c r="AQ125" i="41" s="1"/>
  <c r="AS124" i="41"/>
  <c r="AQ126" i="41" l="1" a="1"/>
  <c r="AQ126" i="41" s="1"/>
  <c r="AR125" i="41"/>
  <c r="AT125" i="41"/>
  <c r="AS125" i="41"/>
  <c r="AR126" i="41" l="1"/>
  <c r="AQ127" i="41" a="1"/>
  <c r="AQ127" i="41" s="1"/>
  <c r="AS126" i="41"/>
  <c r="AR127" i="41" l="1"/>
  <c r="AT127" i="41"/>
  <c r="AQ128" i="41" a="1"/>
  <c r="AQ128" i="41" s="1"/>
  <c r="AS127" i="41"/>
  <c r="AR128" i="41" l="1"/>
  <c r="AS128" i="41"/>
  <c r="AQ129" i="41" a="1"/>
  <c r="AQ129" i="41" s="1"/>
  <c r="AQ130" i="41" l="1" a="1"/>
  <c r="AQ130" i="41" s="1"/>
  <c r="AS129" i="41"/>
  <c r="AT129" i="41"/>
  <c r="AR129" i="41"/>
  <c r="AQ131" i="41" l="1" a="1"/>
  <c r="AQ131" i="41" s="1"/>
  <c r="AS130" i="41"/>
  <c r="AR130" i="41"/>
  <c r="AQ132" i="41" l="1" a="1"/>
  <c r="AQ132" i="41" s="1"/>
  <c r="AS131" i="41"/>
  <c r="AR131" i="41"/>
  <c r="AT131" i="41"/>
  <c r="AR132" i="41" l="1"/>
  <c r="AQ133" i="41" a="1"/>
  <c r="AQ133" i="41" s="1"/>
  <c r="AT133" i="41" l="1"/>
  <c r="AR133" i="41"/>
  <c r="AQ134" i="41" a="1"/>
  <c r="AQ134" i="41" s="1"/>
  <c r="AQ135" i="41" l="1" a="1"/>
  <c r="AQ135" i="41" s="1"/>
  <c r="AR134" i="41"/>
  <c r="AT134" i="41"/>
  <c r="AQ136" i="41" l="1" a="1"/>
  <c r="AQ136" i="41" s="1"/>
  <c r="AR135" i="41"/>
  <c r="AR136" i="41" l="1"/>
  <c r="AT136" i="41"/>
  <c r="AU136" i="41"/>
  <c r="AQ137" i="41" a="1"/>
  <c r="AQ137" i="41" s="1"/>
  <c r="AR137" i="41" l="1"/>
  <c r="AS137" i="41"/>
  <c r="AQ138" i="41" a="1"/>
  <c r="AQ138" i="41" s="1"/>
  <c r="AT138" i="41" l="1"/>
  <c r="AS138" i="41"/>
  <c r="AQ139" i="41" a="1"/>
  <c r="AQ139" i="41" s="1"/>
  <c r="AR138" i="41"/>
  <c r="AS139" i="41" l="1"/>
  <c r="AR139" i="41"/>
  <c r="AQ140" i="41" a="1"/>
  <c r="AQ140" i="41" s="1"/>
  <c r="AS140" i="41" l="1"/>
  <c r="AR140" i="41"/>
  <c r="AQ141" i="41" a="1"/>
  <c r="AQ141" i="41" s="1"/>
  <c r="AS141" i="41" l="1"/>
  <c r="AQ142" i="41" a="1"/>
  <c r="AQ142" i="41" s="1"/>
  <c r="AR141" i="41"/>
  <c r="AR142" i="41" l="1"/>
  <c r="AQ143" i="41" a="1"/>
  <c r="AQ143" i="41" s="1"/>
  <c r="AS143" i="41" l="1"/>
  <c r="AR143" i="41"/>
  <c r="AT143" i="41"/>
  <c r="AQ144" i="41" a="1"/>
  <c r="AQ144" i="41" s="1"/>
  <c r="AR144" i="41" l="1"/>
  <c r="AS144" i="41"/>
  <c r="AQ145" i="41" a="1"/>
  <c r="AQ145" i="41" s="1"/>
  <c r="AQ146" i="41" l="1" a="1"/>
  <c r="AQ146" i="41" s="1"/>
  <c r="AS145" i="41"/>
  <c r="AR145" i="41"/>
  <c r="AR146" i="41" l="1"/>
  <c r="AS146" i="41"/>
  <c r="AQ147" i="41" a="1"/>
  <c r="AQ147" i="41" s="1"/>
  <c r="AT146" i="41"/>
  <c r="AQ148" i="41" l="1" a="1"/>
  <c r="AQ148" i="41" s="1"/>
  <c r="AR147" i="41"/>
  <c r="AS147" i="41"/>
  <c r="AQ149" i="41" l="1" a="1"/>
  <c r="AQ149" i="41" s="1"/>
  <c r="AR148" i="41"/>
  <c r="AT148" i="41"/>
  <c r="AS148" i="41"/>
  <c r="AR149" i="41" l="1"/>
  <c r="AQ150" i="41" a="1"/>
  <c r="AQ150" i="41" s="1"/>
  <c r="AS149" i="41"/>
  <c r="AR150" i="41" l="1"/>
  <c r="AS150" i="41"/>
  <c r="AQ151" i="41" a="1"/>
  <c r="AQ151" i="41" s="1"/>
  <c r="AQ152" i="41" l="1" a="1"/>
  <c r="AQ152" i="41" s="1"/>
  <c r="AT151" i="41"/>
  <c r="AR151" i="41"/>
  <c r="AS151" i="41"/>
  <c r="AR152" i="41" l="1"/>
  <c r="AS152" i="41"/>
  <c r="AQ153" i="41" a="1"/>
  <c r="AQ153" i="41" s="1"/>
  <c r="AQ154" i="41" l="1" a="1"/>
  <c r="AQ154" i="41" s="1"/>
  <c r="AS153" i="41"/>
  <c r="AR153" i="41"/>
  <c r="AR154" i="41" l="1"/>
  <c r="AQ155" i="41" a="1"/>
  <c r="AQ155" i="41" s="1"/>
  <c r="AS154" i="41"/>
  <c r="AQ156" i="41" l="1" a="1"/>
  <c r="AQ156" i="41" s="1"/>
  <c r="AR155" i="41"/>
  <c r="AS155" i="41"/>
  <c r="AT156" i="41" l="1"/>
  <c r="AR156" i="41"/>
  <c r="AQ157" i="41" a="1"/>
  <c r="AQ157" i="41" s="1"/>
  <c r="AS156" i="41"/>
  <c r="AS157" i="41" l="1"/>
  <c r="AQ158" i="41" a="1"/>
  <c r="AQ158" i="41" s="1"/>
  <c r="AR157" i="41"/>
  <c r="AQ159" i="41" l="1" a="1"/>
  <c r="AQ159" i="41" s="1"/>
  <c r="AR158" i="41"/>
  <c r="AS158" i="41"/>
  <c r="AR159" i="41" l="1"/>
  <c r="AQ160" i="41" a="1"/>
  <c r="AQ160" i="41" s="1"/>
  <c r="AQ161" i="41" l="1" a="1"/>
  <c r="AQ161" i="41" s="1"/>
  <c r="AT160" i="41"/>
  <c r="AR160" i="41"/>
  <c r="AS160" i="41"/>
  <c r="AT161" i="41" l="1"/>
  <c r="AR161" i="41"/>
  <c r="AQ162" i="41" a="1"/>
  <c r="AQ162" i="41" s="1"/>
  <c r="AS161" i="41"/>
  <c r="AQ163" i="41" l="1" a="1"/>
  <c r="AQ163" i="41" s="1"/>
  <c r="AS162" i="41"/>
  <c r="AR162" i="41"/>
  <c r="AR163" i="41" l="1"/>
  <c r="AT163" i="41"/>
  <c r="AS163" i="41"/>
  <c r="AQ164" i="41" a="1"/>
  <c r="AQ164" i="41" s="1"/>
  <c r="AS164" i="41" l="1"/>
  <c r="AR164" i="41"/>
  <c r="AQ165" i="41" a="1"/>
  <c r="AQ165" i="41" s="1"/>
  <c r="AR165" i="41" l="1"/>
  <c r="AQ166" i="41" a="1"/>
  <c r="AQ166" i="41" s="1"/>
  <c r="AS165" i="41"/>
  <c r="AS166" i="41" l="1"/>
  <c r="AQ167" i="41" a="1"/>
  <c r="AQ167" i="41" s="1"/>
  <c r="AR166" i="41"/>
  <c r="AR167" i="41" l="1"/>
  <c r="AQ168" i="41" a="1"/>
  <c r="AQ168" i="41" s="1"/>
  <c r="AS167" i="41"/>
  <c r="AT167" i="41"/>
  <c r="AR168" i="41" l="1"/>
  <c r="AQ169" i="41" a="1"/>
  <c r="AQ169" i="41" s="1"/>
  <c r="AS168" i="41"/>
  <c r="AS169" i="41" l="1"/>
  <c r="AQ170" i="41" a="1"/>
  <c r="AQ170" i="41" s="1"/>
  <c r="AT169" i="41"/>
  <c r="AR169" i="41"/>
  <c r="AR170" i="41" l="1"/>
  <c r="AS170" i="41"/>
  <c r="AQ171" i="41" a="1"/>
  <c r="AQ171" i="41" s="1"/>
  <c r="AQ172" i="41" l="1" a="1"/>
  <c r="AQ172" i="41" s="1"/>
  <c r="AT171" i="41"/>
  <c r="AR171" i="41"/>
  <c r="AS171" i="41"/>
  <c r="AQ173" i="41" l="1" a="1"/>
  <c r="AQ173" i="41" s="1"/>
  <c r="AS172" i="41"/>
  <c r="AR172" i="41"/>
  <c r="AT173" i="41" l="1"/>
  <c r="AR173" i="41"/>
  <c r="AQ174" i="41" a="1"/>
  <c r="AQ174" i="41" s="1"/>
  <c r="AS173" i="41"/>
  <c r="AQ175" i="41" l="1" a="1"/>
  <c r="AQ175" i="41" s="1"/>
  <c r="AR174" i="41"/>
  <c r="AR175" i="41" l="1"/>
  <c r="AT175" i="41"/>
  <c r="AQ176" i="41" a="1"/>
  <c r="AQ176" i="41" s="1"/>
  <c r="AQ177" i="41" l="1" a="1"/>
  <c r="AQ177" i="41" s="1"/>
  <c r="AR176" i="41"/>
  <c r="AT176" i="41"/>
  <c r="AS177" i="41" l="1"/>
  <c r="AR177" i="41"/>
  <c r="AQ178" i="41" a="1"/>
  <c r="AQ178" i="41" s="1"/>
  <c r="AQ179" i="41" l="1" a="1"/>
  <c r="AQ179" i="41" s="1"/>
  <c r="AT178" i="41"/>
  <c r="AS178" i="41"/>
  <c r="AR178" i="41"/>
  <c r="AR179" i="41" l="1"/>
  <c r="AQ180" i="41" a="1"/>
  <c r="AQ180" i="41" s="1"/>
  <c r="AS179" i="41"/>
  <c r="AS180" i="41" l="1"/>
  <c r="AQ181" i="41" a="1"/>
  <c r="AQ181" i="41" s="1"/>
  <c r="AR180" i="41"/>
  <c r="AQ182" i="41" l="1" a="1"/>
  <c r="AQ182" i="41" s="1"/>
  <c r="AS181" i="41"/>
  <c r="AR181" i="41"/>
  <c r="AT182" i="41" l="1"/>
  <c r="AQ183" i="41" a="1"/>
  <c r="AQ183" i="41" s="1"/>
  <c r="AR182" i="41"/>
  <c r="AS182" i="41"/>
  <c r="AS183" i="41" l="1"/>
  <c r="AR183" i="41"/>
  <c r="AQ184" i="41" a="1"/>
  <c r="AQ184" i="41" s="1"/>
  <c r="AR184" i="41" l="1"/>
  <c r="AQ185" i="41" a="1"/>
  <c r="AQ185" i="41" s="1"/>
  <c r="AS184" i="41"/>
  <c r="AR185" i="41" l="1"/>
  <c r="AQ186" i="41" a="1"/>
  <c r="AQ186" i="41" s="1"/>
  <c r="AS185" i="41"/>
  <c r="AT185" i="41"/>
  <c r="AQ187" i="41" l="1" a="1"/>
  <c r="AQ187" i="41" s="1"/>
  <c r="AS186" i="41"/>
  <c r="AR186" i="41"/>
  <c r="AQ188" i="41" l="1" a="1"/>
  <c r="AQ188" i="41" s="1"/>
  <c r="AR187" i="41"/>
  <c r="AS187" i="41"/>
  <c r="AT187" i="41"/>
  <c r="AS188" i="41" l="1"/>
  <c r="AR188" i="41"/>
  <c r="AQ189" i="41" a="1"/>
  <c r="AQ189" i="41" s="1"/>
  <c r="AR189" i="41" l="1"/>
  <c r="AS189" i="41"/>
  <c r="AQ190" i="41" a="1"/>
  <c r="AQ190" i="41" s="1"/>
  <c r="AT189" i="41"/>
  <c r="AS190" i="41" l="1"/>
  <c r="AR190" i="41"/>
  <c r="AQ191" i="41" a="1"/>
  <c r="AQ191" i="41" s="1"/>
  <c r="AQ192" i="41" l="1" a="1"/>
  <c r="AQ192" i="41" s="1"/>
  <c r="AR191" i="41"/>
  <c r="AR192" i="41" l="1"/>
  <c r="AS192" i="41"/>
  <c r="AQ193" i="41" a="1"/>
  <c r="AQ193" i="41" s="1"/>
  <c r="AR193" i="41" l="1"/>
  <c r="AT193" i="41"/>
  <c r="AQ194" i="41" a="1"/>
  <c r="AQ194" i="41" s="1"/>
  <c r="AS193" i="41"/>
  <c r="AR194" i="41" l="1"/>
  <c r="AQ195" i="41" a="1"/>
  <c r="AQ195" i="41" s="1"/>
  <c r="AS194" i="41"/>
  <c r="AR195" i="41" l="1"/>
  <c r="AQ196" i="41" a="1"/>
  <c r="AQ196" i="41" s="1"/>
  <c r="AS195" i="41"/>
  <c r="AR196" i="41" l="1"/>
  <c r="AS196" i="41"/>
  <c r="AQ197" i="41" a="1"/>
  <c r="AQ197" i="41" s="1"/>
  <c r="AR197" i="41" l="1"/>
  <c r="AQ198" i="41" a="1"/>
  <c r="AQ198" i="41" s="1"/>
  <c r="AS197" i="41"/>
  <c r="AT197" i="41"/>
  <c r="AQ199" i="41" l="1" a="1"/>
  <c r="AQ199" i="41" s="1"/>
  <c r="AR198" i="41"/>
  <c r="AS198" i="41"/>
  <c r="AR199" i="41" l="1"/>
  <c r="AT199" i="41"/>
  <c r="AQ200" i="41" a="1"/>
  <c r="AQ200" i="41" s="1"/>
  <c r="AS199" i="41"/>
  <c r="AQ201" i="41" l="1" a="1"/>
  <c r="AQ201" i="41" s="1"/>
  <c r="AR200" i="41"/>
  <c r="W9" i="41"/>
  <c r="S14" i="41"/>
  <c r="O13" i="41"/>
  <c r="U10" i="41"/>
  <c r="K15" i="41"/>
  <c r="S10" i="41"/>
  <c r="K10" i="41"/>
  <c r="W11" i="41"/>
  <c r="I8" i="41"/>
  <c r="O8" i="41"/>
  <c r="U13" i="41"/>
  <c r="S12" i="41"/>
  <c r="G12" i="41"/>
  <c r="U9" i="41"/>
  <c r="W8" i="41"/>
  <c r="M14" i="41"/>
  <c r="E15" i="41"/>
  <c r="Q9" i="41"/>
  <c r="E10" i="41"/>
  <c r="W10" i="41"/>
  <c r="G15" i="41"/>
  <c r="I15" i="41"/>
  <c r="O10" i="41"/>
  <c r="Q11" i="41"/>
  <c r="S15" i="41"/>
  <c r="S9" i="41"/>
  <c r="O15" i="41"/>
  <c r="G14" i="41"/>
  <c r="G9" i="41"/>
  <c r="U14" i="41"/>
  <c r="O11" i="41"/>
  <c r="S16" i="41"/>
  <c r="I13" i="41"/>
  <c r="M11" i="41"/>
  <c r="U11" i="41"/>
  <c r="G10" i="41"/>
  <c r="W12" i="41"/>
  <c r="U7" i="41"/>
  <c r="K9" i="41"/>
  <c r="U8" i="41"/>
  <c r="M13" i="41"/>
  <c r="Q14" i="41"/>
  <c r="M9" i="41"/>
  <c r="W16" i="41"/>
  <c r="S7" i="41"/>
  <c r="U15" i="41"/>
  <c r="M8" i="41"/>
  <c r="Q16" i="41"/>
  <c r="E11" i="41"/>
  <c r="E12" i="41"/>
  <c r="K11" i="41"/>
  <c r="S13" i="41"/>
  <c r="Q13" i="41"/>
  <c r="U12" i="41"/>
  <c r="E9" i="41"/>
  <c r="W14" i="41"/>
  <c r="O14" i="41"/>
  <c r="Q8" i="41"/>
  <c r="Q15" i="41"/>
  <c r="G11" i="41"/>
  <c r="M10" i="41"/>
  <c r="O9" i="41"/>
  <c r="S11" i="41"/>
  <c r="I12" i="41"/>
  <c r="Q10" i="41"/>
  <c r="G13" i="41"/>
  <c r="I14" i="41"/>
  <c r="I11" i="41"/>
  <c r="K13" i="41"/>
  <c r="O12" i="41"/>
  <c r="I10" i="41"/>
  <c r="K14" i="41"/>
  <c r="W15" i="41"/>
  <c r="S8" i="41"/>
  <c r="K8" i="41"/>
  <c r="K12" i="41"/>
  <c r="M15" i="41"/>
  <c r="W13" i="41"/>
  <c r="Q12" i="41"/>
  <c r="G8" i="41"/>
  <c r="O16" i="41"/>
  <c r="W7" i="41"/>
  <c r="E13" i="41"/>
  <c r="E8" i="41"/>
  <c r="M12" i="41"/>
  <c r="E14" i="41"/>
  <c r="U16" i="41"/>
  <c r="I9" i="41"/>
  <c r="AT201" i="41" l="1"/>
  <c r="AQ202" i="41" a="1"/>
  <c r="AQ202" i="41" s="1"/>
  <c r="AS201" i="41"/>
  <c r="AR201" i="41"/>
  <c r="P7" i="41" l="1"/>
  <c r="T4" i="41"/>
  <c r="V6" i="41"/>
  <c r="Y16" i="41"/>
  <c r="L17" i="41"/>
  <c r="Y19" i="41"/>
  <c r="M16" i="41"/>
  <c r="L10" i="41"/>
  <c r="E18" i="41"/>
  <c r="Y23" i="41"/>
  <c r="S20" i="41"/>
  <c r="V29" i="41"/>
  <c r="T8" i="41"/>
  <c r="F8" i="41"/>
  <c r="R30" i="41"/>
  <c r="AR202" i="41"/>
  <c r="AS202" i="41"/>
  <c r="N23" i="41" s="1"/>
  <c r="H30" i="41" l="1"/>
  <c r="Y32" i="41"/>
  <c r="G25" i="41"/>
  <c r="W26" i="41"/>
  <c r="L7" i="41"/>
  <c r="Q28" i="41"/>
  <c r="AA19" i="41"/>
  <c r="F5" i="41"/>
  <c r="P29" i="41"/>
  <c r="S27" i="41"/>
  <c r="H25" i="41"/>
  <c r="F22" i="41"/>
  <c r="Y17" i="41"/>
  <c r="I30" i="41"/>
  <c r="AA30" i="41"/>
  <c r="N20" i="41"/>
  <c r="H18" i="41"/>
  <c r="W30" i="41"/>
  <c r="Z19" i="41"/>
  <c r="K27" i="41"/>
  <c r="H4" i="41"/>
  <c r="R28" i="41"/>
  <c r="N27" i="41"/>
  <c r="V26" i="41"/>
  <c r="J6" i="41"/>
  <c r="O27" i="41"/>
  <c r="T10" i="41"/>
  <c r="K22" i="41"/>
  <c r="Q20" i="41"/>
  <c r="J16" i="41"/>
  <c r="I24" i="41"/>
  <c r="T18" i="41"/>
  <c r="P27" i="41"/>
  <c r="AA28" i="41"/>
  <c r="J26" i="41"/>
  <c r="J21" i="41"/>
  <c r="G23" i="41"/>
  <c r="F17" i="41"/>
  <c r="U4" i="41"/>
  <c r="E23" i="41"/>
  <c r="V18" i="41"/>
  <c r="M19" i="41"/>
  <c r="W31" i="41"/>
  <c r="F19" i="41"/>
  <c r="M25" i="41"/>
  <c r="T17" i="41"/>
  <c r="F29" i="41"/>
  <c r="H31" i="41"/>
  <c r="N30" i="41"/>
  <c r="O29" i="41"/>
  <c r="Y11" i="41"/>
  <c r="V22" i="41"/>
  <c r="Z29" i="41"/>
  <c r="T5" i="41"/>
  <c r="K30" i="41"/>
  <c r="J14" i="41"/>
  <c r="AA11" i="41"/>
  <c r="Q21" i="41"/>
  <c r="H11" i="41"/>
  <c r="Z32" i="41"/>
  <c r="F23" i="41"/>
  <c r="S30" i="41"/>
  <c r="V30" i="41"/>
  <c r="V27" i="41"/>
  <c r="F13" i="41"/>
  <c r="Y14" i="41"/>
  <c r="Z21" i="41"/>
  <c r="Q19" i="41"/>
  <c r="G32" i="41"/>
  <c r="G31" i="41"/>
  <c r="N19" i="41"/>
  <c r="V7" i="41"/>
  <c r="V14" i="41"/>
  <c r="J27" i="41"/>
  <c r="T13" i="41"/>
  <c r="O24" i="41"/>
  <c r="Q32" i="41"/>
  <c r="O28" i="41"/>
  <c r="H5" i="41"/>
  <c r="G16" i="41"/>
  <c r="F20" i="41"/>
  <c r="F14" i="41"/>
  <c r="F10" i="41"/>
  <c r="N16" i="41"/>
  <c r="Q30" i="41"/>
  <c r="P8" i="41"/>
  <c r="J28" i="41"/>
  <c r="Z25" i="41"/>
  <c r="L9" i="41"/>
  <c r="H29" i="41"/>
  <c r="Q4" i="41"/>
  <c r="U18" i="41"/>
  <c r="F16" i="41"/>
  <c r="U19" i="41"/>
  <c r="E30" i="41"/>
  <c r="Z14" i="41"/>
  <c r="F25" i="41"/>
  <c r="K21" i="41"/>
  <c r="S31" i="41"/>
  <c r="R21" i="41"/>
  <c r="X30" i="41"/>
  <c r="K32" i="41"/>
  <c r="R20" i="41"/>
  <c r="Z9" i="41"/>
  <c r="Y27" i="41"/>
  <c r="AA4" i="41"/>
  <c r="AA27" i="41"/>
  <c r="I23" i="41"/>
  <c r="K28" i="41"/>
  <c r="AA21" i="41"/>
  <c r="V31" i="41"/>
  <c r="Z20" i="41"/>
  <c r="R4" i="41"/>
  <c r="G22" i="41"/>
  <c r="E22" i="41"/>
  <c r="AA14" i="41"/>
  <c r="T29" i="41"/>
  <c r="Z27" i="41"/>
  <c r="M26" i="41"/>
  <c r="X9" i="41"/>
  <c r="O23" i="41"/>
  <c r="I18" i="41"/>
  <c r="G20" i="41"/>
  <c r="H13" i="41"/>
  <c r="K20" i="41"/>
  <c r="AA9" i="41"/>
  <c r="L14" i="41"/>
  <c r="V28" i="41"/>
  <c r="Y26" i="41"/>
  <c r="N7" i="41"/>
  <c r="P14" i="41"/>
  <c r="J9" i="41"/>
  <c r="P18" i="41"/>
  <c r="M20" i="41"/>
  <c r="V4" i="41"/>
  <c r="S4" i="41"/>
  <c r="H9" i="41"/>
  <c r="V32" i="41"/>
  <c r="S17" i="41"/>
  <c r="U24" i="41"/>
  <c r="O22" i="41"/>
  <c r="M22" i="41"/>
  <c r="U31" i="41"/>
  <c r="I29" i="41"/>
  <c r="S21" i="41"/>
  <c r="X28" i="41"/>
  <c r="K19" i="41"/>
  <c r="Z31" i="41"/>
  <c r="E31" i="41"/>
  <c r="P4" i="41"/>
  <c r="R10" i="41"/>
  <c r="U26" i="41"/>
  <c r="Q23" i="41"/>
  <c r="I21" i="41"/>
  <c r="AA12" i="41"/>
  <c r="Z15" i="41"/>
  <c r="AA23" i="41"/>
  <c r="P6" i="41"/>
  <c r="E29" i="41"/>
  <c r="R11" i="41"/>
  <c r="Y6" i="41"/>
  <c r="H26" i="41"/>
  <c r="X25" i="41"/>
  <c r="Y10" i="41"/>
  <c r="H12" i="41"/>
  <c r="O32" i="41"/>
  <c r="T6" i="41"/>
  <c r="N31" i="41"/>
  <c r="L26" i="41"/>
  <c r="V16" i="41"/>
  <c r="AA17" i="41"/>
  <c r="U23" i="41"/>
  <c r="X13" i="41"/>
  <c r="N24" i="41"/>
  <c r="W4" i="41"/>
  <c r="L22" i="41"/>
  <c r="Y22" i="41"/>
  <c r="F27" i="41"/>
  <c r="S18" i="41"/>
  <c r="P26" i="41"/>
  <c r="N11" i="41"/>
  <c r="Z24" i="41"/>
  <c r="T21" i="41"/>
  <c r="P30" i="41"/>
  <c r="N12" i="41"/>
  <c r="L8" i="41"/>
  <c r="U28" i="41"/>
  <c r="Y15" i="41"/>
  <c r="L27" i="41"/>
  <c r="U30" i="41"/>
  <c r="P25" i="41"/>
  <c r="I28" i="41"/>
  <c r="R31" i="41"/>
  <c r="J4" i="41"/>
  <c r="X24" i="41"/>
  <c r="M17" i="41"/>
  <c r="I27" i="41"/>
  <c r="E19" i="41"/>
  <c r="I22" i="41"/>
  <c r="W23" i="41"/>
  <c r="S32" i="41"/>
  <c r="Y9" i="41"/>
  <c r="K16" i="41"/>
  <c r="H17" i="41"/>
  <c r="O25" i="41"/>
  <c r="G28" i="41"/>
  <c r="N5" i="41"/>
  <c r="P17" i="41"/>
  <c r="Y29" i="41"/>
  <c r="N14" i="41"/>
  <c r="Z26" i="41"/>
  <c r="R6" i="41"/>
  <c r="Y21" i="41"/>
  <c r="U25" i="41"/>
  <c r="X31" i="41"/>
  <c r="L30" i="41"/>
  <c r="M29" i="41"/>
  <c r="F30" i="41"/>
  <c r="L11" i="41"/>
  <c r="X27" i="41"/>
  <c r="R9" i="41"/>
  <c r="R19" i="41"/>
  <c r="R18" i="41"/>
  <c r="L16" i="41"/>
  <c r="P31" i="41"/>
  <c r="F18" i="41"/>
  <c r="W22" i="41"/>
  <c r="M21" i="41"/>
  <c r="J11" i="41"/>
  <c r="G18" i="41"/>
  <c r="H19" i="41"/>
  <c r="P10" i="41"/>
  <c r="F4" i="41"/>
  <c r="L12" i="41"/>
  <c r="G19" i="41"/>
  <c r="J24" i="41"/>
  <c r="P5" i="41"/>
  <c r="J8" i="41"/>
  <c r="N17" i="41"/>
  <c r="T22" i="41"/>
  <c r="J20" i="41"/>
  <c r="T30" i="41"/>
  <c r="K26" i="41"/>
  <c r="W28" i="41"/>
  <c r="P11" i="41"/>
  <c r="W24" i="41"/>
  <c r="I32" i="41"/>
  <c r="V25" i="41"/>
  <c r="T28" i="41"/>
  <c r="N29" i="41"/>
  <c r="G27" i="41"/>
  <c r="Z18" i="41"/>
  <c r="P32" i="41"/>
  <c r="K31" i="41"/>
  <c r="Q31" i="41"/>
  <c r="H14" i="41"/>
  <c r="F28" i="41"/>
  <c r="Y24" i="41"/>
  <c r="V11" i="41"/>
  <c r="T26" i="41"/>
  <c r="J5" i="41"/>
  <c r="S24" i="41"/>
  <c r="I25" i="41"/>
  <c r="AA32" i="41"/>
  <c r="M30" i="41"/>
  <c r="Z23" i="41"/>
  <c r="H21" i="41"/>
  <c r="N22" i="41"/>
  <c r="H10" i="41"/>
  <c r="L15" i="41"/>
  <c r="M24" i="41"/>
  <c r="M28" i="41"/>
  <c r="N6" i="41"/>
  <c r="L25" i="41"/>
  <c r="N10" i="41"/>
  <c r="T16" i="41"/>
  <c r="N21" i="41"/>
  <c r="P19" i="41"/>
  <c r="Y25" i="41"/>
  <c r="X5" i="41"/>
  <c r="X21" i="41"/>
  <c r="L4" i="41"/>
  <c r="Y18" i="41"/>
  <c r="L31" i="41"/>
  <c r="U29" i="41"/>
  <c r="W19" i="41"/>
  <c r="S28" i="41"/>
  <c r="V17" i="41"/>
  <c r="R5" i="41"/>
  <c r="H7" i="41"/>
  <c r="O21" i="41"/>
  <c r="F21" i="41"/>
  <c r="T32" i="41"/>
  <c r="O4" i="41"/>
  <c r="U22" i="41"/>
  <c r="N28" i="41"/>
  <c r="M31" i="41"/>
  <c r="R26" i="41"/>
  <c r="L19" i="41"/>
  <c r="U20" i="41"/>
  <c r="Z4" i="41"/>
  <c r="V10" i="41"/>
  <c r="P22" i="41"/>
  <c r="P23" i="41"/>
  <c r="R12" i="41"/>
  <c r="L20" i="41"/>
  <c r="P28" i="41"/>
  <c r="W21" i="41"/>
  <c r="H6" i="41"/>
  <c r="W29" i="41"/>
  <c r="H24" i="41"/>
  <c r="T19" i="41"/>
  <c r="L18" i="41"/>
  <c r="K23" i="41"/>
  <c r="P15" i="41"/>
  <c r="F12" i="41"/>
  <c r="X26" i="41"/>
  <c r="E32" i="41"/>
  <c r="Q27" i="41"/>
  <c r="J22" i="41"/>
  <c r="Z17" i="41"/>
  <c r="P20" i="41"/>
  <c r="M18" i="41"/>
  <c r="U32" i="41"/>
  <c r="R27" i="41"/>
  <c r="R15" i="41"/>
  <c r="T24" i="41"/>
  <c r="T25" i="41"/>
  <c r="U17" i="41"/>
  <c r="F15" i="41"/>
  <c r="K18" i="41"/>
  <c r="E25" i="41"/>
  <c r="AA22" i="41"/>
  <c r="J13" i="41"/>
  <c r="N13" i="41"/>
  <c r="H27" i="41"/>
  <c r="N4" i="41"/>
  <c r="O18" i="41"/>
  <c r="P16" i="41"/>
  <c r="X15" i="41"/>
  <c r="J30" i="41"/>
  <c r="T14" i="41"/>
  <c r="O20" i="41"/>
  <c r="Z22" i="41"/>
  <c r="Y30" i="41"/>
  <c r="Q17" i="41"/>
  <c r="E26" i="41"/>
  <c r="X4" i="41"/>
  <c r="S25" i="41"/>
  <c r="I16" i="41"/>
  <c r="AA10" i="41"/>
  <c r="V5" i="41"/>
  <c r="I20" i="41"/>
  <c r="Y31" i="41"/>
  <c r="O30" i="41"/>
  <c r="Y28" i="41"/>
  <c r="F9" i="41"/>
  <c r="Q24" i="41"/>
  <c r="M32" i="41"/>
  <c r="P12" i="41"/>
  <c r="N25" i="41"/>
  <c r="K24" i="41"/>
  <c r="H8" i="41"/>
  <c r="R14" i="41"/>
  <c r="X32" i="41"/>
  <c r="K17" i="41"/>
  <c r="T27" i="41"/>
  <c r="Q25" i="41"/>
  <c r="H32" i="41"/>
  <c r="W18" i="41"/>
  <c r="X11" i="41"/>
  <c r="U21" i="41"/>
  <c r="R22" i="41"/>
  <c r="S23" i="41"/>
  <c r="V23" i="41"/>
  <c r="N15" i="41"/>
  <c r="T7" i="41"/>
  <c r="AA26" i="41"/>
  <c r="AA25" i="41"/>
  <c r="F32" i="41"/>
  <c r="S26" i="41"/>
  <c r="U27" i="41"/>
  <c r="P24" i="41"/>
  <c r="X16" i="41"/>
  <c r="W20" i="41"/>
  <c r="I26" i="41"/>
  <c r="J15" i="41"/>
  <c r="Q18" i="41"/>
  <c r="O19" i="41"/>
  <c r="X17" i="41"/>
  <c r="L24" i="41"/>
  <c r="T11" i="41"/>
  <c r="R25" i="41"/>
  <c r="Q29" i="41"/>
  <c r="R8" i="41"/>
  <c r="Y8" i="41"/>
  <c r="Q22" i="41"/>
  <c r="R23" i="41"/>
  <c r="N8" i="41"/>
  <c r="N18" i="41"/>
  <c r="I19" i="41"/>
  <c r="X6" i="41"/>
  <c r="H20" i="41"/>
  <c r="X7" i="41"/>
  <c r="G24" i="41"/>
  <c r="V12" i="41"/>
  <c r="Y20" i="41"/>
  <c r="J31" i="41"/>
  <c r="Z11" i="41"/>
  <c r="V24" i="41"/>
  <c r="Z13" i="41"/>
  <c r="AA8" i="41"/>
  <c r="G26" i="41"/>
  <c r="P21" i="41"/>
  <c r="V13" i="41"/>
  <c r="V8" i="41"/>
  <c r="J17" i="41"/>
  <c r="V21" i="41"/>
  <c r="J25" i="41"/>
  <c r="R16" i="41"/>
  <c r="P13" i="41"/>
  <c r="J29" i="41"/>
  <c r="E27" i="41"/>
  <c r="V20" i="41"/>
  <c r="O17" i="41"/>
  <c r="AA20" i="41"/>
  <c r="AA15" i="41"/>
  <c r="Y5" i="41"/>
  <c r="AA5" i="41"/>
  <c r="H28" i="41"/>
  <c r="X8" i="41"/>
  <c r="X20" i="41"/>
  <c r="G17" i="41"/>
  <c r="AA18" i="41"/>
  <c r="R17" i="41"/>
  <c r="S19" i="41"/>
  <c r="X12" i="41"/>
  <c r="E17" i="41"/>
  <c r="Y7" i="41"/>
  <c r="E24" i="41"/>
  <c r="O26" i="41"/>
  <c r="AA13" i="41"/>
  <c r="AA7" i="41"/>
  <c r="L13" i="41"/>
  <c r="R7" i="41"/>
  <c r="Y13" i="41"/>
  <c r="L5" i="41"/>
  <c r="X10" i="41"/>
  <c r="W27" i="41"/>
  <c r="I31" i="41"/>
  <c r="R29" i="41"/>
  <c r="N9" i="41"/>
  <c r="F31" i="41"/>
  <c r="T12" i="41"/>
  <c r="F11" i="41"/>
  <c r="T23" i="41"/>
  <c r="H15" i="41"/>
  <c r="Q26" i="41"/>
  <c r="L28" i="41"/>
  <c r="Z5" i="41"/>
  <c r="J18" i="41"/>
  <c r="J10" i="41"/>
  <c r="S22" i="41"/>
  <c r="N26" i="41"/>
  <c r="L29" i="41"/>
  <c r="G21" i="41"/>
  <c r="AA29" i="41"/>
  <c r="W25" i="41"/>
  <c r="J23" i="41"/>
  <c r="E28" i="41"/>
  <c r="J12" i="41"/>
  <c r="J7" i="41"/>
  <c r="Y12" i="41"/>
  <c r="O31" i="41"/>
  <c r="W17" i="41"/>
  <c r="R24" i="41"/>
  <c r="T9" i="41"/>
  <c r="G30" i="41"/>
  <c r="L32" i="41"/>
  <c r="Z30" i="41"/>
  <c r="V19" i="41"/>
  <c r="R32" i="41"/>
  <c r="R13" i="41"/>
  <c r="F6" i="41"/>
  <c r="V15" i="41"/>
  <c r="S29" i="41"/>
  <c r="H16" i="41"/>
  <c r="Z8" i="41"/>
  <c r="E16" i="41"/>
  <c r="T20" i="41"/>
  <c r="W32" i="41"/>
  <c r="K29" i="41"/>
  <c r="T31" i="41"/>
  <c r="H22" i="41"/>
  <c r="L6" i="41"/>
  <c r="J32" i="41"/>
  <c r="F7" i="41"/>
  <c r="J19" i="41"/>
  <c r="X14" i="41"/>
  <c r="M27" i="41"/>
  <c r="L23" i="41"/>
  <c r="E21" i="41"/>
  <c r="Z10" i="41"/>
  <c r="AA16" i="41"/>
  <c r="V9" i="41"/>
  <c r="X22" i="41"/>
  <c r="M23" i="41"/>
  <c r="Z12" i="41"/>
  <c r="AA24" i="41"/>
  <c r="X29" i="41"/>
  <c r="AA6" i="41"/>
  <c r="Y4" i="41"/>
  <c r="K25" i="41"/>
  <c r="T15" i="41"/>
  <c r="G29" i="41"/>
  <c r="Z28" i="41"/>
  <c r="Z6" i="41"/>
  <c r="E20" i="41"/>
  <c r="P9" i="41"/>
  <c r="AA31" i="41"/>
  <c r="F26" i="41"/>
  <c r="X18" i="41"/>
  <c r="N32" i="41"/>
  <c r="L21" i="41"/>
  <c r="X19" i="41"/>
  <c r="Z7" i="41"/>
  <c r="H23" i="41"/>
  <c r="X23" i="41"/>
  <c r="Z16" i="41"/>
  <c r="I17" i="41"/>
  <c r="F24"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<sst xmlns="http://schemas.openxmlformats.org/spreadsheetml/2006/main" count="18192" uniqueCount="395">
  <si>
    <t>Carregado</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</si>
  <si>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</si>
  <si>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</si>
  <si>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</si>
  <si>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</si>
  <si>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</si>
  <si>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</si>
  <si>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</si>
  <si>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</si>
  <si>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</si>
  <si>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</si>
  <si>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</si>
  <si>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</si>
  <si>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</si>
  <si>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</si>
  <si>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</si>
  <si>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</si>
  <si>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</si>
  <si>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</si>
  <si>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</si>
  <si>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</si>
  <si>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</si>
  <si>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</si>
  <si>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</si>
  <si>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Nó Estádio Nacional</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</si>
  <si>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</si>
  <si>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</si>
  <si>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</si>
  <si>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</si>
  <si>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</si>
  <si>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</si>
  <si>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</si>
  <si>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</si>
  <si>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</si>
  <si>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</si>
  <si>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</si>
  <si>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</si>
  <si>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</si>
  <si>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</si>
  <si>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</si>
  <si>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</si>
  <si>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</si>
  <si>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</si>
  <si>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</si>
  <si>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</si>
  <si>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</si>
  <si>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</si>
  <si>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</si>
  <si>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</si>
  <si>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</si>
  <si>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</si>
  <si>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</si>
  <si>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</si>
  <si>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</si>
  <si>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</si>
  <si>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</si>
  <si>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Carregado - Aveiras de Cima</t>
  </si>
  <si>
    <t>Feira</t>
  </si>
  <si>
    <t>Estarreja - Feira</t>
  </si>
  <si>
    <t>Mealhada</t>
  </si>
  <si>
    <t>Mealhada - Aveiro Sul</t>
  </si>
  <si>
    <t>Alverca (A1/A9) - Vila Franca de Xira II</t>
  </si>
  <si>
    <t>Sta Iria da Azóia - Alverca (A1/A9)</t>
  </si>
  <si>
    <t>Aveiro Sul - Albergaria (A1/IP5)</t>
  </si>
  <si>
    <t>Aveiras de Cima - Cartaxo</t>
  </si>
  <si>
    <t>Sacavém - São João da Talha</t>
  </si>
  <si>
    <t>Albergaria (A1/IP5) - Estarreja</t>
  </si>
  <si>
    <t>Feira - Espinho (IC24)</t>
  </si>
  <si>
    <t>Coimbra Norte (A1/A14) - Mealhada</t>
  </si>
  <si>
    <t>Feiteira - Carvalhos</t>
  </si>
  <si>
    <t>Cartaxo - Santarém</t>
  </si>
  <si>
    <t>Vila Franca de Xira I - PLLN</t>
  </si>
  <si>
    <t>São João da Talha - Sta Iria da Azóia</t>
  </si>
  <si>
    <t>Vila Franca de Xira II - Vila Franca de Xira I</t>
  </si>
  <si>
    <t>Espinho (IC24) - Feiteira</t>
  </si>
  <si>
    <t>Carvalhos - Jaca</t>
  </si>
  <si>
    <t>Coimbra Sul - Coimbra Norte (A1/A14)</t>
  </si>
  <si>
    <t>Jaca - Santo Ovídio</t>
  </si>
  <si>
    <t>PLLN - A1/A10</t>
  </si>
  <si>
    <t>A1/A10 - Carregado</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</si>
  <si>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</si>
  <si>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</si>
  <si>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</si>
  <si>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</si>
  <si>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</si>
  <si>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</si>
  <si>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</si>
  <si>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</si>
  <si>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</si>
  <si>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</si>
  <si>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</si>
  <si>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</si>
  <si>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</si>
  <si>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</si>
  <si>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</si>
  <si>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</si>
  <si>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</si>
  <si>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</si>
  <si>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</si>
  <si>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</si>
  <si>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</si>
  <si>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</si>
  <si>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</si>
  <si>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</si>
  <si>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</si>
  <si>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</si>
  <si>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</si>
  <si>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</si>
  <si>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</si>
  <si>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</si>
  <si>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</si>
  <si>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</si>
  <si>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</si>
  <si>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</si>
  <si>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</si>
  <si>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</si>
  <si>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</si>
  <si>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</si>
  <si>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</si>
  <si>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</si>
  <si>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</si>
  <si>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</si>
  <si>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</si>
  <si>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</si>
  <si>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</si>
  <si>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</si>
  <si>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</si>
  <si>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</si>
  <si>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</si>
  <si>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</si>
  <si>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</si>
  <si>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</si>
  <si>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</si>
  <si>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</si>
  <si>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</si>
  <si>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</si>
  <si>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</si>
  <si>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</si>
  <si>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</si>
  <si>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</si>
  <si>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</si>
  <si>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</si>
  <si>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</si>
  <si>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</si>
  <si>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</si>
  <si>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</si>
  <si>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</si>
  <si>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</si>
  <si>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</si>
  <si>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</si>
  <si>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</si>
  <si>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</si>
  <si>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</si>
  <si>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</si>
  <si>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</si>
  <si>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</si>
  <si>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</si>
  <si>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</si>
  <si>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</si>
  <si>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</si>
  <si>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</si>
  <si>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</si>
  <si>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</si>
  <si>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</si>
  <si>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</si>
  <si>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</si>
  <si>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</si>
  <si>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</si>
  <si>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</si>
  <si>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</si>
  <si>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</si>
  <si>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</si>
  <si>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</si>
  <si>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</si>
  <si>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</si>
  <si>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</si>
  <si>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</si>
  <si>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</si>
  <si>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</si>
  <si>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</si>
  <si>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</si>
  <si>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</si>
  <si>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</si>
  <si>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</si>
  <si>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</si>
  <si>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</si>
  <si>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</si>
  <si>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</si>
  <si>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</si>
  <si>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</si>
  <si>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</si>
  <si>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</si>
  <si>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</si>
  <si>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</si>
  <si>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</si>
  <si>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</si>
  <si>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</si>
  <si>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</si>
  <si>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</si>
  <si>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</si>
  <si>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</si>
  <si>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</si>
  <si>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</si>
  <si>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</si>
  <si>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</si>
  <si>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</si>
  <si>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</si>
  <si>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</si>
  <si>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</si>
  <si>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</si>
  <si>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</si>
  <si>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</si>
  <si>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</si>
  <si>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</si>
  <si>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</si>
  <si>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</si>
  <si>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</si>
  <si>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</si>
  <si>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</si>
  <si>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</si>
  <si>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</si>
  <si>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</si>
  <si>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</si>
  <si>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</si>
  <si>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</si>
  <si>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</si>
  <si>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</si>
  <si>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</si>
  <si>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</si>
  <si>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</si>
  <si>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</si>
  <si>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</si>
  <si>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</si>
  <si>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</si>
  <si>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</si>
  <si>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</si>
  <si>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</si>
  <si>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</si>
  <si>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</si>
  <si>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</si>
  <si>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</si>
  <si>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sol1</t>
  </si>
  <si>
    <t>sol2</t>
  </si>
  <si>
    <t>sol3</t>
  </si>
  <si>
    <t>Sol4</t>
  </si>
  <si>
    <t>Carro 1</t>
  </si>
  <si>
    <t>No_1</t>
  </si>
  <si>
    <t>No_2</t>
  </si>
  <si>
    <t>AS Aveiras</t>
  </si>
  <si>
    <t>AS Santarem</t>
  </si>
  <si>
    <t>AS Leiria</t>
  </si>
  <si>
    <t>AS Mealhada</t>
  </si>
  <si>
    <t>AS Pombal</t>
  </si>
  <si>
    <t>AS Antua</t>
  </si>
  <si>
    <t>AS Gaia</t>
  </si>
  <si>
    <t>Área Repouso Oia</t>
  </si>
  <si>
    <t>9</t>
  </si>
  <si>
    <t>10</t>
  </si>
  <si>
    <t>11</t>
  </si>
  <si>
    <t>12</t>
  </si>
  <si>
    <t>13</t>
  </si>
  <si>
    <t>14</t>
  </si>
  <si>
    <t>15</t>
  </si>
  <si>
    <t>16</t>
  </si>
  <si>
    <t>17</t>
  </si>
  <si>
    <t>18</t>
  </si>
  <si>
    <t>19</t>
  </si>
  <si>
    <t>20</t>
  </si>
  <si>
    <t>21</t>
  </si>
  <si>
    <t>22</t>
  </si>
  <si>
    <t>23</t>
  </si>
  <si>
    <t>24</t>
  </si>
  <si>
    <t>25</t>
  </si>
  <si>
    <t>26</t>
  </si>
  <si>
    <t>27</t>
  </si>
  <si>
    <t>28</t>
  </si>
  <si>
    <t>A14</t>
  </si>
  <si>
    <t>Figueira da Foz</t>
  </si>
  <si>
    <t>Vila Verde</t>
  </si>
  <si>
    <t>A14/A17</t>
  </si>
  <si>
    <t>Santa Eulália</t>
  </si>
  <si>
    <t>Montemor-o-Velho</t>
  </si>
  <si>
    <t>EN 335</t>
  </si>
  <si>
    <t>Ançã</t>
  </si>
  <si>
    <t>Coimbra Norte (A14/A1)</t>
  </si>
  <si>
    <t>Zombaria</t>
  </si>
  <si>
    <t>Figueira da Foz - Vila Verde</t>
  </si>
  <si>
    <t>Vila Verde - A14/A17</t>
  </si>
  <si>
    <t>A14/A17 - Santa Eulália</t>
  </si>
  <si>
    <t>Santa Eulália - Montemor-o-Velho</t>
  </si>
  <si>
    <t>Montemor-o-Velho - EN335</t>
  </si>
  <si>
    <t>EN335 - Ançã</t>
  </si>
  <si>
    <t>A10</t>
  </si>
  <si>
    <t>Arruda dos Vinhos</t>
  </si>
  <si>
    <t>Benavente</t>
  </si>
  <si>
    <t>A10/A13</t>
  </si>
  <si>
    <t>A9/A10 - Arruda dos Vinhos</t>
  </si>
  <si>
    <t>Benavente - A10/A13</t>
  </si>
  <si>
    <t>A9/A10</t>
  </si>
  <si>
    <t xml:space="preserve"> Carregado (A1/A10)</t>
  </si>
  <si>
    <t>Estádio Nacional (A5/A9)</t>
  </si>
  <si>
    <t>Queluz</t>
  </si>
  <si>
    <t>Radial da Pontinha</t>
  </si>
  <si>
    <t>Radial de Odivelas</t>
  </si>
  <si>
    <t>A8/A9</t>
  </si>
  <si>
    <t>Bucelas (Zambujal)</t>
  </si>
  <si>
    <t>Alverca</t>
  </si>
  <si>
    <t>A9</t>
  </si>
  <si>
    <t>Bucelas (Zambujal) - A9/A10</t>
  </si>
  <si>
    <t>A9/A10 - Alverca</t>
  </si>
  <si>
    <t>A8/A9 - Bucelas (Zambujal)</t>
  </si>
  <si>
    <t>Radial Pontinha - Radial Odivelas</t>
  </si>
  <si>
    <t>Queluz - Radial da Pontinha</t>
  </si>
  <si>
    <t>Estádio Nacional (A5/A9) - Queluz</t>
  </si>
  <si>
    <t>Radial Odivelas - A8/A9</t>
  </si>
  <si>
    <t>Sequência AE</t>
  </si>
  <si>
    <t>Linda-a-Velha - Estádio Nacional (A5/A9)</t>
  </si>
  <si>
    <t>Estádio Nacional (A5/A9) - Oeiras</t>
  </si>
  <si>
    <t>Ançã - Coimbra Norte (A1/A14)</t>
  </si>
  <si>
    <t>Coimbra Norte (A1/A14) - Zombaria</t>
  </si>
  <si>
    <t>Arruda dos Vinhos - A1/A10</t>
  </si>
  <si>
    <t>A1/A10 - Benavente</t>
  </si>
  <si>
    <t>29</t>
  </si>
  <si>
    <t>30</t>
  </si>
  <si>
    <t>31</t>
  </si>
  <si>
    <t>32</t>
  </si>
  <si>
    <t>33</t>
  </si>
  <si>
    <t>34</t>
  </si>
  <si>
    <t>35</t>
  </si>
  <si>
    <t>36</t>
  </si>
  <si>
    <t>37</t>
  </si>
  <si>
    <t>38</t>
  </si>
  <si>
    <t>39</t>
  </si>
  <si>
    <t>40</t>
  </si>
  <si>
    <t>Kms</t>
  </si>
  <si>
    <t>0.0</t>
  </si>
  <si>
    <t>3.85</t>
  </si>
  <si>
    <t>2.95</t>
  </si>
  <si>
    <t>6.24</t>
  </si>
  <si>
    <t>7.46</t>
  </si>
  <si>
    <t>3.4</t>
  </si>
  <si>
    <t>3.975</t>
  </si>
  <si>
    <t>1.225</t>
  </si>
  <si>
    <t>11.0</t>
  </si>
  <si>
    <t>6.9</t>
  </si>
  <si>
    <t>32.4</t>
  </si>
  <si>
    <t>15.368</t>
  </si>
  <si>
    <t>15.516</t>
  </si>
  <si>
    <t>11.286</t>
  </si>
  <si>
    <t>8.08</t>
  </si>
  <si>
    <t>1.185</t>
  </si>
  <si>
    <t>27.015</t>
  </si>
  <si>
    <t>20.325</t>
  </si>
  <si>
    <t>15.235</t>
  </si>
  <si>
    <t>24.065</t>
  </si>
  <si>
    <t>14.736</t>
  </si>
  <si>
    <t>13.045</t>
  </si>
  <si>
    <t>7.681</t>
  </si>
  <si>
    <t>8.303</t>
  </si>
  <si>
    <t>1.1</t>
  </si>
  <si>
    <t>5.5</t>
  </si>
  <si>
    <t>9.6</t>
  </si>
  <si>
    <t>8.0</t>
  </si>
  <si>
    <t>4.8</t>
  </si>
  <si>
    <t>7.2</t>
  </si>
  <si>
    <t>1.6</t>
  </si>
  <si>
    <t>3.2</t>
  </si>
  <si>
    <t>50.507</t>
  </si>
  <si>
    <t>23.633</t>
  </si>
  <si>
    <t>14.78</t>
  </si>
  <si>
    <t>10.428</t>
  </si>
  <si>
    <t>16.832</t>
  </si>
  <si>
    <t>9.8</t>
  </si>
  <si>
    <t>3.92</t>
  </si>
  <si>
    <t>3.37</t>
  </si>
  <si>
    <t>2.745</t>
  </si>
  <si>
    <t>1.839</t>
  </si>
  <si>
    <t>A1/A10 - Arruda dos Vinhos</t>
  </si>
  <si>
    <t>Arruda dos Vinhos - A9/A10</t>
  </si>
  <si>
    <t>A9/A10 - Benavente</t>
  </si>
  <si>
    <t>Incidências (h)</t>
  </si>
  <si>
    <t>41</t>
  </si>
  <si>
    <t>42</t>
  </si>
  <si>
    <t>Benavente - Carregado</t>
  </si>
  <si>
    <t>Zombaria - Ançã</t>
  </si>
  <si>
    <t>Ançã - EN 335</t>
  </si>
  <si>
    <t>EN 335 - Montemor-o-Velho</t>
  </si>
  <si>
    <t>Montemor-o-Velho - Santa Eulália</t>
  </si>
  <si>
    <t>Santa Eulália - A14/A17</t>
  </si>
  <si>
    <t>A14/A17 - Vila Verde</t>
  </si>
  <si>
    <t>Vila Verde - Figueira da Foz</t>
  </si>
  <si>
    <t>Figueira da Foz - Mealhada</t>
  </si>
  <si>
    <t>C:\Users\Liliana Ramalho\PycharmProjects\Rotas Brisa\dados</t>
  </si>
  <si>
    <t>Radial da Pontinha - Radial de Odivelas</t>
  </si>
  <si>
    <t>Radial de Odivelas - A8/A9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</si>
</sst>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1">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9" fillId="0" borderId="0"/>
  </cellStyleXfs>
  <cellXfs count="89">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applyAlignment="1">
      <alignment horizontal="center"/>
    </xf>
    <xf numFmtId="0" fontId="0" fillId="20" borderId="0" xfId="0" applyNumberFormat="1" applyFill="1" applyAlignment="1">
      <alignment horizontal="center"/>
    </xf>
    <xf numFmtId="0" fontId="0" fillId="10" borderId="0" xfId="0" applyFill="1" applyAlignment="1">
      <alignment horizontal="center"/>
    </xf>
    <xf numFmtId="0" fontId="2" fillId="0" borderId="0" xfId="0" applyFont="1" applyAlignment="1">
      <alignment horizontal="center"/>
    </xf>
    <xf numFmtId="0" fontId="0" fillId="14" borderId="0" xfId="0" applyNumberFormat="1" applyFill="1" applyAlignment="1">
      <alignment horizontal="center"/>
    </xf>
    <xf numFmtId="2" fontId="0" fillId="14" borderId="0" xfId="0" applyNumberFormat="1" applyFill="1" applyAlignment="1">
      <alignment horizontal="center"/>
    </xf>
    <xf numFmtId="0" fontId="2" fillId="0" borderId="0" xfId="0" applyFont="1" applyAlignment="1"/>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54">
    <dxf>
      <numFmt numFmtId="0" formatCode="General"/>
    </dxf>
    <dxf>
      <numFmt numFmtId="164" formatCode="[$-F400]h:mm:ss\ AM/PM"/>
    </dxf>
    <dxf>
      <numFmt numFmtId="0" formatCode="General"/>
    </dxf>
    <dxf>
      <numFmt numFmtId="0" formatCode="General"/>
    </dxf>
    <dxf>
      <numFmt numFmtId="0" formatCode="General"/>
    </dxf>
    <dxf>
      <numFmt numFmtId="0" formatCode="General"/>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5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1.3888888888888889E-3</c:v>
                </c:pt>
                <c:pt idx="1">
                  <c:v>2.0833333333333333E-3</c:v>
                </c:pt>
                <c:pt idx="2">
                  <c:v>1.4583333333333332E-2</c:v>
                </c:pt>
                <c:pt idx="3">
                  <c:v>1.6666666666666666E-2</c:v>
                </c:pt>
                <c:pt idx="4">
                  <c:v>2.013888888888889E-2</c:v>
                </c:pt>
                <c:pt idx="5">
                  <c:v>2.9166666666666664E-2</c:v>
                </c:pt>
                <c:pt idx="6">
                  <c:v>3.125E-2</c:v>
                </c:pt>
                <c:pt idx="7">
                  <c:v>3.4027777777777775E-2</c:v>
                </c:pt>
                <c:pt idx="8">
                  <c:v>3.6111111111111115E-2</c:v>
                </c:pt>
                <c:pt idx="9">
                  <c:v>4.027777777777778E-2</c:v>
                </c:pt>
                <c:pt idx="10">
                  <c:v>4.7222222222222221E-2</c:v>
                </c:pt>
                <c:pt idx="11">
                  <c:v>5.1388888888888894E-2</c:v>
                </c:pt>
                <c:pt idx="12">
                  <c:v>5.5555555555555552E-2</c:v>
                </c:pt>
                <c:pt idx="13">
                  <c:v>9.7222222222222224E-2</c:v>
                </c:pt>
                <c:pt idx="14">
                  <c:v>0.10416666666666667</c:v>
                </c:pt>
                <c:pt idx="15">
                  <c:v>0.10833333333333334</c:v>
                </c:pt>
                <c:pt idx="16">
                  <c:v>0.11527777777777777</c:v>
                </c:pt>
                <c:pt idx="17">
                  <c:v>0.1173611111111111</c:v>
                </c:pt>
                <c:pt idx="18">
                  <c:v>0.12013888888888889</c:v>
                </c:pt>
                <c:pt idx="19">
                  <c:v>0.12222222222222223</c:v>
                </c:pt>
                <c:pt idx="20">
                  <c:v>0.13125000000000001</c:v>
                </c:pt>
                <c:pt idx="21">
                  <c:v>0.13472222222222222</c:v>
                </c:pt>
                <c:pt idx="22">
                  <c:v>0.14375000000000002</c:v>
                </c:pt>
                <c:pt idx="23">
                  <c:v>0.14583333333333334</c:v>
                </c:pt>
                <c:pt idx="24">
                  <c:v>0.15833333333333333</c:v>
                </c:pt>
                <c:pt idx="25">
                  <c:v>0.15902777777777777</c:v>
                </c:pt>
                <c:pt idx="26">
                  <c:v>0.16180555555555556</c:v>
                </c:pt>
                <c:pt idx="27">
                  <c:v>0.16319444444444445</c:v>
                </c:pt>
                <c:pt idx="28">
                  <c:v>0.18333333333333335</c:v>
                </c:pt>
                <c:pt idx="29">
                  <c:v>0.20416666666666669</c:v>
                </c:pt>
                <c:pt idx="30">
                  <c:v>0.20972222222222223</c:v>
                </c:pt>
                <c:pt idx="31">
                  <c:v>0.21111111111111111</c:v>
                </c:pt>
                <c:pt idx="32">
                  <c:v>0.21180555555555555</c:v>
                </c:pt>
                <c:pt idx="33">
                  <c:v>0.21388888888888891</c:v>
                </c:pt>
                <c:pt idx="34">
                  <c:v>0.22291666666666665</c:v>
                </c:pt>
                <c:pt idx="35">
                  <c:v>0.22638888888888889</c:v>
                </c:pt>
                <c:pt idx="36">
                  <c:v>0.22847222222222222</c:v>
                </c:pt>
                <c:pt idx="37">
                  <c:v>0.23124999999999998</c:v>
                </c:pt>
                <c:pt idx="38">
                  <c:v>0.23333333333333331</c:v>
                </c:pt>
                <c:pt idx="39">
                  <c:v>0.24027777777777778</c:v>
                </c:pt>
                <c:pt idx="40">
                  <c:v>0.24444444444444446</c:v>
                </c:pt>
                <c:pt idx="41">
                  <c:v>0.24861111111111112</c:v>
                </c:pt>
                <c:pt idx="42">
                  <c:v>0.25555555555555559</c:v>
                </c:pt>
                <c:pt idx="43">
                  <c:v>0.25972222222222224</c:v>
                </c:pt>
                <c:pt idx="44">
                  <c:v>0.2638888888888889</c:v>
                </c:pt>
                <c:pt idx="45">
                  <c:v>0.26597222222222222</c:v>
                </c:pt>
                <c:pt idx="46">
                  <c:v>0.26874999999999999</c:v>
                </c:pt>
                <c:pt idx="47">
                  <c:v>0.27083333333333331</c:v>
                </c:pt>
                <c:pt idx="48">
                  <c:v>0.29166666666666669</c:v>
                </c:pt>
                <c:pt idx="49">
                  <c:v>0.2951388888888889</c:v>
                </c:pt>
                <c:pt idx="50">
                  <c:v>0.29722222222222222</c:v>
                </c:pt>
                <c:pt idx="51">
                  <c:v>0.29791666666666666</c:v>
                </c:pt>
                <c:pt idx="52">
                  <c:v>0.29930555555555555</c:v>
                </c:pt>
                <c:pt idx="53">
                  <c:v>0.32013888888888892</c:v>
                </c:pt>
                <c:pt idx="54">
                  <c:v>0.3215277777777778</c:v>
                </c:pt>
                <c:pt idx="55">
                  <c:v>0.32430555555555557</c:v>
                </c:pt>
                <c:pt idx="56">
                  <c:v>0.32500000000000001</c:v>
                </c:pt>
                <c:pt idx="57">
                  <c:v>0.33749999999999997</c:v>
                </c:pt>
                <c:pt idx="58">
                  <c:v>0.33958333333333335</c:v>
                </c:pt>
                <c:pt idx="59">
                  <c:v>0.3430555555555555</c:v>
                </c:pt>
                <c:pt idx="60">
                  <c:v>0.3520833333333333</c:v>
                </c:pt>
                <c:pt idx="61">
                  <c:v>0.35416666666666669</c:v>
                </c:pt>
                <c:pt idx="62">
                  <c:v>0.35694444444444445</c:v>
                </c:pt>
                <c:pt idx="63">
                  <c:v>0.35902777777777778</c:v>
                </c:pt>
                <c:pt idx="64">
                  <c:v>0.36319444444444443</c:v>
                </c:pt>
                <c:pt idx="65">
                  <c:v>0.36736111111111108</c:v>
                </c:pt>
                <c:pt idx="66">
                  <c:v>0.3743055555555555</c:v>
                </c:pt>
                <c:pt idx="67">
                  <c:v>0.37847222222222227</c:v>
                </c:pt>
                <c:pt idx="68">
                  <c:v>0.38541666666666669</c:v>
                </c:pt>
                <c:pt idx="69">
                  <c:v>0.38958333333333334</c:v>
                </c:pt>
                <c:pt idx="70">
                  <c:v>0.39652777777777781</c:v>
                </c:pt>
                <c:pt idx="71">
                  <c:v>0.39861111111111108</c:v>
                </c:pt>
                <c:pt idx="72">
                  <c:v>0.40138888888888885</c:v>
                </c:pt>
                <c:pt idx="73">
                  <c:v>0.40347222222222223</c:v>
                </c:pt>
                <c:pt idx="74">
                  <c:v>0.41388888888888892</c:v>
                </c:pt>
                <c:pt idx="75">
                  <c:v>0.42291666666666666</c:v>
                </c:pt>
                <c:pt idx="76">
                  <c:v>0.42638888888888887</c:v>
                </c:pt>
                <c:pt idx="77">
                  <c:v>0.4680555555555555</c:v>
                </c:pt>
                <c:pt idx="78">
                  <c:v>0.4770833333333333</c:v>
                </c:pt>
                <c:pt idx="79">
                  <c:v>0.47916666666666669</c:v>
                </c:pt>
                <c:pt idx="80">
                  <c:v>0.4916666666666667</c:v>
                </c:pt>
                <c:pt idx="81">
                  <c:v>0.49236111111111108</c:v>
                </c:pt>
                <c:pt idx="82">
                  <c:v>0.49513888888888885</c:v>
                </c:pt>
                <c:pt idx="83">
                  <c:v>0.49652777777777773</c:v>
                </c:pt>
                <c:pt idx="84">
                  <c:v>0.51666666666666672</c:v>
                </c:pt>
                <c:pt idx="85">
                  <c:v>0.53749999999999998</c:v>
                </c:pt>
                <c:pt idx="86">
                  <c:v>0.54305555555555551</c:v>
                </c:pt>
                <c:pt idx="87">
                  <c:v>0.5444444444444444</c:v>
                </c:pt>
                <c:pt idx="88">
                  <c:v>0.54513888888888895</c:v>
                </c:pt>
                <c:pt idx="89">
                  <c:v>0.54722222222222217</c:v>
                </c:pt>
                <c:pt idx="90">
                  <c:v>0.55625000000000002</c:v>
                </c:pt>
                <c:pt idx="91">
                  <c:v>0.55972222222222223</c:v>
                </c:pt>
                <c:pt idx="92">
                  <c:v>0.56180555555555556</c:v>
                </c:pt>
                <c:pt idx="93">
                  <c:v>0.56458333333333333</c:v>
                </c:pt>
                <c:pt idx="94">
                  <c:v>0.56666666666666665</c:v>
                </c:pt>
                <c:pt idx="95">
                  <c:v>0.57361111111111118</c:v>
                </c:pt>
                <c:pt idx="96">
                  <c:v>0.57777777777777783</c:v>
                </c:pt>
                <c:pt idx="97">
                  <c:v>0.58472222222222225</c:v>
                </c:pt>
                <c:pt idx="98">
                  <c:v>0.58888888888888891</c:v>
                </c:pt>
                <c:pt idx="99">
                  <c:v>0.59305555555555556</c:v>
                </c:pt>
                <c:pt idx="100">
                  <c:v>0.59722222222222221</c:v>
                </c:pt>
                <c:pt idx="101">
                  <c:v>0.59930555555555554</c:v>
                </c:pt>
                <c:pt idx="102">
                  <c:v>0.6020833333333333</c:v>
                </c:pt>
                <c:pt idx="103">
                  <c:v>0.60416666666666663</c:v>
                </c:pt>
                <c:pt idx="104">
                  <c:v>0.625</c:v>
                </c:pt>
                <c:pt idx="105">
                  <c:v>0.63541666666666663</c:v>
                </c:pt>
                <c:pt idx="106">
                  <c:v>0.63888888888888895</c:v>
                </c:pt>
                <c:pt idx="107">
                  <c:v>0.6479166666666667</c:v>
                </c:pt>
                <c:pt idx="108">
                  <c:v>0.65</c:v>
                </c:pt>
                <c:pt idx="109">
                  <c:v>0.65069444444444446</c:v>
                </c:pt>
                <c:pt idx="110">
                  <c:v>0.65208333333333335</c:v>
                </c:pt>
                <c:pt idx="111">
                  <c:v>0.67291666666666661</c:v>
                </c:pt>
                <c:pt idx="112">
                  <c:v>0.6743055555555556</c:v>
                </c:pt>
                <c:pt idx="113">
                  <c:v>0.67708333333333337</c:v>
                </c:pt>
                <c:pt idx="114">
                  <c:v>0.6777777777777777</c:v>
                </c:pt>
                <c:pt idx="115">
                  <c:v>0.69027777777777777</c:v>
                </c:pt>
                <c:pt idx="116">
                  <c:v>0.69236111111111109</c:v>
                </c:pt>
                <c:pt idx="117">
                  <c:v>0.70138888888888884</c:v>
                </c:pt>
                <c:pt idx="118">
                  <c:v>0.70486111111111116</c:v>
                </c:pt>
                <c:pt idx="119">
                  <c:v>0.71388888888888891</c:v>
                </c:pt>
                <c:pt idx="120">
                  <c:v>0.71597222222222223</c:v>
                </c:pt>
                <c:pt idx="121">
                  <c:v>0.71875</c:v>
                </c:pt>
                <c:pt idx="122">
                  <c:v>0.72083333333333333</c:v>
                </c:pt>
                <c:pt idx="123">
                  <c:v>0.72777777777777775</c:v>
                </c:pt>
                <c:pt idx="124">
                  <c:v>0.7319444444444444</c:v>
                </c:pt>
                <c:pt idx="125">
                  <c:v>0.77361111111111114</c:v>
                </c:pt>
                <c:pt idx="126">
                  <c:v>0.78055555555555556</c:v>
                </c:pt>
                <c:pt idx="127">
                  <c:v>0.78472222222222221</c:v>
                </c:pt>
                <c:pt idx="128">
                  <c:v>0.79166666666666663</c:v>
                </c:pt>
                <c:pt idx="129">
                  <c:v>0.79583333333333339</c:v>
                </c:pt>
                <c:pt idx="130">
                  <c:v>0.79999999999999993</c:v>
                </c:pt>
                <c:pt idx="131">
                  <c:v>0.80208333333333337</c:v>
                </c:pt>
                <c:pt idx="132">
                  <c:v>0.80486111111111114</c:v>
                </c:pt>
                <c:pt idx="133">
                  <c:v>0.80694444444444446</c:v>
                </c:pt>
                <c:pt idx="134">
                  <c:v>0.81597222222222221</c:v>
                </c:pt>
                <c:pt idx="135">
                  <c:v>0.81944444444444453</c:v>
                </c:pt>
                <c:pt idx="136">
                  <c:v>0.82152777777777775</c:v>
                </c:pt>
                <c:pt idx="137">
                  <c:v>0.8340277777777777</c:v>
                </c:pt>
                <c:pt idx="138">
                  <c:v>0.83472222222222225</c:v>
                </c:pt>
                <c:pt idx="139">
                  <c:v>0.83750000000000002</c:v>
                </c:pt>
                <c:pt idx="140">
                  <c:v>0.83888888888888891</c:v>
                </c:pt>
                <c:pt idx="141">
                  <c:v>0.85972222222222217</c:v>
                </c:pt>
                <c:pt idx="142">
                  <c:v>0.8652777777777777</c:v>
                </c:pt>
                <c:pt idx="143">
                  <c:v>0.8666666666666667</c:v>
                </c:pt>
                <c:pt idx="144">
                  <c:v>0.8666666666666667</c:v>
                </c:pt>
                <c:pt idx="145">
                  <c:v>0.86944444444444446</c:v>
                </c:pt>
                <c:pt idx="146">
                  <c:v>0.87222222222222223</c:v>
                </c:pt>
                <c:pt idx="147">
                  <c:v>0.875</c:v>
                </c:pt>
                <c:pt idx="148">
                  <c:v>0.87777777777777777</c:v>
                </c:pt>
                <c:pt idx="149">
                  <c:v>0.87916666666666676</c:v>
                </c:pt>
                <c:pt idx="150">
                  <c:v>0.8833333333333333</c:v>
                </c:pt>
                <c:pt idx="151">
                  <c:v>0.88750000000000007</c:v>
                </c:pt>
                <c:pt idx="152">
                  <c:v>0.89166666666666661</c:v>
                </c:pt>
                <c:pt idx="153">
                  <c:v>0.89861111111111114</c:v>
                </c:pt>
                <c:pt idx="154">
                  <c:v>0.90277777777777779</c:v>
                </c:pt>
                <c:pt idx="155">
                  <c:v>0.90972222222222221</c:v>
                </c:pt>
                <c:pt idx="156">
                  <c:v>0.91249999999999998</c:v>
                </c:pt>
                <c:pt idx="157">
                  <c:v>0.91527777777777775</c:v>
                </c:pt>
                <c:pt idx="158">
                  <c:v>0.91666666666666663</c:v>
                </c:pt>
                <c:pt idx="159">
                  <c:v>0.9375</c:v>
                </c:pt>
                <c:pt idx="160">
                  <c:v>0.95833333333333337</c:v>
                </c:pt>
                <c:pt idx="161">
                  <c:v>0.96875</c:v>
                </c:pt>
                <c:pt idx="162">
                  <c:v>0.97222222222222221</c:v>
                </c:pt>
                <c:pt idx="163">
                  <c:v>0.97430555555555554</c:v>
                </c:pt>
                <c:pt idx="164">
                  <c:v>0.97499999999999998</c:v>
                </c:pt>
                <c:pt idx="165">
                  <c:v>0.97638888888888886</c:v>
                </c:pt>
                <c:pt idx="166">
                  <c:v>0.99722222222222223</c:v>
                </c:pt>
                <c:pt idx="167">
                  <c:v>0.99861111111111101</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1</c:v>
                </c:pt>
                <c:pt idx="1">
                  <c:v>2</c:v>
                </c:pt>
                <c:pt idx="2">
                  <c:v>2</c:v>
                </c:pt>
                <c:pt idx="3">
                  <c:v>3</c:v>
                </c:pt>
                <c:pt idx="4">
                  <c:v>4</c:v>
                </c:pt>
                <c:pt idx="5">
                  <c:v>4</c:v>
                </c:pt>
                <c:pt idx="6">
                  <c:v>5</c:v>
                </c:pt>
                <c:pt idx="7">
                  <c:v>6</c:v>
                </c:pt>
                <c:pt idx="8">
                  <c:v>7</c:v>
                </c:pt>
                <c:pt idx="9">
                  <c:v>8</c:v>
                </c:pt>
                <c:pt idx="10">
                  <c:v>8</c:v>
                </c:pt>
                <c:pt idx="11">
                  <c:v>9</c:v>
                </c:pt>
                <c:pt idx="12">
                  <c:v>8</c:v>
                </c:pt>
                <c:pt idx="13">
                  <c:v>8</c:v>
                </c:pt>
                <c:pt idx="14">
                  <c:v>8</c:v>
                </c:pt>
                <c:pt idx="15">
                  <c:v>7</c:v>
                </c:pt>
                <c:pt idx="16">
                  <c:v>7</c:v>
                </c:pt>
                <c:pt idx="17">
                  <c:v>6</c:v>
                </c:pt>
                <c:pt idx="18">
                  <c:v>5</c:v>
                </c:pt>
                <c:pt idx="19">
                  <c:v>4</c:v>
                </c:pt>
                <c:pt idx="20">
                  <c:v>4</c:v>
                </c:pt>
                <c:pt idx="21">
                  <c:v>3</c:v>
                </c:pt>
                <c:pt idx="22">
                  <c:v>3</c:v>
                </c:pt>
                <c:pt idx="23">
                  <c:v>2</c:v>
                </c:pt>
                <c:pt idx="24">
                  <c:v>2</c:v>
                </c:pt>
                <c:pt idx="25">
                  <c:v>1</c:v>
                </c:pt>
                <c:pt idx="26">
                  <c:v>1</c:v>
                </c:pt>
                <c:pt idx="27">
                  <c:v>0</c:v>
                </c:pt>
                <c:pt idx="28">
                  <c:v>0</c:v>
                </c:pt>
                <c:pt idx="29">
                  <c:v>0</c:v>
                </c:pt>
                <c:pt idx="30">
                  <c:v>0</c:v>
                </c:pt>
                <c:pt idx="31">
                  <c:v>1</c:v>
                </c:pt>
                <c:pt idx="32">
                  <c:v>2</c:v>
                </c:pt>
                <c:pt idx="33">
                  <c:v>3</c:v>
                </c:pt>
                <c:pt idx="34">
                  <c:v>3</c:v>
                </c:pt>
                <c:pt idx="35">
                  <c:v>4</c:v>
                </c:pt>
                <c:pt idx="36">
                  <c:v>5</c:v>
                </c:pt>
                <c:pt idx="37">
                  <c:v>6</c:v>
                </c:pt>
                <c:pt idx="38">
                  <c:v>7</c:v>
                </c:pt>
                <c:pt idx="39">
                  <c:v>7</c:v>
                </c:pt>
                <c:pt idx="40">
                  <c:v>8</c:v>
                </c:pt>
                <c:pt idx="41">
                  <c:v>9</c:v>
                </c:pt>
                <c:pt idx="42">
                  <c:v>9</c:v>
                </c:pt>
                <c:pt idx="43">
                  <c:v>8</c:v>
                </c:pt>
                <c:pt idx="44">
                  <c:v>7</c:v>
                </c:pt>
                <c:pt idx="45">
                  <c:v>6</c:v>
                </c:pt>
                <c:pt idx="46">
                  <c:v>5</c:v>
                </c:pt>
                <c:pt idx="47">
                  <c:v>4</c:v>
                </c:pt>
                <c:pt idx="48">
                  <c:v>4</c:v>
                </c:pt>
                <c:pt idx="49">
                  <c:v>3</c:v>
                </c:pt>
                <c:pt idx="50">
                  <c:v>2</c:v>
                </c:pt>
                <c:pt idx="51">
                  <c:v>1</c:v>
                </c:pt>
                <c:pt idx="52">
                  <c:v>0</c:v>
                </c:pt>
                <c:pt idx="53">
                  <c:v>0</c:v>
                </c:pt>
                <c:pt idx="54">
                  <c:v>1</c:v>
                </c:pt>
                <c:pt idx="55">
                  <c:v>1</c:v>
                </c:pt>
                <c:pt idx="56">
                  <c:v>2</c:v>
                </c:pt>
                <c:pt idx="57">
                  <c:v>2</c:v>
                </c:pt>
                <c:pt idx="58">
                  <c:v>3</c:v>
                </c:pt>
                <c:pt idx="59">
                  <c:v>4</c:v>
                </c:pt>
                <c:pt idx="60">
                  <c:v>4</c:v>
                </c:pt>
                <c:pt idx="61">
                  <c:v>5</c:v>
                </c:pt>
                <c:pt idx="62">
                  <c:v>6</c:v>
                </c:pt>
                <c:pt idx="63">
                  <c:v>7</c:v>
                </c:pt>
                <c:pt idx="64">
                  <c:v>8</c:v>
                </c:pt>
                <c:pt idx="65">
                  <c:v>9</c:v>
                </c:pt>
                <c:pt idx="66">
                  <c:v>9</c:v>
                </c:pt>
                <c:pt idx="67">
                  <c:v>8</c:v>
                </c:pt>
                <c:pt idx="68">
                  <c:v>8</c:v>
                </c:pt>
                <c:pt idx="69">
                  <c:v>7</c:v>
                </c:pt>
                <c:pt idx="70">
                  <c:v>7</c:v>
                </c:pt>
                <c:pt idx="71">
                  <c:v>6</c:v>
                </c:pt>
                <c:pt idx="72">
                  <c:v>5</c:v>
                </c:pt>
                <c:pt idx="73">
                  <c:v>4</c:v>
                </c:pt>
                <c:pt idx="74">
                  <c:v>4</c:v>
                </c:pt>
                <c:pt idx="75">
                  <c:v>4</c:v>
                </c:pt>
                <c:pt idx="76">
                  <c:v>3</c:v>
                </c:pt>
                <c:pt idx="77">
                  <c:v>3</c:v>
                </c:pt>
                <c:pt idx="78">
                  <c:v>3</c:v>
                </c:pt>
                <c:pt idx="79">
                  <c:v>2</c:v>
                </c:pt>
                <c:pt idx="80">
                  <c:v>2</c:v>
                </c:pt>
                <c:pt idx="81">
                  <c:v>1</c:v>
                </c:pt>
                <c:pt idx="82">
                  <c:v>1</c:v>
                </c:pt>
                <c:pt idx="83">
                  <c:v>0</c:v>
                </c:pt>
                <c:pt idx="84">
                  <c:v>0</c:v>
                </c:pt>
                <c:pt idx="85">
                  <c:v>0</c:v>
                </c:pt>
                <c:pt idx="86">
                  <c:v>0</c:v>
                </c:pt>
                <c:pt idx="87">
                  <c:v>1</c:v>
                </c:pt>
                <c:pt idx="88">
                  <c:v>2</c:v>
                </c:pt>
                <c:pt idx="89">
                  <c:v>3</c:v>
                </c:pt>
                <c:pt idx="90">
                  <c:v>3</c:v>
                </c:pt>
                <c:pt idx="91">
                  <c:v>4</c:v>
                </c:pt>
                <c:pt idx="92">
                  <c:v>5</c:v>
                </c:pt>
                <c:pt idx="93">
                  <c:v>6</c:v>
                </c:pt>
                <c:pt idx="94">
                  <c:v>7</c:v>
                </c:pt>
                <c:pt idx="95">
                  <c:v>7</c:v>
                </c:pt>
                <c:pt idx="96">
                  <c:v>8</c:v>
                </c:pt>
                <c:pt idx="97">
                  <c:v>8</c:v>
                </c:pt>
                <c:pt idx="98">
                  <c:v>9</c:v>
                </c:pt>
                <c:pt idx="99">
                  <c:v>8</c:v>
                </c:pt>
                <c:pt idx="100">
                  <c:v>7</c:v>
                </c:pt>
                <c:pt idx="101">
                  <c:v>6</c:v>
                </c:pt>
                <c:pt idx="102">
                  <c:v>5</c:v>
                </c:pt>
                <c:pt idx="103">
                  <c:v>4</c:v>
                </c:pt>
                <c:pt idx="104">
                  <c:v>4</c:v>
                </c:pt>
                <c:pt idx="105">
                  <c:v>4</c:v>
                </c:pt>
                <c:pt idx="106">
                  <c:v>3</c:v>
                </c:pt>
                <c:pt idx="107">
                  <c:v>3</c:v>
                </c:pt>
                <c:pt idx="108">
                  <c:v>2</c:v>
                </c:pt>
                <c:pt idx="109">
                  <c:v>1</c:v>
                </c:pt>
                <c:pt idx="110">
                  <c:v>0</c:v>
                </c:pt>
                <c:pt idx="111">
                  <c:v>0</c:v>
                </c:pt>
                <c:pt idx="112">
                  <c:v>1</c:v>
                </c:pt>
                <c:pt idx="113">
                  <c:v>1</c:v>
                </c:pt>
                <c:pt idx="114">
                  <c:v>2</c:v>
                </c:pt>
                <c:pt idx="115">
                  <c:v>2</c:v>
                </c:pt>
                <c:pt idx="116">
                  <c:v>3</c:v>
                </c:pt>
                <c:pt idx="117">
                  <c:v>3</c:v>
                </c:pt>
                <c:pt idx="118">
                  <c:v>4</c:v>
                </c:pt>
                <c:pt idx="119">
                  <c:v>4</c:v>
                </c:pt>
                <c:pt idx="120">
                  <c:v>5</c:v>
                </c:pt>
                <c:pt idx="121">
                  <c:v>6</c:v>
                </c:pt>
                <c:pt idx="122">
                  <c:v>7</c:v>
                </c:pt>
                <c:pt idx="123">
                  <c:v>7</c:v>
                </c:pt>
                <c:pt idx="124">
                  <c:v>8</c:v>
                </c:pt>
                <c:pt idx="125">
                  <c:v>8</c:v>
                </c:pt>
                <c:pt idx="126">
                  <c:v>8</c:v>
                </c:pt>
                <c:pt idx="127">
                  <c:v>9</c:v>
                </c:pt>
                <c:pt idx="128">
                  <c:v>9</c:v>
                </c:pt>
                <c:pt idx="129">
                  <c:v>8</c:v>
                </c:pt>
                <c:pt idx="130">
                  <c:v>7</c:v>
                </c:pt>
                <c:pt idx="131">
                  <c:v>6</c:v>
                </c:pt>
                <c:pt idx="132">
                  <c:v>5</c:v>
                </c:pt>
                <c:pt idx="133">
                  <c:v>4</c:v>
                </c:pt>
                <c:pt idx="134">
                  <c:v>4</c:v>
                </c:pt>
                <c:pt idx="135">
                  <c:v>3</c:v>
                </c:pt>
                <c:pt idx="136">
                  <c:v>2</c:v>
                </c:pt>
                <c:pt idx="137">
                  <c:v>2</c:v>
                </c:pt>
                <c:pt idx="138">
                  <c:v>1</c:v>
                </c:pt>
                <c:pt idx="139">
                  <c:v>1</c:v>
                </c:pt>
                <c:pt idx="140">
                  <c:v>0</c:v>
                </c:pt>
                <c:pt idx="141">
                  <c:v>0</c:v>
                </c:pt>
                <c:pt idx="142">
                  <c:v>0</c:v>
                </c:pt>
                <c:pt idx="143">
                  <c:v>1</c:v>
                </c:pt>
                <c:pt idx="144">
                  <c:v>2</c:v>
                </c:pt>
                <c:pt idx="145">
                  <c:v>3</c:v>
                </c:pt>
                <c:pt idx="146">
                  <c:v>4</c:v>
                </c:pt>
                <c:pt idx="147">
                  <c:v>5</c:v>
                </c:pt>
                <c:pt idx="148">
                  <c:v>6</c:v>
                </c:pt>
                <c:pt idx="149">
                  <c:v>7</c:v>
                </c:pt>
                <c:pt idx="150">
                  <c:v>8</c:v>
                </c:pt>
                <c:pt idx="151">
                  <c:v>9</c:v>
                </c:pt>
                <c:pt idx="152">
                  <c:v>8</c:v>
                </c:pt>
                <c:pt idx="153">
                  <c:v>8</c:v>
                </c:pt>
                <c:pt idx="154">
                  <c:v>7</c:v>
                </c:pt>
                <c:pt idx="155">
                  <c:v>7</c:v>
                </c:pt>
                <c:pt idx="156">
                  <c:v>6</c:v>
                </c:pt>
                <c:pt idx="157">
                  <c:v>5</c:v>
                </c:pt>
                <c:pt idx="158">
                  <c:v>4</c:v>
                </c:pt>
                <c:pt idx="159">
                  <c:v>4</c:v>
                </c:pt>
                <c:pt idx="160">
                  <c:v>4</c:v>
                </c:pt>
                <c:pt idx="161">
                  <c:v>4</c:v>
                </c:pt>
                <c:pt idx="162">
                  <c:v>3</c:v>
                </c:pt>
                <c:pt idx="163">
                  <c:v>2</c:v>
                </c:pt>
                <c:pt idx="164">
                  <c:v>1</c:v>
                </c:pt>
                <c:pt idx="165">
                  <c:v>0</c:v>
                </c:pt>
                <c:pt idx="166">
                  <c:v>0</c:v>
                </c:pt>
                <c:pt idx="167">
                  <c:v>1</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7535" y="1128485"/>
          <a:ext cx="2423205" cy="12308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21-09-2021 22:44:57</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7535" y="2733622"/>
          <a:ext cx="2312911" cy="1231864"/>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21-09-2021 22:45:00</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64215" y="1128485"/>
          <a:ext cx="2430008" cy="12308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09:39:23</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0089" y="2733622"/>
          <a:ext cx="2343526" cy="1231864"/>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16:26:30</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7535" y="4339771"/>
          <a:ext cx="2312911" cy="12409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82358" y="4339771"/>
          <a:ext cx="2349196" cy="12409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6</xdr:col>
      <xdr:colOff>203200</xdr:colOff>
      <xdr:row>34</xdr:row>
      <xdr:rowOff>76200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61.68503912037" createdVersion="7" refreshedVersion="7" minRefreshableVersion="3" recordCount="912"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3"/>
        <n v="1" u="1"/>
        <n v="4" u="1"/>
      </sharedItems>
    </cacheField>
    <cacheField name="Turno" numFmtId="0">
      <sharedItems containsSemiMixedTypes="0" containsString="0" containsNumber="1" containsInteger="1" minValue="0" maxValue="2" count="3">
        <n v="2"/>
        <n v="0"/>
        <n v="1"/>
      </sharedItems>
    </cacheField>
    <cacheField name="Nó" numFmtId="0">
      <sharedItems count="28">
        <s v="Alvide"/>
        <s v="Alcabideche (A5/A16)"/>
        <s v="Carcavelos"/>
        <s v="Estoril"/>
        <s v="Oeiras"/>
        <s v="Estádio Nacional (A5/A9)"/>
        <s v="Queluz"/>
        <s v="Radial da Pontinha"/>
        <s v="Radial de Odivelas"/>
        <s v="Cascais"/>
        <s v="Cruz das Oliveiras" u="1"/>
        <s v="Nó Cruz das Oliveiras" u="1"/>
        <s v="Monsanto" u="1"/>
        <s v="Nó Viaduto Duarte Pacheco" u="1"/>
        <s v="Nó de Linda-a-Velha" u="1"/>
        <s v="Nó de Monsanto" u="1"/>
        <s v="Miraflores (A5/IC17)" u="1"/>
        <s v="Linda-a-Velha" u="1"/>
        <s v="Nó de Alvide" u="1"/>
        <s v="Nó de Carcavelos" u="1"/>
        <s v="Estádio Nacional" u="1"/>
        <s v="Nó de Oeiras" u="1"/>
        <s v="Viaduto Duarte Pacheco" u="1"/>
        <s v="Nó de Miraflores (A5/IC17)" u="1"/>
        <s v="Nó Estádio Nacional" u="1"/>
        <s v="Nó do Estoril" u="1"/>
        <s v="Nó de Cascais" u="1"/>
        <s v="Nó de Alcabideche (A5/A16)" u="1"/>
      </sharedItems>
    </cacheField>
    <cacheField name="Sequência" numFmtId="0">
      <sharedItems containsSemiMixedTypes="0" containsString="0" containsNumber="1" containsInteger="1" minValue="0" maxValue="9" count="10">
        <n v="1"/>
        <n v="2"/>
        <n v="4"/>
        <n v="3"/>
        <n v="5"/>
        <n v="6"/>
        <n v="7"/>
        <n v="8"/>
        <n v="9"/>
        <n v="0"/>
      </sharedItems>
    </cacheField>
    <cacheField name="Attribute" numFmtId="0">
      <sharedItems/>
    </cacheField>
    <cacheField name="Value" numFmtId="164">
      <sharedItems containsSemiMixedTypes="0" containsNonDate="0" containsDate="1" containsString="0" minDate="1899-12-30T00:00:00" maxDate="1899-12-30T23:59:00" count="1428">
        <d v="1899-12-30T00:02:00"/>
        <d v="1899-12-30T00:03:00"/>
        <d v="1899-12-30T00:16:00"/>
        <d v="1899-12-30T00:21:00"/>
        <d v="1899-12-30T00:24:00"/>
        <d v="1899-12-30T00:29:00"/>
        <d v="1899-12-30T00:42:00"/>
        <d v="1899-12-30T00:43:00"/>
        <d v="1899-12-30T00:45:00"/>
        <d v="1899-12-30T00:46:00"/>
        <d v="1899-12-30T00:49:00"/>
        <d v="1899-12-30T00:50:00"/>
        <d v="1899-12-30T00:52:00"/>
        <d v="1899-12-30T00:53:00"/>
        <d v="1899-12-30T00:58:00"/>
        <d v="1899-12-30T00:59:00"/>
        <d v="1899-12-30T01:05:00"/>
        <d v="1899-12-30T01:08:00"/>
        <d v="1899-12-30T01:14:00"/>
        <d v="1899-12-30T01:15:00"/>
        <d v="1899-12-30T01:20:00"/>
        <d v="1899-12-30T01:21:00"/>
        <d v="1899-12-30T02:20:00"/>
        <d v="1899-12-30T02:21:00"/>
        <d v="1899-12-30T02:27:00"/>
        <d v="1899-12-30T02:30:00"/>
        <d v="1899-12-30T02:36:00"/>
        <d v="1899-12-30T02:37:00"/>
        <d v="1899-12-30T02:40:00"/>
        <d v="1899-12-30T02:44:00"/>
        <d v="1899-12-30T02:46:00"/>
        <d v="1899-12-30T02:47:00"/>
        <d v="1899-12-30T02:49:00"/>
        <d v="1899-12-30T02:52:00"/>
        <d v="1899-12-30T02:53:00"/>
        <d v="1899-12-30T02:55:00"/>
        <d v="1899-12-30T02:56:00"/>
        <d v="1899-12-30T03:09:00"/>
        <d v="1899-12-30T03:13:00"/>
        <d v="1899-12-30T03:14:00"/>
        <d v="1899-12-30T03:16:00"/>
        <d v="1899-12-30T03:18:00"/>
        <d v="1899-12-30T03:22:00"/>
        <d v="1899-12-30T03:23:00"/>
        <d v="1899-12-30T03:27:00"/>
        <d v="1899-12-30T03:30:00"/>
        <d v="1899-12-30T03:41:00"/>
        <d v="1899-12-30T03:44:00"/>
        <d v="1899-12-30T03:48:00"/>
        <d v="1899-12-30T03:49:00"/>
        <d v="1899-12-30T03:53:00"/>
        <d v="1899-12-30T03:55:00"/>
        <d v="1899-12-30T03:57:00"/>
        <d v="1899-12-30T04:02:00"/>
        <d v="1899-12-30T04:15:00"/>
        <d v="1899-12-30T04:18:00"/>
        <d v="1899-12-30T04:22:00"/>
        <d v="1899-12-30T04:24:00"/>
        <d v="1899-12-30T04:25:00"/>
        <d v="1899-12-30T04:35:00"/>
        <d v="1899-12-30T04:41:00"/>
        <d v="1899-12-30T04:51:00"/>
        <d v="1899-12-30T04:54:00"/>
        <d v="1899-12-30T04:57:00"/>
        <d v="1899-12-30T05:02:00"/>
        <d v="1899-12-30T05:03:00"/>
        <d v="1899-12-30T05:04:00"/>
        <d v="1899-12-30T05:05:00"/>
        <d v="1899-12-30T05:08:00"/>
        <d v="1899-12-30T05:13:00"/>
        <d v="1899-12-30T05:19:00"/>
        <d v="1899-12-30T05:21:00"/>
        <d v="1899-12-30T05:22:00"/>
        <d v="1899-12-30T05:26:00"/>
        <d v="1899-12-30T05:29:00"/>
        <d v="1899-12-30T05:33:00"/>
        <d v="1899-12-30T05:34:00"/>
        <d v="1899-12-30T05:36:00"/>
        <d v="1899-12-30T05:46:00"/>
        <d v="1899-12-30T05:47:00"/>
        <d v="1899-12-30T05:50:00"/>
        <d v="1899-12-30T05:51:00"/>
        <d v="1899-12-30T05:52:00"/>
        <d v="1899-12-30T05:55:00"/>
        <d v="1899-12-30T05:57:00"/>
        <d v="1899-12-30T05:58:00"/>
        <d v="1899-12-30T06:05:00"/>
        <d v="1899-12-30T06:07:00"/>
        <d v="1899-12-30T06:08:00"/>
        <d v="1899-12-30T06:11:00"/>
        <d v="1899-12-30T06:14:00"/>
        <d v="1899-12-30T06:16:00"/>
        <d v="1899-12-30T06:19:00"/>
        <d v="1899-12-30T06:20:00"/>
        <d v="1899-12-30T06:23:00"/>
        <d v="1899-12-30T06:26:00"/>
        <d v="1899-12-30T06:27:00"/>
        <d v="1899-12-30T06:30:00"/>
        <d v="1899-12-30T06:32:00"/>
        <d v="1899-12-30T06:38:00"/>
        <d v="1899-12-30T06:44:00"/>
        <d v="1899-12-30T06:50:00"/>
        <d v="1899-12-30T06:53:00"/>
        <d v="1899-12-30T06:57:00"/>
        <d v="1899-12-30T07:00:00"/>
        <d v="1899-12-30T07:05:00"/>
        <d v="1899-12-30T07:08:00"/>
        <d v="1899-12-30T07:09:00"/>
        <d v="1899-12-30T07:11:00"/>
        <d v="1899-12-30T07:13:00"/>
        <d v="1899-12-30T07:18:00"/>
        <d v="1899-12-30T07:21:00"/>
        <d v="1899-12-30T07:22:00"/>
        <d v="1899-12-30T07:24:00"/>
        <d v="1899-12-30T07:26:00"/>
        <d v="1899-12-30T07:27:00"/>
        <d v="1899-12-30T07:30:00"/>
        <d v="1899-12-30T07:35:00"/>
        <d v="1899-12-30T07:41:00"/>
        <d v="1899-12-30T07:43:00"/>
        <d v="1899-12-30T07:47:00"/>
        <d v="1899-12-30T07:48:00"/>
        <d v="1899-12-30T08:02:00"/>
        <d v="1899-12-30T08:04:00"/>
        <d v="1899-12-30T08:06:00"/>
        <d v="1899-12-30T08:08:00"/>
        <d v="1899-12-30T08:09:00"/>
        <d v="1899-12-30T08:12:00"/>
        <d v="1899-12-30T08:14:00"/>
        <d v="1899-12-30T08:18:00"/>
        <d v="1899-12-30T08:24:00"/>
        <d v="1899-12-30T08:27:00"/>
        <d v="1899-12-30T08:30:00"/>
        <d v="1899-12-30T08:34:00"/>
        <d v="1899-12-30T08:36:00"/>
        <d v="1899-12-30T08:37:00"/>
        <d v="1899-12-30T08:43:00"/>
        <d v="1899-12-30T08:46:00"/>
        <d v="1899-12-30T08:48:00"/>
        <d v="1899-12-30T08:49:00"/>
        <d v="1899-12-30T08:52:00"/>
        <d v="1899-12-30T08:56:00"/>
        <d v="1899-12-30T08:59:00"/>
        <d v="1899-12-30T09:05:00"/>
        <d v="1899-12-30T09:10:00"/>
        <d v="1899-12-30T09:15:00"/>
        <d v="1899-12-30T09:16:00"/>
        <d v="1899-12-30T09:18:00"/>
        <d v="1899-12-30T09:21:00"/>
        <d v="1899-12-30T09:31:00"/>
        <d v="1899-12-30T09:34:00"/>
        <d v="1899-12-30T09:36:00"/>
        <d v="1899-12-30T09:38:00"/>
        <d v="1899-12-30T09:40:00"/>
        <d v="1899-12-30T09:41:00"/>
        <d v="1899-12-30T09:56:00"/>
        <d v="1899-12-30T10:06:00"/>
        <d v="1899-12-30T10:08:00"/>
        <d v="1899-12-30T10:09:00"/>
        <d v="1899-12-30T10:12:00"/>
        <d v="1899-12-30T10:13:00"/>
        <d v="1899-12-30T10:14:00"/>
        <d v="1899-12-30T10:31:00"/>
        <d v="1899-12-30T10:34:00"/>
        <d v="1899-12-30T11:14:00"/>
        <d v="1899-12-30T11:27:00"/>
        <d v="1899-12-30T11:30:00"/>
        <d v="1899-12-30T11:34:00"/>
        <d v="1899-12-30T11:47:00"/>
        <d v="1899-12-30T11:48:00"/>
        <d v="1899-12-30T11:49:00"/>
        <d v="1899-12-30T11:52:00"/>
        <d v="1899-12-30T11:53:00"/>
        <d v="1899-12-30T11:55:00"/>
        <d v="1899-12-30T12:05:00"/>
        <d v="1899-12-30T12:08:00"/>
        <d v="1899-12-30T12:12:00"/>
        <d v="1899-12-30T12:15:00"/>
        <d v="1899-12-30T12:24:00"/>
        <d v="1899-12-30T12:25:00"/>
        <d v="1899-12-30T12:31:00"/>
        <d v="1899-12-30T12:41:00"/>
        <d v="1899-12-30T12:47:00"/>
        <d v="1899-12-30T12:53:00"/>
        <d v="1899-12-30T12:54:00"/>
        <d v="1899-12-30T13:02:00"/>
        <d v="1899-12-30T13:03:00"/>
        <d v="1899-12-30T13:04:00"/>
        <d v="1899-12-30T13:05:00"/>
        <d v="1899-12-30T13:08:00"/>
        <d v="1899-12-30T13:09:00"/>
        <d v="1899-12-30T13:12:00"/>
        <d v="1899-12-30T13:16:00"/>
        <d v="1899-12-30T13:19:00"/>
        <d v="1899-12-30T13:21:00"/>
        <d v="1899-12-30T13:24:00"/>
        <d v="1899-12-30T13:26:00"/>
        <d v="1899-12-30T13:29:00"/>
        <d v="1899-12-30T13:33:00"/>
        <d v="1899-12-30T13:36:00"/>
        <d v="1899-12-30T13:37:00"/>
        <d v="1899-12-30T13:40:00"/>
        <d v="1899-12-30T13:41:00"/>
        <d v="1899-12-30T13:45:00"/>
        <d v="1899-12-30T13:46:00"/>
        <d v="1899-12-30T13:47:00"/>
        <d v="1899-12-30T13:52:00"/>
        <d v="1899-12-30T13:55:00"/>
        <d v="1899-12-30T13:57:00"/>
        <d v="1899-12-30T13:58:00"/>
        <d v="1899-12-30T14:01:00"/>
        <d v="1899-12-30T14:02:00"/>
        <d v="1899-12-30T14:06:00"/>
        <d v="1899-12-30T14:08:00"/>
        <d v="1899-12-30T14:09:00"/>
        <d v="1899-12-30T14:13:00"/>
        <d v="1899-12-30T14:14:00"/>
        <d v="1899-12-30T14:16:00"/>
        <d v="1899-12-30T14:20:00"/>
        <d v="1899-12-30T14:22:00"/>
        <d v="1899-12-30T14:23:00"/>
        <d v="1899-12-30T14:27:00"/>
        <d v="1899-12-30T14:28:00"/>
        <d v="1899-12-30T14:30:00"/>
        <d v="1899-12-30T14:38:00"/>
        <d v="1899-12-30T14:44:00"/>
        <d v="1899-12-30T14:50:00"/>
        <d v="1899-12-30T14:53:00"/>
        <d v="1899-12-30T14:57:00"/>
        <d v="1899-12-30T15:00:00"/>
        <d v="1899-12-30T15:15:00"/>
        <d v="1899-12-30T15:20:00"/>
        <d v="1899-12-30T15:28:00"/>
        <d v="1899-12-30T15:33:00"/>
        <d v="1899-12-30T15:36:00"/>
        <d v="1899-12-30T15:37:00"/>
        <d v="1899-12-30T15:39:00"/>
        <d v="1899-12-30T15:41:00"/>
        <d v="1899-12-30T15:42:00"/>
        <d v="1899-12-30T15:45:00"/>
        <d v="1899-12-30T15:50:00"/>
        <d v="1899-12-30T16:09:00"/>
        <d v="1899-12-30T16:11:00"/>
        <d v="1899-12-30T16:15:00"/>
        <d v="1899-12-30T16:16:00"/>
        <d v="1899-12-30T16:34:00"/>
        <d v="1899-12-30T16:37:00"/>
        <d v="1899-12-30T16:43:00"/>
        <d v="1899-12-30T16:46:00"/>
        <d v="1899-12-30T16:50:00"/>
        <d v="1899-12-30T16:53:00"/>
        <d v="1899-12-30T16:55:00"/>
        <d v="1899-12-30T16:59:00"/>
        <d v="1899-12-30T17:05:00"/>
        <d v="1899-12-30T17:08:00"/>
        <d v="1899-12-30T17:11:00"/>
        <d v="1899-12-30T17:15:00"/>
        <d v="1899-12-30T17:18:00"/>
        <d v="1899-12-30T17:21:00"/>
        <d v="1899-12-30T17:28:00"/>
        <d v="1899-12-30T17:34:00"/>
        <d v="1899-12-30T18:21:00"/>
        <d v="1899-12-30T18:27:00"/>
        <d v="1899-12-30T18:34:00"/>
        <d v="1899-12-30T18:37:00"/>
        <d v="1899-12-30T18:40:00"/>
        <d v="1899-12-30T18:44:00"/>
        <d v="1899-12-30T18:47:00"/>
        <d v="1899-12-30T18:50:00"/>
        <d v="1899-12-30T18:52:00"/>
        <d v="1899-12-30T18:55:00"/>
        <d v="1899-12-30T19:00:00"/>
        <d v="1899-12-30T19:06:00"/>
        <d v="1899-12-30T19:12:00"/>
        <d v="1899-12-30T19:13:00"/>
        <d v="1899-12-30T19:14:00"/>
        <d v="1899-12-30T19:15:00"/>
        <d v="1899-12-30T19:16:00"/>
        <d v="1899-12-30T19:18:00"/>
        <d v="1899-12-30T19:19:00"/>
        <d v="1899-12-30T19:22:00"/>
        <d v="1899-12-30T19:23:00"/>
        <d v="1899-12-30T19:35:00"/>
        <d v="1899-12-30T19:40:00"/>
        <d v="1899-12-30T19:41:00"/>
        <d v="1899-12-30T19:43:00"/>
        <d v="1899-12-30T19:44:00"/>
        <d v="1899-12-30T19:57:00"/>
        <d v="1899-12-30T20:01:00"/>
        <d v="1899-12-30T20:02:00"/>
        <d v="1899-12-30T20:06:00"/>
        <d v="1899-12-30T20:08:00"/>
        <d v="1899-12-30T20:15:00"/>
        <d v="1899-12-30T20:18:00"/>
        <d v="1899-12-30T20:22:00"/>
        <d v="1899-12-30T20:25:00"/>
        <d v="1899-12-30T20:35:00"/>
        <d v="1899-12-30T20:38:00"/>
        <d v="1899-12-30T20:41:00"/>
        <d v="1899-12-30T20:46:00"/>
        <d v="1899-12-30T20:48:00"/>
        <d v="1899-12-30T20:51:00"/>
        <d v="1899-12-30T20:52:00"/>
        <d v="1899-12-30T20:56:00"/>
        <d v="1899-12-30T20:57:00"/>
        <d v="1899-12-30T21:00:00"/>
        <d v="1899-12-30T21:03:00"/>
        <d v="1899-12-30T21:04:00"/>
        <d v="1899-12-30T21:06:00"/>
        <d v="1899-12-30T21:12:00"/>
        <d v="1899-12-30T21:13:00"/>
        <d v="1899-12-30T21:18:00"/>
        <d v="1899-12-30T21:19:00"/>
        <d v="1899-12-30T21:22:00"/>
        <d v="1899-12-30T21:24:00"/>
        <d v="1899-12-30T21:26:00"/>
        <d v="1899-12-30T21:29:00"/>
        <d v="1899-12-30T21:34:00"/>
        <d v="1899-12-30T21:40:00"/>
        <d v="1899-12-30T21:47:00"/>
        <d v="1899-12-30T21:50:00"/>
        <d v="1899-12-30T21:51:00"/>
        <d v="1899-12-30T21:54:00"/>
        <d v="1899-12-30T21:55:00"/>
        <d v="1899-12-30T21:57:00"/>
        <d v="1899-12-30T21:58:00"/>
        <d v="1899-12-30T22:00:00"/>
        <d v="1899-12-30T22:05:00"/>
        <d v="1899-12-30T22:07:00"/>
        <d v="1899-12-30T22:08:00"/>
        <d v="1899-12-30T22:11:00"/>
        <d v="1899-12-30T22:16:00"/>
        <d v="1899-12-30T22:19:00"/>
        <d v="1899-12-30T22:23:00"/>
        <d v="1899-12-30T22:26:00"/>
        <d v="1899-12-30T22:30:00"/>
        <d v="1899-12-30T22:32:00"/>
        <d v="1899-12-30T22:38:00"/>
        <d v="1899-12-30T22:44:00"/>
        <d v="1899-12-30T22:50:00"/>
        <d v="1899-12-30T22:53:00"/>
        <d v="1899-12-30T22:57:00"/>
        <d v="1899-12-30T23:00:00"/>
        <d v="1899-12-30T23:15:00"/>
        <d v="1899-12-30T23:20:00"/>
        <d v="1899-12-30T23:23:00"/>
        <d v="1899-12-30T23:24:00"/>
        <d v="1899-12-30T23:26:00"/>
        <d v="1899-12-30T23:28:00"/>
        <d v="1899-12-30T23:33:00"/>
        <d v="1899-12-30T23:36:00"/>
        <d v="1899-12-30T23:37:00"/>
        <d v="1899-12-30T23:39:00"/>
        <d v="1899-12-30T23:41:00"/>
        <d v="1899-12-30T23:42:00"/>
        <d v="1899-12-30T23:45:00"/>
        <d v="1899-12-30T23:50:00"/>
        <d v="1899-12-30T23:56:00"/>
        <d v="1899-12-30T23:58:00"/>
        <d v="1899-12-30T23:08:00" u="1"/>
        <d v="1899-12-30T01:16:00" u="1"/>
        <d v="1899-12-30T02:16:00" u="1"/>
        <d v="1899-12-30T04:16:00" u="1"/>
        <d v="1899-12-30T05:16:00" u="1"/>
        <d v="1899-12-30T07:16:00" u="1"/>
        <d v="1899-12-30T08:16:00" u="1"/>
        <d v="1899-12-30T10:16:00" u="1"/>
        <d v="1899-12-30T11:16:00" u="1"/>
        <d v="1899-12-30T12:16:00" u="1"/>
        <d v="1899-12-30T15:16:00" u="1"/>
        <d v="1899-12-30T17:16:00" u="1"/>
        <d v="1899-12-30T18:16:00" u="1"/>
        <d v="1899-12-30T20:16:00" u="1"/>
        <d v="1899-12-30T21:16:00" u="1"/>
        <d v="1899-12-30T23:16:00" u="1"/>
        <d v="1899-12-30T01:24:00" u="1"/>
        <d v="1899-12-30T02:24:00" u="1"/>
        <d v="1899-12-30T03:24:00" u="1"/>
        <d v="1899-12-30T05:24:00" u="1"/>
        <d v="1899-12-30T06:24:00" u="1"/>
        <d v="1899-12-30T09:24:00" u="1"/>
        <d v="1899-12-30T10:24:00" u="1"/>
        <d v="1899-12-30T11:24:00" u="1"/>
        <d v="1899-12-30T14:24:00" u="1"/>
        <d v="1899-12-30T15:24:00" u="1"/>
        <d v="1899-12-30T16:24:00" u="1"/>
        <d v="1899-12-30T17:24:00" u="1"/>
        <d v="1899-12-30T18:24:00" u="1"/>
        <d v="1899-12-30T19:24:00" u="1"/>
        <d v="1899-12-30T20:24:00" u="1"/>
        <d v="1899-12-30T22:24:00" u="1"/>
        <d v="1899-12-30T00:32:00" u="1"/>
        <d v="1899-12-30T01:32:00" u="1"/>
        <d v="1899-12-30T02:32:00" u="1"/>
        <d v="1899-12-30T03:32:00" u="1"/>
        <d v="1899-12-30T04:32:00" u="1"/>
        <d v="1899-12-30T05:32:00" u="1"/>
        <d v="1899-12-30T07:32:00" u="1"/>
        <d v="1899-12-30T08:32:00" u="1"/>
        <d v="1899-12-30T09:32:00" u="1"/>
        <d v="1899-12-30T10:32:00" u="1"/>
        <d v="1899-12-30T11:32:00" u="1"/>
        <d v="1899-12-30T12:32:00" u="1"/>
        <d v="1899-12-30T13:32:00" u="1"/>
        <d v="1899-12-30T14:32:00" u="1"/>
        <d v="1899-12-30T15:32:00" u="1"/>
        <d v="1899-12-30T16:32:00" u="1"/>
        <d v="1899-12-30T17:32:00" u="1"/>
        <d v="1899-12-30T18:32:00" u="1"/>
        <d v="1899-12-30T19:32:00" u="1"/>
        <d v="1899-12-30T20:32:00" u="1"/>
        <d v="1899-12-30T21:32:00" u="1"/>
        <d v="1899-12-30T23:32:00" u="1"/>
        <d v="1899-12-30T00:40:00" u="1"/>
        <d v="1899-12-30T01:40:00" u="1"/>
        <d v="1899-12-30T03:40:00" u="1"/>
        <d v="1899-12-30T04:40:00" u="1"/>
        <d v="1899-12-30T05:40:00" u="1"/>
        <d v="1899-12-30T06:40:00" u="1"/>
        <d v="1899-12-30T07:40:00" u="1"/>
        <d v="1899-12-30T08:40:00" u="1"/>
        <d v="1899-12-30T10:40:00" u="1"/>
        <d v="1899-12-30T11:40:00" u="1"/>
        <d v="1899-12-30T12:40:00" u="1"/>
        <d v="1899-12-30T14:40:00" u="1"/>
        <d v="1899-12-30T15:40:00" u="1"/>
        <d v="1899-12-30T16:40:00" u="1"/>
        <d v="1899-12-30T17:40:00" u="1"/>
        <d v="1899-12-30T20:40:00" u="1"/>
        <d v="1899-12-30T22:40:00" u="1"/>
        <d v="1899-12-30T23:40:00" u="1"/>
        <d v="1899-12-30T00:48:00" u="1"/>
        <d v="1899-12-30T01:48:00" u="1"/>
        <d v="1899-12-30T02:48:00" u="1"/>
        <d v="1899-12-30T04:48:00" u="1"/>
        <d v="1899-12-30T05:48:00" u="1"/>
        <d v="1899-12-30T06:48:00" u="1"/>
        <d v="1899-12-30T09:48:00" u="1"/>
        <d v="1899-12-30T10:48:00" u="1"/>
        <d v="1899-12-30T12:48:00" u="1"/>
        <d v="1899-12-30T13:48:00" u="1"/>
        <d v="1899-12-30T14:48:00" u="1"/>
        <d v="1899-12-30T15:48:00" u="1"/>
        <d v="1899-12-30T16:48:00" u="1"/>
        <d v="1899-12-30T17:48:00" u="1"/>
        <d v="1899-12-30T18:48:00" u="1"/>
        <d v="1899-12-30T19:48:00" u="1"/>
        <d v="1899-12-30T21:48:00" u="1"/>
        <d v="1899-12-30T22:48:00" u="1"/>
        <d v="1899-12-30T23:48:00" u="1"/>
        <d v="1899-12-30T00:56:00" u="1"/>
        <d v="1899-12-30T01:56:00" u="1"/>
        <d v="1899-12-30T03:56:00" u="1"/>
        <d v="1899-12-30T04:56:00" u="1"/>
        <d v="1899-12-30T05:56:00" u="1"/>
        <d v="1899-12-30T06:56:00" u="1"/>
        <d v="1899-12-30T07:56:00" u="1"/>
        <d v="1899-12-30T10:56:00" u="1"/>
        <d v="1899-12-30T11:56:00" u="1"/>
        <d v="1899-12-30T12:56:00" u="1"/>
        <d v="1899-12-30T13:56:00" u="1"/>
        <d v="1899-12-30T14:56:00" u="1"/>
        <d v="1899-12-30T15:56:00" u="1"/>
        <d v="1899-12-30T16:56:00" u="1"/>
        <d v="1899-12-30T17:56:00" u="1"/>
        <d v="1899-12-30T18:56:00" u="1"/>
        <d v="1899-12-30T19:56:00" u="1"/>
        <d v="1899-12-30T21:56:00" u="1"/>
        <d v="1899-12-30T22:56:00" u="1"/>
        <d v="1899-12-30T00:01:00" u="1"/>
        <d v="1899-12-30T01:01:00" u="1"/>
        <d v="1899-12-30T02:01:00" u="1"/>
        <d v="1899-12-30T03:01:00" u="1"/>
        <d v="1899-12-30T04:01:00" u="1"/>
        <d v="1899-12-30T05:01:00" u="1"/>
        <d v="1899-12-30T06:01:00" u="1"/>
        <d v="1899-12-30T08:01:00" u="1"/>
        <d v="1899-12-30T10:01:00" u="1"/>
        <d v="1899-12-30T12:01:00" u="1"/>
        <d v="1899-12-30T13:01:00" u="1"/>
        <d v="1899-12-30T15:01:00" u="1"/>
        <d v="1899-12-30T16:01:00" u="1"/>
        <d v="1899-12-30T17:01:00" u="1"/>
        <d v="1899-12-30T18:01:00" u="1"/>
        <d v="1899-12-30T19:01:00" u="1"/>
        <d v="1899-12-30T21:01:00" u="1"/>
        <d v="1899-12-30T22:01:00" u="1"/>
        <d v="1899-12-30T00:09:00" u="1"/>
        <d v="1899-12-30T01:09:00" u="1"/>
        <d v="1899-12-30T02:09:00" u="1"/>
        <d v="1899-12-30T04:09:00" u="1"/>
        <d v="1899-12-30T05:09:00" u="1"/>
        <d v="1899-12-30T06:09:00" u="1"/>
        <d v="1899-12-30T09:09:00" u="1"/>
        <d v="1899-12-30T11:09:00" u="1"/>
        <d v="1899-12-30T12:09:00" u="1"/>
        <d v="1899-12-30T15:09:00" u="1"/>
        <d v="1899-12-30T17:09:00" u="1"/>
        <d v="1899-12-30T18:09:00" u="1"/>
        <d v="1899-12-30T19:09:00" u="1"/>
        <d v="1899-12-30T20:09:00" u="1"/>
        <d v="1899-12-30T21:09:00" u="1"/>
        <d v="1899-12-30T22:09:00" u="1"/>
        <d v="1899-12-30T23:09:00" u="1"/>
        <d v="1899-12-30T00:17:00" u="1"/>
        <d v="1899-12-30T01:17:00" u="1"/>
        <d v="1899-12-30T02:17:00" u="1"/>
        <d v="1899-12-30T03:17:00" u="1"/>
        <d v="1899-12-30T04:17:00" u="1"/>
        <d v="1899-12-30T05:17:00" u="1"/>
        <d v="1899-12-30T06:17:00" u="1"/>
        <d v="1899-12-30T07:17:00" u="1"/>
        <d v="1899-12-30T08:17:00" u="1"/>
        <d v="1899-12-30T09:17:00" u="1"/>
        <d v="1899-12-30T10:17:00" u="1"/>
        <d v="1899-12-30T11:17:00" u="1"/>
        <d v="1899-12-30T12:17:00" u="1"/>
        <d v="1899-12-30T13:17:00" u="1"/>
        <d v="1899-12-30T14:17:00" u="1"/>
        <d v="1899-12-30T15:17:00" u="1"/>
        <d v="1899-12-30T16:17:00" u="1"/>
        <d v="1899-12-30T17:17:00" u="1"/>
        <d v="1899-12-30T18:17:00" u="1"/>
        <d v="1899-12-30T19:17:00" u="1"/>
        <d v="1899-12-30T20:17:00" u="1"/>
        <d v="1899-12-30T21:17:00" u="1"/>
        <d v="1899-12-30T22:17:00" u="1"/>
        <d v="1899-12-30T23:17:00" u="1"/>
        <d v="1899-12-30T00:25:00" u="1"/>
        <d v="1899-12-30T01:25:00" u="1"/>
        <d v="1899-12-30T02:25:00" u="1"/>
        <d v="1899-12-30T03:25:00" u="1"/>
        <d v="1899-12-30T05:25:00" u="1"/>
        <d v="1899-12-30T06:25:00" u="1"/>
        <d v="1899-12-30T07:25:00" u="1"/>
        <d v="1899-12-30T08:25:00" u="1"/>
        <d v="1899-12-30T09:25:00" u="1"/>
        <d v="1899-12-30T10:25:00" u="1"/>
        <d v="1899-12-30T11:25:00" u="1"/>
        <d v="1899-12-30T13:25:00" u="1"/>
        <d v="1899-12-30T14:25:00" u="1"/>
        <d v="1899-12-30T15:25:00" u="1"/>
        <d v="1899-12-30T16:25:00" u="1"/>
        <d v="1899-12-30T17:25:00" u="1"/>
        <d v="1899-12-30T18:25:00" u="1"/>
        <d v="1899-12-30T19:25:00" u="1"/>
        <d v="1899-12-30T21:25:00" u="1"/>
        <d v="1899-12-30T22:25:00" u="1"/>
        <d v="1899-12-30T23:25:00" u="1"/>
        <d v="1899-12-30T00:33:00" u="1"/>
        <d v="1899-12-30T01:33:00" u="1"/>
        <d v="1899-12-30T02:33:00" u="1"/>
        <d v="1899-12-30T03:33:00" u="1"/>
        <d v="1899-12-30T04:33:00" u="1"/>
        <d v="1899-12-30T06:33:00" u="1"/>
        <d v="1899-12-30T07:33:00" u="1"/>
        <d v="1899-12-30T08:33:00" u="1"/>
        <d v="1899-12-30T09:33:00" u="1"/>
        <d v="1899-12-30T10:33:00" u="1"/>
        <d v="1899-12-30T11:33:00" u="1"/>
        <d v="1899-12-30T12:33:00" u="1"/>
        <d v="1899-12-30T14:33:00" u="1"/>
        <d v="1899-12-30T16:33:00" u="1"/>
        <d v="1899-12-30T17:33:00" u="1"/>
        <d v="1899-12-30T18:33:00" u="1"/>
        <d v="1899-12-30T19:33:00" u="1"/>
        <d v="1899-12-30T20:33:00" u="1"/>
        <d v="1899-12-30T21:33:00" u="1"/>
        <d v="1899-12-30T22:33:00" u="1"/>
        <d v="1899-12-30T00:41:00" u="1"/>
        <d v="1899-12-30T01:41:00" u="1"/>
        <d v="1899-12-30T02:41:00" u="1"/>
        <d v="1899-12-30T05:41:00" u="1"/>
        <d v="1899-12-30T06:41:00" u="1"/>
        <d v="1899-12-30T08:41:00" u="1"/>
        <d v="1899-12-30T10:41:00" u="1"/>
        <d v="1899-12-30T11:41:00" u="1"/>
        <d v="1899-12-30T14:41:00" u="1"/>
        <d v="1899-12-30T16:41:00" u="1"/>
        <d v="1899-12-30T17:41:00" u="1"/>
        <d v="1899-12-30T18:41:00" u="1"/>
        <d v="1899-12-30T21:41:00" u="1"/>
        <d v="1899-12-30T22:41:00" u="1"/>
        <d v="1899-12-30T01:49:00" u="1"/>
        <d v="1899-12-30T04:49:00" u="1"/>
        <d v="1899-12-30T05:49:00" u="1"/>
        <d v="1899-12-30T06:49:00" u="1"/>
        <d v="1899-12-30T07:49:00" u="1"/>
        <d v="1899-12-30T09:49:00" u="1"/>
        <d v="1899-12-30T10:49:00" u="1"/>
        <d v="1899-12-30T12:49:00" u="1"/>
        <d v="1899-12-30T13:49:00" u="1"/>
        <d v="1899-12-30T14:49:00" u="1"/>
        <d v="1899-12-30T15:49:00" u="1"/>
        <d v="1899-12-30T16:49:00" u="1"/>
        <d v="1899-12-30T17:49:00" u="1"/>
        <d v="1899-12-30T18:49:00" u="1"/>
        <d v="1899-12-30T19:49:00" u="1"/>
        <d v="1899-12-30T20:49:00" u="1"/>
        <d v="1899-12-30T21:49:00" u="1"/>
        <d v="1899-12-30T22:49:00" u="1"/>
        <d v="1899-12-30T23:49:00" u="1"/>
        <d v="1899-12-30T00:57:00" u="1"/>
        <d v="1899-12-30T01:57:00" u="1"/>
        <d v="1899-12-30T02:57:00" u="1"/>
        <d v="1899-12-30T07:57:00" u="1"/>
        <d v="1899-12-30T08:57:00" u="1"/>
        <d v="1899-12-30T09:57:00" u="1"/>
        <d v="1899-12-30T10:57:00" u="1"/>
        <d v="1899-12-30T11:57:00" u="1"/>
        <d v="1899-12-30T12:57:00" u="1"/>
        <d v="1899-12-30T15:57:00" u="1"/>
        <d v="1899-12-30T16:57:00" u="1"/>
        <d v="1899-12-30T17:57:00" u="1"/>
        <d v="1899-12-30T18:57:00" u="1"/>
        <d v="1899-12-30T23:57:00" u="1"/>
        <d v="1899-12-30T01:02:00" u="1"/>
        <d v="1899-12-30T02:02:00" u="1"/>
        <d v="1899-12-30T03:02:00" u="1"/>
        <d v="1899-12-30T06:02:00" u="1"/>
        <d v="1899-12-30T07:02:00" u="1"/>
        <d v="1899-12-30T09:02:00" u="1"/>
        <d v="1899-12-30T10:02:00" u="1"/>
        <d v="1899-12-30T11:02:00" u="1"/>
        <d v="1899-12-30T12:02:00" u="1"/>
        <d v="1899-12-30T16:02:00" u="1"/>
        <d v="1899-12-30T17:02:00" u="1"/>
        <d v="1899-12-30T18:02:00" u="1"/>
        <d v="1899-12-30T19:02:00" u="1"/>
        <d v="1899-12-30T21:02:00" u="1"/>
        <d v="1899-12-30T22:02:00" u="1"/>
        <d v="1899-12-30T23:02:00" u="1"/>
        <d v="1899-12-30T00:10:00" u="1"/>
        <d v="1899-12-30T01:10:00" u="1"/>
        <d v="1899-12-30T02:10:00" u="1"/>
        <d v="1899-12-30T03:10:00" u="1"/>
        <d v="1899-12-30T04:10:00" u="1"/>
        <d v="1899-12-30T05:10:00" u="1"/>
        <d v="1899-12-30T06:10:00" u="1"/>
        <d v="1899-12-30T07:10:00" u="1"/>
        <d v="1899-12-30T08:10:00" u="1"/>
        <d v="1899-12-30T10:10:00" u="1"/>
        <d v="1899-12-30T11:10:00" u="1"/>
        <d v="1899-12-30T12:10:00" u="1"/>
        <d v="1899-12-30T13:10:00" u="1"/>
        <d v="1899-12-30T14:10:00" u="1"/>
        <d v="1899-12-30T15:10:00" u="1"/>
        <d v="1899-12-30T16:10:00" u="1"/>
        <d v="1899-12-30T17:10:00" u="1"/>
        <d v="1899-12-30T18:10:00" u="1"/>
        <d v="1899-12-30T19:10:00" u="1"/>
        <d v="1899-12-30T20:10:00" u="1"/>
        <d v="1899-12-30T21:10:00" u="1"/>
        <d v="1899-12-30T22:10:00" u="1"/>
        <d v="1899-12-30T23:10:00" u="1"/>
        <d v="1899-12-30T00:18:00" u="1"/>
        <d v="1899-12-30T01:18:00" u="1"/>
        <d v="1899-12-30T02:18:00" u="1"/>
        <d v="1899-12-30T05:18:00" u="1"/>
        <d v="1899-12-30T06:18:00" u="1"/>
        <d v="1899-12-30T10:18:00" u="1"/>
        <d v="1899-12-30T11:18:00" u="1"/>
        <d v="1899-12-30T12:18:00" u="1"/>
        <d v="1899-12-30T13:18:00" u="1"/>
        <d v="1899-12-30T14:18:00" u="1"/>
        <d v="1899-12-30T15:18:00" u="1"/>
        <d v="1899-12-30T16:18:00" u="1"/>
        <d v="1899-12-30T18:18:00" u="1"/>
        <d v="1899-12-30T22:18:00" u="1"/>
        <d v="1899-12-30T23:18:00" u="1"/>
        <d v="1899-12-30T00:26:00" u="1"/>
        <d v="1899-12-30T01:26:00" u="1"/>
        <d v="1899-12-30T02:26:00" u="1"/>
        <d v="1899-12-30T03:26:00" u="1"/>
        <d v="1899-12-30T04:26:00" u="1"/>
        <d v="1899-12-30T08:26:00" u="1"/>
        <d v="1899-12-30T09:26:00" u="1"/>
        <d v="1899-12-30T10:26:00" u="1"/>
        <d v="1899-12-30T11:26:00" u="1"/>
        <d v="1899-12-30T12:26:00" u="1"/>
        <d v="1899-12-30T14:26:00" u="1"/>
        <d v="1899-12-30T15:26:00" u="1"/>
        <d v="1899-12-30T16:26:00" u="1"/>
        <d v="1899-12-30T17:26:00" u="1"/>
        <d v="1899-12-30T18:26:00" u="1"/>
        <d v="1899-12-30T19:26:00" u="1"/>
        <d v="1899-12-30T20:26:00" u="1"/>
        <d v="1899-12-30T00:34:00" u="1"/>
        <d v="1899-12-30T01:34:00" u="1"/>
        <d v="1899-12-30T02:34:00" u="1"/>
        <d v="1899-12-30T03:34:00" u="1"/>
        <d v="1899-12-30T04:34:00" u="1"/>
        <d v="1899-12-30T06:34:00" u="1"/>
        <d v="1899-12-30T07:34:00" u="1"/>
        <d v="1899-12-30T12:34:00" u="1"/>
        <d v="1899-12-30T13:34:00" u="1"/>
        <d v="1899-12-30T14:34:00" u="1"/>
        <d v="1899-12-30T15:34:00" u="1"/>
        <d v="1899-12-30T19:34:00" u="1"/>
        <d v="1899-12-30T20:34:00" u="1"/>
        <d v="1899-12-30T22:34:00" u="1"/>
        <d v="1899-12-30T23:34:00" u="1"/>
        <d v="1899-12-30T01:42:00" u="1"/>
        <d v="1899-12-30T02:42:00" u="1"/>
        <d v="1899-12-30T03:42:00" u="1"/>
        <d v="1899-12-30T04:42:00" u="1"/>
        <d v="1899-12-30T05:42:00" u="1"/>
        <d v="1899-12-30T06:42:00" u="1"/>
        <d v="1899-12-30T07:42:00" u="1"/>
        <d v="1899-12-30T08:42:00" u="1"/>
        <d v="1899-12-30T09:42:00" u="1"/>
        <d v="1899-12-30T10:42:00" u="1"/>
        <d v="1899-12-30T11:42:00" u="1"/>
        <d v="1899-12-30T12:42:00" u="1"/>
        <d v="1899-12-30T13:42:00" u="1"/>
        <d v="1899-12-30T14:42:00" u="1"/>
        <d v="1899-12-30T16:42:00" u="1"/>
        <d v="1899-12-30T17:42:00" u="1"/>
        <d v="1899-12-30T18:42:00" u="1"/>
        <d v="1899-12-30T19:42:00" u="1"/>
        <d v="1899-12-30T20:42:00" u="1"/>
        <d v="1899-12-30T21:42:00" u="1"/>
        <d v="1899-12-30T22:42:00" u="1"/>
        <d v="1899-12-30T01:50:00" u="1"/>
        <d v="1899-12-30T02:50:00" u="1"/>
        <d v="1899-12-30T03:50:00" u="1"/>
        <d v="1899-12-30T04:50:00" u="1"/>
        <d v="1899-12-30T07:50:00" u="1"/>
        <d v="1899-12-30T08:50:00" u="1"/>
        <d v="1899-12-30T09:50:00" u="1"/>
        <d v="1899-12-30T10:50:00" u="1"/>
        <d v="1899-12-30T11:50:00" u="1"/>
        <d v="1899-12-30T12:50:00" u="1"/>
        <d v="1899-12-30T13:50:00" u="1"/>
        <d v="1899-12-30T17:50:00" u="1"/>
        <d v="1899-12-30T19:50:00" u="1"/>
        <d v="1899-12-30T20:50:00" u="1"/>
        <d v="1899-12-30T01:58:00" u="1"/>
        <d v="1899-12-30T02:58:00" u="1"/>
        <d v="1899-12-30T03:58:00" u="1"/>
        <d v="1899-12-30T04:58:00" u="1"/>
        <d v="1899-12-30T06:58:00" u="1"/>
        <d v="1899-12-30T07:58:00" u="1"/>
        <d v="1899-12-30T08:58:00" u="1"/>
        <d v="1899-12-30T09:58:00" u="1"/>
        <d v="1899-12-30T10:58:00" u="1"/>
        <d v="1899-12-30T11:58:00" u="1"/>
        <d v="1899-12-30T12:58:00" u="1"/>
        <d v="1899-12-30T14:58:00" u="1"/>
        <d v="1899-12-30T15:58:00" u="1"/>
        <d v="1899-12-30T16:58:00" u="1"/>
        <d v="1899-12-30T17:58:00" u="1"/>
        <d v="1899-12-30T18:58:00" u="1"/>
        <d v="1899-12-30T19:58:00" u="1"/>
        <d v="1899-12-30T20:58:00" u="1"/>
        <d v="1899-12-30T22:58:00" u="1"/>
        <d v="1899-12-30T01:03:00" u="1"/>
        <d v="1899-12-30T02:03:00" u="1"/>
        <d v="1899-12-30T03:03:00" u="1"/>
        <d v="1899-12-30T04:03:00" u="1"/>
        <d v="1899-12-30T06:03:00" u="1"/>
        <d v="1899-12-30T07:03:00" u="1"/>
        <d v="1899-12-30T08:03:00" u="1"/>
        <d v="1899-12-30T09:03:00" u="1"/>
        <d v="1899-12-30T10:03:00" u="1"/>
        <d v="1899-12-30T11:03:00" u="1"/>
        <d v="1899-12-30T12:03:00" u="1"/>
        <d v="1899-12-30T14:03:00" u="1"/>
        <d v="1899-12-30T15:03:00" u="1"/>
        <d v="1899-12-30T16:03:00" u="1"/>
        <d v="1899-12-30T17:03:00" u="1"/>
        <d v="1899-12-30T18:03:00" u="1"/>
        <d v="1899-12-30T19:03:00" u="1"/>
        <d v="1899-12-30T20:03:00" u="1"/>
        <d v="1899-12-30T22:03:00" u="1"/>
        <d v="1899-12-30T23:03:00" u="1"/>
        <d v="1899-12-30T00:11:00" u="1"/>
        <d v="1899-12-30T01:11:00" u="1"/>
        <d v="1899-12-30T02:11:00" u="1"/>
        <d v="1899-12-30T03:11:00" u="1"/>
        <d v="1899-12-30T04:11:00" u="1"/>
        <d v="1899-12-30T05:11:00" u="1"/>
        <d v="1899-12-30T08:11:00" u="1"/>
        <d v="1899-12-30T09:11:00" u="1"/>
        <d v="1899-12-30T10:11:00" u="1"/>
        <d v="1899-12-30T11:11:00" u="1"/>
        <d v="1899-12-30T12:11:00" u="1"/>
        <d v="1899-12-30T13:11:00" u="1"/>
        <d v="1899-12-30T14:11:00" u="1"/>
        <d v="1899-12-30T15:11:00" u="1"/>
        <d v="1899-12-30T18:11:00" u="1"/>
        <d v="1899-12-30T19:11:00" u="1"/>
        <d v="1899-12-30T20:11:00" u="1"/>
        <d v="1899-12-30T21:11:00" u="1"/>
        <d v="1899-12-30T23:11:00" u="1"/>
        <d v="1899-12-30T00:19:00" u="1"/>
        <d v="1899-12-30T01:19:00" u="1"/>
        <d v="1899-12-30T02:19:00" u="1"/>
        <d v="1899-12-30T03:19:00" u="1"/>
        <d v="1899-12-30T04:19:00" u="1"/>
        <d v="1899-12-30T07:19:00" u="1"/>
        <d v="1899-12-30T08:19:00" u="1"/>
        <d v="1899-12-30T09:19:00" u="1"/>
        <d v="1899-12-30T10:19:00" u="1"/>
        <d v="1899-12-30T11:19:00" u="1"/>
        <d v="1899-12-30T12:19:00" u="1"/>
        <d v="1899-12-30T14:19:00" u="1"/>
        <d v="1899-12-30T15:19:00" u="1"/>
        <d v="1899-12-30T16:19:00" u="1"/>
        <d v="1899-12-30T17:19:00" u="1"/>
        <d v="1899-12-30T18:19:00" u="1"/>
        <d v="1899-12-30T20:19:00" u="1"/>
        <d v="1899-12-30T23:19:00" u="1"/>
        <d v="1899-12-30T00:27:00" u="1"/>
        <d v="1899-12-30T01:27:00" u="1"/>
        <d v="1899-12-30T04:27:00" u="1"/>
        <d v="1899-12-30T05:27:00" u="1"/>
        <d v="1899-12-30T09:27:00" u="1"/>
        <d v="1899-12-30T10:27:00" u="1"/>
        <d v="1899-12-30T12:27:00" u="1"/>
        <d v="1899-12-30T13:27:00" u="1"/>
        <d v="1899-12-30T15:27:00" u="1"/>
        <d v="1899-12-30T16:27:00" u="1"/>
        <d v="1899-12-30T17:27:00" u="1"/>
        <d v="1899-12-30T20:27:00" u="1"/>
        <d v="1899-12-30T21:27:00" u="1"/>
        <d v="1899-12-30T22:27:00" u="1"/>
        <d v="1899-12-30T23:27:00" u="1"/>
        <d v="1899-12-30T00:35:00" u="1"/>
        <d v="1899-12-30T01:35:00" u="1"/>
        <d v="1899-12-30T02:35:00" u="1"/>
        <d v="1899-12-30T03:35:00" u="1"/>
        <d v="1899-12-30T05:35:00" u="1"/>
        <d v="1899-12-30T06:35:00" u="1"/>
        <d v="1899-12-30T08:35:00" u="1"/>
        <d v="1899-12-30T09:35:00" u="1"/>
        <d v="1899-12-30T10:35:00" u="1"/>
        <d v="1899-12-30T11:35:00" u="1"/>
        <d v="1899-12-30T12:35:00" u="1"/>
        <d v="1899-12-30T13:35:00" u="1"/>
        <d v="1899-12-30T14:35:00" u="1"/>
        <d v="1899-12-30T15:35:00" u="1"/>
        <d v="1899-12-30T16:35:00" u="1"/>
        <d v="1899-12-30T17:35:00" u="1"/>
        <d v="1899-12-30T18:35:00" u="1"/>
        <d v="1899-12-30T21:35:00" u="1"/>
        <d v="1899-12-30T22:35:00" u="1"/>
        <d v="1899-12-30T23:35:00" u="1"/>
        <d v="1899-12-30T01:43:00" u="1"/>
        <d v="1899-12-30T02:43:00" u="1"/>
        <d v="1899-12-30T03:43:00" u="1"/>
        <d v="1899-12-30T04:43:00" u="1"/>
        <d v="1899-12-30T05:43:00" u="1"/>
        <d v="1899-12-30T06:43:00" u="1"/>
        <d v="1899-12-30T09:43:00" u="1"/>
        <d v="1899-12-30T10:43:00" u="1"/>
        <d v="1899-12-30T11:43:00" u="1"/>
        <d v="1899-12-30T12:43:00" u="1"/>
        <d v="1899-12-30T13:43:00" u="1"/>
        <d v="1899-12-30T14:43:00" u="1"/>
        <d v="1899-12-30T15:43:00" u="1"/>
        <d v="1899-12-30T17:43:00" u="1"/>
        <d v="1899-12-30T18:43:00" u="1"/>
        <d v="1899-12-30T20:43:00" u="1"/>
        <d v="1899-12-30T21:43:00" u="1"/>
        <d v="1899-12-30T22:43:00" u="1"/>
        <d v="1899-12-30T23:43:00" u="1"/>
        <d v="1899-12-30T00:51:00" u="1"/>
        <d v="1899-12-30T01:51:00" u="1"/>
        <d v="1899-12-30T02:51:00" u="1"/>
        <d v="1899-12-30T03:51:00" u="1"/>
        <d v="1899-12-30T06:51:00" u="1"/>
        <d v="1899-12-30T07:51:00" u="1"/>
        <d v="1899-12-30T08:51:00" u="1"/>
        <d v="1899-12-30T09:51:00" u="1"/>
        <d v="1899-12-30T10:51:00" u="1"/>
        <d v="1899-12-30T11:51:00" u="1"/>
        <d v="1899-12-30T12:51:00" u="1"/>
        <d v="1899-12-30T13:51:00" u="1"/>
        <d v="1899-12-30T14:51:00" u="1"/>
        <d v="1899-12-30T15:51:00" u="1"/>
        <d v="1899-12-30T16:51:00" u="1"/>
        <d v="1899-12-30T17:51:00" u="1"/>
        <d v="1899-12-30T18:51:00" u="1"/>
        <d v="1899-12-30T19:51:00" u="1"/>
        <d v="1899-12-30T22:51:00" u="1"/>
        <d v="1899-12-30T23:51:00" u="1"/>
        <d v="1899-12-30T01:59:00" u="1"/>
        <d v="1899-12-30T02:59:00" u="1"/>
        <d v="1899-12-30T03:59:00" u="1"/>
        <d v="1899-12-30T04:59:00" u="1"/>
        <d v="1899-12-30T05:59:00" u="1"/>
        <d v="1899-12-30T07:59:00" u="1"/>
        <d v="1899-12-30T09:59:00" u="1"/>
        <d v="1899-12-30T10:59:00" u="1"/>
        <d v="1899-12-30T11:59:00" u="1"/>
        <d v="1899-12-30T12:59:00" u="1"/>
        <d v="1899-12-30T13:59:00" u="1"/>
        <d v="1899-12-30T14:59:00" u="1"/>
        <d v="1899-12-30T15:59:00" u="1"/>
        <d v="1899-12-30T17:59:00" u="1"/>
        <d v="1899-12-30T18:59:00" u="1"/>
        <d v="1899-12-30T19:59:00" u="1"/>
        <d v="1899-12-30T20:59:00" u="1"/>
        <d v="1899-12-30T21:59:00" u="1"/>
        <d v="1899-12-30T23:59:00" u="1"/>
        <d v="1899-12-30T00:04:00" u="1"/>
        <d v="1899-12-30T01:04:00" u="1"/>
        <d v="1899-12-30T02:04:00" u="1"/>
        <d v="1899-12-30T03:04:00" u="1"/>
        <d v="1899-12-30T04:04:00" u="1"/>
        <d v="1899-12-30T06:04:00" u="1"/>
        <d v="1899-12-30T07:04:00" u="1"/>
        <d v="1899-12-30T09:04:00" u="1"/>
        <d v="1899-12-30T10:04:00" u="1"/>
        <d v="1899-12-30T11:04:00" u="1"/>
        <d v="1899-12-30T12:04:00" u="1"/>
        <d v="1899-12-30T14:04:00" u="1"/>
        <d v="1899-12-30T15:04:00" u="1"/>
        <d v="1899-12-30T16:04:00" u="1"/>
        <d v="1899-12-30T17:04:00" u="1"/>
        <d v="1899-12-30T18:04:00" u="1"/>
        <d v="1899-12-30T19:04:00" u="1"/>
        <d v="1899-12-30T20:04:00" u="1"/>
        <d v="1899-12-30T22:04:00" u="1"/>
        <d v="1899-12-30T00:12:00" u="1"/>
        <d v="1899-12-30T01:12:00" u="1"/>
        <d v="1899-12-30T02:12:00" u="1"/>
        <d v="1899-12-30T03:12:00" u="1"/>
        <d v="1899-12-30T04:12:00" u="1"/>
        <d v="1899-12-30T05:12:00" u="1"/>
        <d v="1899-12-30T06:12:00" u="1"/>
        <d v="1899-12-30T07:12:00" u="1"/>
        <d v="1899-12-30T09:12:00" u="1"/>
        <d v="1899-12-30T11:12:00" u="1"/>
        <d v="1899-12-30T14:12:00" u="1"/>
        <d v="1899-12-30T15:12:00" u="1"/>
        <d v="1899-12-30T16:12:00" u="1"/>
        <d v="1899-12-30T17:12:00" u="1"/>
        <d v="1899-12-30T18:12:00" u="1"/>
        <d v="1899-12-30T20:12:00" u="1"/>
        <d v="1899-12-30T22:12:00" u="1"/>
        <d v="1899-12-30T23:12:00" u="1"/>
        <d v="1899-12-30T00:20:00" u="1"/>
        <d v="1899-12-30T03:20:00" u="1"/>
        <d v="1899-12-30T04:20:00" u="1"/>
        <d v="1899-12-30T05:20:00" u="1"/>
        <d v="1899-12-30T07:20:00" u="1"/>
        <d v="1899-12-30T08:20:00" u="1"/>
        <d v="1899-12-30T09:20:00" u="1"/>
        <d v="1899-12-30T10:20:00" u="1"/>
        <d v="1899-12-30T11:20:00" u="1"/>
        <d v="1899-12-30T12:20:00" u="1"/>
        <d v="1899-12-30T13:20:00" u="1"/>
        <d v="1899-12-30T16:20:00" u="1"/>
        <d v="1899-12-30T17:20:00" u="1"/>
        <d v="1899-12-30T18:20:00" u="1"/>
        <d v="1899-12-30T19:20:00" u="1"/>
        <d v="1899-12-30T20:20:00" u="1"/>
        <d v="1899-12-30T21:20:00" u="1"/>
        <d v="1899-12-30T22:20:00" u="1"/>
        <d v="1899-12-30T00:28:00" u="1"/>
        <d v="1899-12-30T01:28:00" u="1"/>
        <d v="1899-12-30T02:28:00" u="1"/>
        <d v="1899-12-30T03:28:00" u="1"/>
        <d v="1899-12-30T04:28:00" u="1"/>
        <d v="1899-12-30T05:28:00" u="1"/>
        <d v="1899-12-30T06:28:00" u="1"/>
        <d v="1899-12-30T07:28:00" u="1"/>
        <d v="1899-12-30T08:28:00" u="1"/>
        <d v="1899-12-30T09:28:00" u="1"/>
        <d v="1899-12-30T10:28:00" u="1"/>
        <d v="1899-12-30T11:28:00" u="1"/>
        <d v="1899-12-30T12:28:00" u="1"/>
        <d v="1899-12-30T13:28:00" u="1"/>
        <d v="1899-12-30T16:28:00" u="1"/>
        <d v="1899-12-30T18:28:00" u="1"/>
        <d v="1899-12-30T19:28:00" u="1"/>
        <d v="1899-12-30T20:28:00" u="1"/>
        <d v="1899-12-30T21:28:00" u="1"/>
        <d v="1899-12-30T22:28:00" u="1"/>
        <d v="1899-12-30T00:36:00" u="1"/>
        <d v="1899-12-30T01:36:00" u="1"/>
        <d v="1899-12-30T03:36:00" u="1"/>
        <d v="1899-12-30T04:36:00" u="1"/>
        <d v="1899-12-30T07:36:00" u="1"/>
        <d v="1899-12-30T10:36:00" u="1"/>
        <d v="1899-12-30T11:36:00" u="1"/>
        <d v="1899-12-30T12:36:00" u="1"/>
        <d v="1899-12-30T14:36:00" u="1"/>
        <d v="1899-12-30T16:36:00" u="1"/>
        <d v="1899-12-30T17:36:00" u="1"/>
        <d v="1899-12-30T18:36:00" u="1"/>
        <d v="1899-12-30T19:36:00" u="1"/>
        <d v="1899-12-30T20:36:00" u="1"/>
        <d v="1899-12-30T21:36:00" u="1"/>
        <d v="1899-12-30T22:36:00" u="1"/>
        <d v="1899-12-30T00:44:00" u="1"/>
        <d v="1899-12-30T01:44:00" u="1"/>
        <d v="1899-12-30T04:44:00" u="1"/>
        <d v="1899-12-30T05:44:00" u="1"/>
        <d v="1899-12-30T07:44:00" u="1"/>
        <d v="1899-12-30T08:44:00" u="1"/>
        <d v="1899-12-30T09:44:00" u="1"/>
        <d v="1899-12-30T10:44:00" u="1"/>
        <d v="1899-12-30T11:44:00" u="1"/>
        <d v="1899-12-30T12:44:00" u="1"/>
        <d v="1899-12-30T13:44:00" u="1"/>
        <d v="1899-12-30T15:44:00" u="1"/>
        <d v="1899-12-30T16:44:00" u="1"/>
        <d v="1899-12-30T17:44:00" u="1"/>
        <d v="1899-12-30T20:44:00" u="1"/>
        <d v="1899-12-30T21:44:00" u="1"/>
        <d v="1899-12-30T23:44:00" u="1"/>
        <d v="1899-12-30T01:52:00" u="1"/>
        <d v="1899-12-30T03:52:00" u="1"/>
        <d v="1899-12-30T04:52:00" u="1"/>
        <d v="1899-12-30T06:52:00" u="1"/>
        <d v="1899-12-30T07:52:00" u="1"/>
        <d v="1899-12-30T09:52:00" u="1"/>
        <d v="1899-12-30T10:52:00" u="1"/>
        <d v="1899-12-30T12:52:00" u="1"/>
        <d v="1899-12-30T14:52:00" u="1"/>
        <d v="1899-12-30T15:52:00" u="1"/>
        <d v="1899-12-30T16:52:00" u="1"/>
        <d v="1899-12-30T17:52:00" u="1"/>
        <d v="1899-12-30T19:52:00" u="1"/>
        <d v="1899-12-30T21:52:00" u="1"/>
        <d v="1899-12-30T22:52:00" u="1"/>
        <d v="1899-12-30T23:52:00" u="1"/>
        <d v="1899-12-30T00:05:00" u="1"/>
        <d v="1899-12-30T02:05:00" u="1"/>
        <d v="1899-12-30T03:05:00" u="1"/>
        <d v="1899-12-30T04:05:00" u="1"/>
        <d v="1899-12-30T08:05:00" u="1"/>
        <d v="1899-12-30T10:05:00" u="1"/>
        <d v="1899-12-30T11:05:00" u="1"/>
        <d v="1899-12-30T14:05:00" u="1"/>
        <d v="1899-12-30T15:05:00" u="1"/>
        <d v="1899-12-30T16:05:00" u="1"/>
        <d v="1899-12-30T18:05:00" u="1"/>
        <d v="1899-12-30T19:05:00" u="1"/>
        <d v="1899-12-30T20:05:00" u="1"/>
        <d v="1899-12-30T21:05:00" u="1"/>
        <d v="1899-12-30T23:05:00" u="1"/>
        <d v="1899-12-30T00:13:00" u="1"/>
        <d v="1899-12-30T01:13:00" u="1"/>
        <d v="1899-12-30T02:13:00" u="1"/>
        <d v="1899-12-30T04:13:00" u="1"/>
        <d v="1899-12-30T06:13:00" u="1"/>
        <d v="1899-12-30T08:13:00" u="1"/>
        <d v="1899-12-30T09:13:00" u="1"/>
        <d v="1899-12-30T11:13:00" u="1"/>
        <d v="1899-12-30T12:13:00" u="1"/>
        <d v="1899-12-30T13:13:00" u="1"/>
        <d v="1899-12-30T15:13:00" u="1"/>
        <d v="1899-12-30T16:13:00" u="1"/>
        <d v="1899-12-30T17:13:00" u="1"/>
        <d v="1899-12-30T18:13:00" u="1"/>
        <d v="1899-12-30T20:13:00" u="1"/>
        <d v="1899-12-30T22:13:00" u="1"/>
        <d v="1899-12-30T23:13:00" u="1"/>
        <d v="1899-12-30T03:21:00" u="1"/>
        <d v="1899-12-30T04:21:00" u="1"/>
        <d v="1899-12-30T06:21:00" u="1"/>
        <d v="1899-12-30T08:21:00" u="1"/>
        <d v="1899-12-30T10:21:00" u="1"/>
        <d v="1899-12-30T11:21:00" u="1"/>
        <d v="1899-12-30T12:21:00" u="1"/>
        <d v="1899-12-30T14:21:00" u="1"/>
        <d v="1899-12-30T15:21:00" u="1"/>
        <d v="1899-12-30T16:21:00" u="1"/>
        <d v="1899-12-30T19:21:00" u="1"/>
        <d v="1899-12-30T20:21:00" u="1"/>
        <d v="1899-12-30T21:21:00" u="1"/>
        <d v="1899-12-30T22:21:00" u="1"/>
        <d v="1899-12-30T23:21:00" u="1"/>
        <d v="1899-12-30T01:29:00" u="1"/>
        <d v="1899-12-30T02:29:00" u="1"/>
        <d v="1899-12-30T03:29:00" u="1"/>
        <d v="1899-12-30T04:29:00" u="1"/>
        <d v="1899-12-30T06:29:00" u="1"/>
        <d v="1899-12-30T07:29:00" u="1"/>
        <d v="1899-12-30T08:29:00" u="1"/>
        <d v="1899-12-30T09:29:00" u="1"/>
        <d v="1899-12-30T10:29:00" u="1"/>
        <d v="1899-12-30T11:29:00" u="1"/>
        <d v="1899-12-30T12:29:00" u="1"/>
        <d v="1899-12-30T14:29:00" u="1"/>
        <d v="1899-12-30T15:29:00" u="1"/>
        <d v="1899-12-30T16:29:00" u="1"/>
        <d v="1899-12-30T17:29:00" u="1"/>
        <d v="1899-12-30T18:29:00" u="1"/>
        <d v="1899-12-30T19:29:00" u="1"/>
        <d v="1899-12-30T20:29:00" u="1"/>
        <d v="1899-12-30T22:29:00" u="1"/>
        <d v="1899-12-30T23:29:00" u="1"/>
        <d v="1899-12-30T00:37:00" u="1"/>
        <d v="1899-12-30T01:37:00" u="1"/>
        <d v="1899-12-30T03:37:00" u="1"/>
        <d v="1899-12-30T04:37:00" u="1"/>
        <d v="1899-12-30T05:37:00" u="1"/>
        <d v="1899-12-30T06:37:00" u="1"/>
        <d v="1899-12-30T07:37:00" u="1"/>
        <d v="1899-12-30T09:37:00" u="1"/>
        <d v="1899-12-30T10:37:00" u="1"/>
        <d v="1899-12-30T11:37:00" u="1"/>
        <d v="1899-12-30T12:37:00" u="1"/>
        <d v="1899-12-30T14:37:00" u="1"/>
        <d v="1899-12-30T17:37:00" u="1"/>
        <d v="1899-12-30T19:37:00" u="1"/>
        <d v="1899-12-30T20:37:00" u="1"/>
        <d v="1899-12-30T21:37:00" u="1"/>
        <d v="1899-12-30T22:37:00" u="1"/>
        <d v="1899-12-30T01:45:00" u="1"/>
        <d v="1899-12-30T02:45:00" u="1"/>
        <d v="1899-12-30T03:45:00" u="1"/>
        <d v="1899-12-30T04:45:00" u="1"/>
        <d v="1899-12-30T05:45:00" u="1"/>
        <d v="1899-12-30T06:45:00" u="1"/>
        <d v="1899-12-30T07:45:00" u="1"/>
        <d v="1899-12-30T08:45:00" u="1"/>
        <d v="1899-12-30T09:45:00" u="1"/>
        <d v="1899-12-30T10:45:00" u="1"/>
        <d v="1899-12-30T11:45:00" u="1"/>
        <d v="1899-12-30T12:45:00" u="1"/>
        <d v="1899-12-30T14:45:00" u="1"/>
        <d v="1899-12-30T16:45:00" u="1"/>
        <d v="1899-12-30T17:45:00" u="1"/>
        <d v="1899-12-30T18:45:00" u="1"/>
        <d v="1899-12-30T19:45:00" u="1"/>
        <d v="1899-12-30T20:45:00" u="1"/>
        <d v="1899-12-30T21:45:00" u="1"/>
        <d v="1899-12-30T22:45:00" u="1"/>
        <d v="1899-12-30T01:53:00" u="1"/>
        <d v="1899-12-30T04:53:00" u="1"/>
        <d v="1899-12-30T05:53:00" u="1"/>
        <d v="1899-12-30T07:53:00" u="1"/>
        <d v="1899-12-30T08:53:00" u="1"/>
        <d v="1899-12-30T09:53:00" u="1"/>
        <d v="1899-12-30T10:53:00" u="1"/>
        <d v="1899-12-30T13:53:00" u="1"/>
        <d v="1899-12-30T15:53:00" u="1"/>
        <d v="1899-12-30T17:53:00" u="1"/>
        <d v="1899-12-30T18:53:00" u="1"/>
        <d v="1899-12-30T19:53:00" u="1"/>
        <d v="1899-12-30T20:53:00" u="1"/>
        <d v="1899-12-30T21:53:00" u="1"/>
        <d v="1899-12-30T23:53:00" u="1"/>
        <d v="1899-12-30T00:06:00" u="1"/>
        <d v="1899-12-30T01:06:00" u="1"/>
        <d v="1899-12-30T02:06:00" u="1"/>
        <d v="1899-12-30T03:06:00" u="1"/>
        <d v="1899-12-30T04:06:00" u="1"/>
        <d v="1899-12-30T05:06:00" u="1"/>
        <d v="1899-12-30T06:06:00" u="1"/>
        <d v="1899-12-30T07:06:00" u="1"/>
        <d v="1899-12-30T09:06:00" u="1"/>
        <d v="1899-12-30T11:06:00" u="1"/>
        <d v="1899-12-30T12:06:00" u="1"/>
        <d v="1899-12-30T13:06:00" u="1"/>
        <d v="1899-12-30T15:06:00" u="1"/>
        <d v="1899-12-30T16:06:00" u="1"/>
        <d v="1899-12-30T17:06:00" u="1"/>
        <d v="1899-12-30T18:06:00" u="1"/>
        <d v="1899-12-30T22:06:00" u="1"/>
        <d v="1899-12-30T23:06:00" u="1"/>
        <d v="1899-12-30T00:14:00" u="1"/>
        <d v="1899-12-30T02:14:00" u="1"/>
        <d v="1899-12-30T04:14:00" u="1"/>
        <d v="1899-12-30T05:14:00" u="1"/>
        <d v="1899-12-30T07:14:00" u="1"/>
        <d v="1899-12-30T09:14:00" u="1"/>
        <d v="1899-12-30T12:14:00" u="1"/>
        <d v="1899-12-30T13:14:00" u="1"/>
        <d v="1899-12-30T16:14:00" u="1"/>
        <d v="1899-12-30T17:14:00" u="1"/>
        <d v="1899-12-30T18:14:00" u="1"/>
        <d v="1899-12-30T20:14:00" u="1"/>
        <d v="1899-12-30T21:14:00" u="1"/>
        <d v="1899-12-30T22:14:00" u="1"/>
        <d v="1899-12-30T23:14:00" u="1"/>
        <d v="1899-12-30T00:22:00" u="1"/>
        <d v="1899-12-30T01:22:00" u="1"/>
        <d v="1899-12-30T02:22:00" u="1"/>
        <d v="1899-12-30T06:22:00" u="1"/>
        <d v="1899-12-30T08:22:00" u="1"/>
        <d v="1899-12-30T09:22:00" u="1"/>
        <d v="1899-12-30T10:22:00" u="1"/>
        <d v="1899-12-30T11:22:00" u="1"/>
        <d v="1899-12-30T12:22:00" u="1"/>
        <d v="1899-12-30T13:22:00" u="1"/>
        <d v="1899-12-30T15:22:00" u="1"/>
        <d v="1899-12-30T16:22:00" u="1"/>
        <d v="1899-12-30T17:22:00" u="1"/>
        <d v="1899-12-30T18:22:00" u="1"/>
        <d v="1899-12-30T22:22:00" u="1"/>
        <d v="1899-12-30T23:22:00" u="1"/>
        <d v="1899-12-30T00:30:00" u="1"/>
        <d v="1899-12-30T01:30:00" u="1"/>
        <d v="1899-12-30T04:30:00" u="1"/>
        <d v="1899-12-30T05:30:00" u="1"/>
        <d v="1899-12-30T09:30:00" u="1"/>
        <d v="1899-12-30T10:30:00" u="1"/>
        <d v="1899-12-30T12:30:00" u="1"/>
        <d v="1899-12-30T13:30:00" u="1"/>
        <d v="1899-12-30T15:30:00" u="1"/>
        <d v="1899-12-30T16:30:00" u="1"/>
        <d v="1899-12-30T17:30:00" u="1"/>
        <d v="1899-12-30T18:30:00" u="1"/>
        <d v="1899-12-30T19:30:00" u="1"/>
        <d v="1899-12-30T20:30:00" u="1"/>
        <d v="1899-12-30T21:30:00" u="1"/>
        <d v="1899-12-30T23:30:00" u="1"/>
        <d v="1899-12-30T00:38:00" u="1"/>
        <d v="1899-12-30T01:38:00" u="1"/>
        <d v="1899-12-30T02:38:00" u="1"/>
        <d v="1899-12-30T03:38:00" u="1"/>
        <d v="1899-12-30T04:38:00" u="1"/>
        <d v="1899-12-30T05:38:00" u="1"/>
        <d v="1899-12-30T07:38:00" u="1"/>
        <d v="1899-12-30T08:38:00" u="1"/>
        <d v="1899-12-30T10:38:00" u="1"/>
        <d v="1899-12-30T11:38:00" u="1"/>
        <d v="1899-12-30T12:38:00" u="1"/>
        <d v="1899-12-30T13:38:00" u="1"/>
        <d v="1899-12-30T15:38:00" u="1"/>
        <d v="1899-12-30T16:38:00" u="1"/>
        <d v="1899-12-30T17:38:00" u="1"/>
        <d v="1899-12-30T18:38:00" u="1"/>
        <d v="1899-12-30T19:38:00" u="1"/>
        <d v="1899-12-30T21:38:00" u="1"/>
        <d v="1899-12-30T23:38:00" u="1"/>
        <d v="1899-12-30T01:46:00" u="1"/>
        <d v="1899-12-30T03:46:00" u="1"/>
        <d v="1899-12-30T04:46:00" u="1"/>
        <d v="1899-12-30T06:46:00" u="1"/>
        <d v="1899-12-30T07:46:00" u="1"/>
        <d v="1899-12-30T09:46:00" u="1"/>
        <d v="1899-12-30T10:46:00" u="1"/>
        <d v="1899-12-30T11:46:00" u="1"/>
        <d v="1899-12-30T12:46:00" u="1"/>
        <d v="1899-12-30T15:46:00" u="1"/>
        <d v="1899-12-30T17:46:00" u="1"/>
        <d v="1899-12-30T18:46:00" u="1"/>
        <d v="1899-12-30T19:46:00" u="1"/>
        <d v="1899-12-30T21:46:00" u="1"/>
        <d v="1899-12-30T22:46:00" u="1"/>
        <d v="1899-12-30T23:46:00" u="1"/>
        <d v="1899-12-30T00:54:00" u="1"/>
        <d v="1899-12-30T01:54:00" u="1"/>
        <d v="1899-12-30T02:54:00" u="1"/>
        <d v="1899-12-30T03:54:00" u="1"/>
        <d v="1899-12-30T05:54:00" u="1"/>
        <d v="1899-12-30T06:54:00" u="1"/>
        <d v="1899-12-30T07:54:00" u="1"/>
        <d v="1899-12-30T08:54:00" u="1"/>
        <d v="1899-12-30T09:54:00" u="1"/>
        <d v="1899-12-30T10:54:00" u="1"/>
        <d v="1899-12-30T11:54:00" u="1"/>
        <d v="1899-12-30T13:54:00" u="1"/>
        <d v="1899-12-30T14:54:00" u="1"/>
        <d v="1899-12-30T15:54:00" u="1"/>
        <d v="1899-12-30T16:54:00" u="1"/>
        <d v="1899-12-30T17:54:00" u="1"/>
        <d v="1899-12-30T18:54:00" u="1"/>
        <d v="1899-12-30T19:54:00" u="1"/>
        <d v="1899-12-30T20:54:00" u="1"/>
        <d v="1899-12-30T22:54:00" u="1"/>
        <d v="1899-12-30T23:54:00" u="1"/>
        <d v="1899-12-30T00:07:00" u="1"/>
        <d v="1899-12-30T01:07:00" u="1"/>
        <d v="1899-12-30T02:07:00" u="1"/>
        <d v="1899-12-30T03:07:00" u="1"/>
        <d v="1899-12-30T04:07:00" u="1"/>
        <d v="1899-12-30T05:07:00" u="1"/>
        <d v="1899-12-30T07:07:00" u="1"/>
        <d v="1899-12-30T08:07:00" u="1"/>
        <d v="1899-12-30T09:07:00" u="1"/>
        <d v="1899-12-30T10:07:00" u="1"/>
        <d v="1899-12-30T11:07:00" u="1"/>
        <d v="1899-12-30T12:07:00" u="1"/>
        <d v="1899-12-30T13:07:00" u="1"/>
        <d v="1899-12-30T14:07:00" u="1"/>
        <d v="1899-12-30T15:07:00" u="1"/>
        <d v="1899-12-30T16:07:00" u="1"/>
        <d v="1899-12-30T17:07:00" u="1"/>
        <d v="1899-12-30T18:07:00" u="1"/>
        <d v="1899-12-30T19:07:00" u="1"/>
        <d v="1899-12-30T20:07:00" u="1"/>
        <d v="1899-12-30T21:07:00" u="1"/>
        <d v="1899-12-30T23:07:00" u="1"/>
        <d v="1899-12-30T00:15:00" u="1"/>
        <d v="1899-12-30T02:15:00" u="1"/>
        <d v="1899-12-30T03:15:00" u="1"/>
        <d v="1899-12-30T05:15:00" u="1"/>
        <d v="1899-12-30T06:15:00" u="1"/>
        <d v="1899-12-30T07:15:00" u="1"/>
        <d v="1899-12-30T08:15:00" u="1"/>
        <d v="1899-12-30T10:15:00" u="1"/>
        <d v="1899-12-30T11:15:00" u="1"/>
        <d v="1899-12-30T13:15:00" u="1"/>
        <d v="1899-12-30T14:15:00" u="1"/>
        <d v="1899-12-30T18:15:00" u="1"/>
        <d v="1899-12-30T21:15:00" u="1"/>
        <d v="1899-12-30T22:15:00" u="1"/>
        <d v="1899-12-30T00:23:00" u="1"/>
        <d v="1899-12-30T01:23:00" u="1"/>
        <d v="1899-12-30T02:23:00" u="1"/>
        <d v="1899-12-30T04:23:00" u="1"/>
        <d v="1899-12-30T05:23:00" u="1"/>
        <d v="1899-12-30T07:23:00" u="1"/>
        <d v="1899-12-30T08:23:00" u="1"/>
        <d v="1899-12-30T09:23:00" u="1"/>
        <d v="1899-12-30T10:23:00" u="1"/>
        <d v="1899-12-30T11:23:00" u="1"/>
        <d v="1899-12-30T12:23:00" u="1"/>
        <d v="1899-12-30T13:23:00" u="1"/>
        <d v="1899-12-30T15:23:00" u="1"/>
        <d v="1899-12-30T16:23:00" u="1"/>
        <d v="1899-12-30T17:23:00" u="1"/>
        <d v="1899-12-30T18:23:00" u="1"/>
        <d v="1899-12-30T20:23:00" u="1"/>
        <d v="1899-12-30T21:23:00" u="1"/>
        <d v="1899-12-30T00:31:00" u="1"/>
        <d v="1899-12-30T01:31:00" u="1"/>
        <d v="1899-12-30T02:31:00" u="1"/>
        <d v="1899-12-30T03:31:00" u="1"/>
        <d v="1899-12-30T04:31:00" u="1"/>
        <d v="1899-12-30T05:31:00" u="1"/>
        <d v="1899-12-30T06:31:00" u="1"/>
        <d v="1899-12-30T07:31:00" u="1"/>
        <d v="1899-12-30T08:31:00" u="1"/>
        <d v="1899-12-30T11:31:00" u="1"/>
        <d v="1899-12-30T13:31:00" u="1"/>
        <d v="1899-12-30T14:31:00" u="1"/>
        <d v="1899-12-30T15:31:00" u="1"/>
        <d v="1899-12-30T16:31:00" u="1"/>
        <d v="1899-12-30T17:31:00" u="1"/>
        <d v="1899-12-30T18:31:00" u="1"/>
        <d v="1899-12-30T19:31:00" u="1"/>
        <d v="1899-12-30T20:31:00" u="1"/>
        <d v="1899-12-30T21:31:00" u="1"/>
        <d v="1899-12-30T22:31:00" u="1"/>
        <d v="1899-12-30T23:31:00" u="1"/>
        <d v="1899-12-30T00:39:00" u="1"/>
        <d v="1899-12-30T01:39:00" u="1"/>
        <d v="1899-12-30T02:39:00" u="1"/>
        <d v="1899-12-30T03:39:00" u="1"/>
        <d v="1899-12-30T04:39:00" u="1"/>
        <d v="1899-12-30T05:39:00" u="1"/>
        <d v="1899-12-30T06:39:00" u="1"/>
        <d v="1899-12-30T07:39:00" u="1"/>
        <d v="1899-12-30T08:39:00" u="1"/>
        <d v="1899-12-30T09:39:00" u="1"/>
        <d v="1899-12-30T10:39:00" u="1"/>
        <d v="1899-12-30T11:39:00" u="1"/>
        <d v="1899-12-30T12:39:00" u="1"/>
        <d v="1899-12-30T13:39:00" u="1"/>
        <d v="1899-12-30T14:39:00" u="1"/>
        <d v="1899-12-30T16:39:00" u="1"/>
        <d v="1899-12-30T17:39:00" u="1"/>
        <d v="1899-12-30T18:39:00" u="1"/>
        <d v="1899-12-30T19:39:00" u="1"/>
        <d v="1899-12-30T20:39:00" u="1"/>
        <d v="1899-12-30T21:39:00" u="1"/>
        <d v="1899-12-30T22:39:00" u="1"/>
        <d v="1899-12-30T00:47:00" u="1"/>
        <d v="1899-12-30T01:47:00" u="1"/>
        <d v="1899-12-30T03:47:00" u="1"/>
        <d v="1899-12-30T04:47:00" u="1"/>
        <d v="1899-12-30T06:47:00" u="1"/>
        <d v="1899-12-30T08:47:00" u="1"/>
        <d v="1899-12-30T09:47:00" u="1"/>
        <d v="1899-12-30T10:47:00" u="1"/>
        <d v="1899-12-30T14:47:00" u="1"/>
        <d v="1899-12-30T15:47:00" u="1"/>
        <d v="1899-12-30T16:47:00" u="1"/>
        <d v="1899-12-30T17:47:00" u="1"/>
        <d v="1899-12-30T19:47:00" u="1"/>
        <d v="1899-12-30T20:47:00" u="1"/>
        <d v="1899-12-30T22:47:00" u="1"/>
        <d v="1899-12-30T23:47:00" u="1"/>
        <d v="1899-12-30T00:55:00" u="1"/>
        <d v="1899-12-30T01:55:00" u="1"/>
        <d v="1899-12-30T04:55:00" u="1"/>
        <d v="1899-12-30T06:55:00" u="1"/>
        <d v="1899-12-30T07:55:00" u="1"/>
        <d v="1899-12-30T08:55:00" u="1"/>
        <d v="1899-12-30T09:55:00" u="1"/>
        <d v="1899-12-30T10:55:00" u="1"/>
        <d v="1899-12-30T12:55:00" u="1"/>
        <d v="1899-12-30T14:55:00" u="1"/>
        <d v="1899-12-30T15:55:00" u="1"/>
        <d v="1899-12-30T17:55:00" u="1"/>
        <d v="1899-12-30T19:55:00" u="1"/>
        <d v="1899-12-30T20:55:00" u="1"/>
        <d v="1899-12-30T22:55:00" u="1"/>
        <d v="1899-12-30T23:55:00" u="1"/>
        <d v="1899-12-30T00:00:00" u="1"/>
        <d v="1899-12-30T01:00:00" u="1"/>
        <d v="1899-12-30T02:00:00" u="1"/>
        <d v="1899-12-30T03:00:00" u="1"/>
        <d v="1899-12-30T04:00:00" u="1"/>
        <d v="1899-12-30T05:00:00" u="1"/>
        <d v="1899-12-30T06:00:00" u="1"/>
        <d v="1899-12-30T08:00:00" u="1"/>
        <d v="1899-12-30T09:00:00" u="1"/>
        <d v="1899-12-30T10:00:00" u="1"/>
        <d v="1899-12-30T11:00:00" u="1"/>
        <d v="1899-12-30T12:00:00" u="1"/>
        <d v="1899-12-30T13:00:00" u="1"/>
        <d v="1899-12-30T14:00:00" u="1"/>
        <d v="1899-12-30T16:00:00" u="1"/>
        <d v="1899-12-30T17:00:00" u="1"/>
        <d v="1899-12-30T18:00:00" u="1"/>
        <d v="1899-12-30T20:00:00" u="1"/>
        <d v="1899-12-30T00:08:00" u="1"/>
        <d v="1899-12-30T02:08:00" u="1"/>
        <d v="1899-12-30T03:08:00" u="1"/>
        <d v="1899-12-30T04:08:00" u="1"/>
        <d v="1899-12-30T09:08:00" u="1"/>
        <d v="1899-12-30T11:08:00" u="1"/>
        <d v="1899-12-30T15:08:00" u="1"/>
        <d v="1899-12-30T16:08:00" u="1"/>
        <d v="1899-12-30T18:08:00" u="1"/>
        <d v="1899-12-30T19: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2">
  <r>
    <x v="0"/>
    <x v="0"/>
    <x v="0"/>
    <x v="0"/>
    <s v="Hora Real Fim"/>
    <x v="0"/>
    <s v="0.00138888888888889|2"/>
  </r>
  <r>
    <x v="0"/>
    <x v="0"/>
    <x v="1"/>
    <x v="1"/>
    <s v="Hora Real Inicio"/>
    <x v="1"/>
    <s v="0.00208333333333333|2"/>
  </r>
  <r>
    <x v="0"/>
    <x v="0"/>
    <x v="1"/>
    <x v="1"/>
    <s v="Hora Real Fim"/>
    <x v="1"/>
    <s v="0.00208333333333333|2"/>
  </r>
  <r>
    <x v="0"/>
    <x v="0"/>
    <x v="1"/>
    <x v="1"/>
    <s v="Hora Real Inicio"/>
    <x v="1"/>
    <s v="0.00208333333333333|2"/>
  </r>
  <r>
    <x v="1"/>
    <x v="0"/>
    <x v="2"/>
    <x v="2"/>
    <s v="Hora Real Fim"/>
    <x v="2"/>
    <s v="0.0111111111111111|3"/>
  </r>
  <r>
    <x v="1"/>
    <x v="0"/>
    <x v="2"/>
    <x v="2"/>
    <s v="Hora Real Inicio"/>
    <x v="2"/>
    <s v="0.0111111111111111|3"/>
  </r>
  <r>
    <x v="0"/>
    <x v="0"/>
    <x v="1"/>
    <x v="1"/>
    <s v="Hora Real Fim"/>
    <x v="3"/>
    <s v="0.0145833333333333|2"/>
  </r>
  <r>
    <x v="0"/>
    <x v="0"/>
    <x v="3"/>
    <x v="3"/>
    <s v="Hora Real Inicio"/>
    <x v="4"/>
    <s v="0.0166666666666667|2"/>
  </r>
  <r>
    <x v="0"/>
    <x v="0"/>
    <x v="3"/>
    <x v="3"/>
    <s v="Hora Real Fim"/>
    <x v="4"/>
    <s v="0.0166666666666667|2"/>
  </r>
  <r>
    <x v="0"/>
    <x v="0"/>
    <x v="2"/>
    <x v="2"/>
    <s v="Hora Real Inicio"/>
    <x v="5"/>
    <s v="0.0201388888888889|2"/>
  </r>
  <r>
    <x v="0"/>
    <x v="0"/>
    <x v="2"/>
    <x v="2"/>
    <s v="Hora Real Fim"/>
    <x v="5"/>
    <s v="0.0201388888888889|2"/>
  </r>
  <r>
    <x v="0"/>
    <x v="0"/>
    <x v="2"/>
    <x v="2"/>
    <s v="Hora Real Inicio"/>
    <x v="5"/>
    <s v="0.0201388888888889|2"/>
  </r>
  <r>
    <x v="0"/>
    <x v="0"/>
    <x v="2"/>
    <x v="2"/>
    <s v="Hora Real Fim"/>
    <x v="6"/>
    <s v="0.0291666666666667|2"/>
  </r>
  <r>
    <x v="1"/>
    <x v="0"/>
    <x v="2"/>
    <x v="2"/>
    <s v="Hora Real Fim"/>
    <x v="7"/>
    <s v="0.0298611111111111|3"/>
  </r>
  <r>
    <x v="0"/>
    <x v="0"/>
    <x v="4"/>
    <x v="4"/>
    <s v="Hora Real Inicio"/>
    <x v="8"/>
    <s v="0.03125|2"/>
  </r>
  <r>
    <x v="0"/>
    <x v="0"/>
    <x v="4"/>
    <x v="4"/>
    <s v="Hora Real Fim"/>
    <x v="8"/>
    <s v="0.03125|2"/>
  </r>
  <r>
    <x v="1"/>
    <x v="0"/>
    <x v="4"/>
    <x v="4"/>
    <s v="Hora Real Inicio"/>
    <x v="9"/>
    <s v="0.0319444444444444|3"/>
  </r>
  <r>
    <x v="1"/>
    <x v="0"/>
    <x v="4"/>
    <x v="4"/>
    <s v="Hora Real Fim"/>
    <x v="9"/>
    <s v="0.0319444444444444|3"/>
  </r>
  <r>
    <x v="0"/>
    <x v="0"/>
    <x v="5"/>
    <x v="5"/>
    <s v="Hora Real Inicio"/>
    <x v="10"/>
    <s v="0.0340277777777778|2"/>
  </r>
  <r>
    <x v="0"/>
    <x v="0"/>
    <x v="5"/>
    <x v="5"/>
    <s v="Hora Real Fim"/>
    <x v="10"/>
    <s v="0.0340277777777778|2"/>
  </r>
  <r>
    <x v="1"/>
    <x v="0"/>
    <x v="5"/>
    <x v="5"/>
    <s v="Hora Real Inicio"/>
    <x v="11"/>
    <s v="0.0347222222222222|3"/>
  </r>
  <r>
    <x v="1"/>
    <x v="0"/>
    <x v="5"/>
    <x v="5"/>
    <s v="Hora Real Fim"/>
    <x v="11"/>
    <s v="0.0347222222222222|3"/>
  </r>
  <r>
    <x v="0"/>
    <x v="0"/>
    <x v="6"/>
    <x v="6"/>
    <s v="Hora Real Inicio"/>
    <x v="12"/>
    <s v="0.0361111111111111|2"/>
  </r>
  <r>
    <x v="0"/>
    <x v="0"/>
    <x v="6"/>
    <x v="6"/>
    <s v="Hora Real Fim"/>
    <x v="12"/>
    <s v="0.0361111111111111|2"/>
  </r>
  <r>
    <x v="1"/>
    <x v="0"/>
    <x v="6"/>
    <x v="6"/>
    <s v="Hora Real Inicio"/>
    <x v="13"/>
    <s v="0.0368055555555556|3"/>
  </r>
  <r>
    <x v="1"/>
    <x v="0"/>
    <x v="6"/>
    <x v="6"/>
    <s v="Hora Real Fim"/>
    <x v="13"/>
    <s v="0.0368055555555556|3"/>
  </r>
  <r>
    <x v="0"/>
    <x v="0"/>
    <x v="7"/>
    <x v="7"/>
    <s v="Hora Real Inicio"/>
    <x v="14"/>
    <s v="0.0402777777777778|2"/>
  </r>
  <r>
    <x v="0"/>
    <x v="0"/>
    <x v="7"/>
    <x v="7"/>
    <s v="Hora Real Fim"/>
    <x v="14"/>
    <s v="0.0402777777777778|2"/>
  </r>
  <r>
    <x v="0"/>
    <x v="0"/>
    <x v="7"/>
    <x v="7"/>
    <s v="Hora Real Inicio"/>
    <x v="14"/>
    <s v="0.0402777777777778|2"/>
  </r>
  <r>
    <x v="1"/>
    <x v="0"/>
    <x v="7"/>
    <x v="7"/>
    <s v="Hora Real Inicio"/>
    <x v="15"/>
    <s v="0.0409722222222222|3"/>
  </r>
  <r>
    <x v="1"/>
    <x v="0"/>
    <x v="7"/>
    <x v="7"/>
    <s v="Hora Real Fim"/>
    <x v="15"/>
    <s v="0.0409722222222222|3"/>
  </r>
  <r>
    <x v="1"/>
    <x v="0"/>
    <x v="8"/>
    <x v="8"/>
    <s v="Hora Real Inicio"/>
    <x v="16"/>
    <s v="0.0451388888888889|3"/>
  </r>
  <r>
    <x v="1"/>
    <x v="0"/>
    <x v="8"/>
    <x v="8"/>
    <s v="Hora Real Fim"/>
    <x v="16"/>
    <s v="0.0451388888888889|3"/>
  </r>
  <r>
    <x v="1"/>
    <x v="0"/>
    <x v="8"/>
    <x v="8"/>
    <s v="Hora Real Inicio"/>
    <x v="16"/>
    <s v="0.0451388888888889|3"/>
  </r>
  <r>
    <x v="1"/>
    <x v="0"/>
    <x v="8"/>
    <x v="8"/>
    <s v="Hora Real Fim"/>
    <x v="16"/>
    <s v="0.0451388888888889|3"/>
  </r>
  <r>
    <x v="1"/>
    <x v="0"/>
    <x v="8"/>
    <x v="8"/>
    <s v="Hora Real Inicio"/>
    <x v="16"/>
    <s v="0.0451388888888889|3"/>
  </r>
  <r>
    <x v="0"/>
    <x v="0"/>
    <x v="7"/>
    <x v="7"/>
    <s v="Hora Real Fim"/>
    <x v="17"/>
    <s v="0.0472222222222222|2"/>
  </r>
  <r>
    <x v="0"/>
    <x v="0"/>
    <x v="8"/>
    <x v="8"/>
    <s v="Hora Real Inicio"/>
    <x v="18"/>
    <s v="0.0513888888888889|2"/>
  </r>
  <r>
    <x v="0"/>
    <x v="0"/>
    <x v="8"/>
    <x v="8"/>
    <s v="Hora Real Fim"/>
    <x v="18"/>
    <s v="0.0513888888888889|2"/>
  </r>
  <r>
    <x v="0"/>
    <x v="0"/>
    <x v="8"/>
    <x v="8"/>
    <s v="Hora Real Inicio"/>
    <x v="18"/>
    <s v="0.0513888888888889|2"/>
  </r>
  <r>
    <x v="0"/>
    <x v="0"/>
    <x v="8"/>
    <x v="8"/>
    <s v="Hora Real Fim"/>
    <x v="18"/>
    <s v="0.0513888888888889|2"/>
  </r>
  <r>
    <x v="1"/>
    <x v="0"/>
    <x v="8"/>
    <x v="8"/>
    <s v="Hora Real Fim"/>
    <x v="19"/>
    <s v="0.0520833333333333|3"/>
  </r>
  <r>
    <x v="0"/>
    <x v="0"/>
    <x v="7"/>
    <x v="7"/>
    <s v="Hora Real Inicio"/>
    <x v="20"/>
    <s v="0.0555555555555556|2"/>
  </r>
  <r>
    <x v="0"/>
    <x v="0"/>
    <x v="7"/>
    <x v="7"/>
    <s v="Hora Real Fim"/>
    <x v="20"/>
    <s v="0.0555555555555556|2"/>
  </r>
  <r>
    <x v="0"/>
    <x v="0"/>
    <x v="7"/>
    <x v="7"/>
    <s v="Hora Real Inicio"/>
    <x v="20"/>
    <s v="0.0555555555555556|2"/>
  </r>
  <r>
    <x v="1"/>
    <x v="0"/>
    <x v="7"/>
    <x v="7"/>
    <s v="Hora Real Inicio"/>
    <x v="21"/>
    <s v="0.05625|3"/>
  </r>
  <r>
    <x v="1"/>
    <x v="0"/>
    <x v="7"/>
    <x v="7"/>
    <s v="Hora Real Fim"/>
    <x v="21"/>
    <s v="0.05625|3"/>
  </r>
  <r>
    <x v="1"/>
    <x v="0"/>
    <x v="7"/>
    <x v="7"/>
    <s v="Hora Real Inicio"/>
    <x v="21"/>
    <s v="0.05625|3"/>
  </r>
  <r>
    <x v="0"/>
    <x v="0"/>
    <x v="7"/>
    <x v="7"/>
    <s v="Hora Real Fim"/>
    <x v="22"/>
    <s v="0.0972222222222222|2"/>
  </r>
  <r>
    <x v="0"/>
    <x v="0"/>
    <x v="7"/>
    <x v="7"/>
    <s v="Hora Real Inicio"/>
    <x v="22"/>
    <s v="0.0972222222222222|2"/>
  </r>
  <r>
    <x v="1"/>
    <x v="0"/>
    <x v="7"/>
    <x v="7"/>
    <s v="Hora Real Fim"/>
    <x v="23"/>
    <s v="0.0979166666666667|3"/>
  </r>
  <r>
    <x v="1"/>
    <x v="0"/>
    <x v="6"/>
    <x v="6"/>
    <s v="Hora Real Inicio"/>
    <x v="24"/>
    <s v="0.102083333333333|3"/>
  </r>
  <r>
    <x v="1"/>
    <x v="0"/>
    <x v="6"/>
    <x v="6"/>
    <s v="Hora Real Fim"/>
    <x v="24"/>
    <s v="0.102083333333333|3"/>
  </r>
  <r>
    <x v="1"/>
    <x v="0"/>
    <x v="6"/>
    <x v="6"/>
    <s v="Hora Real Inicio"/>
    <x v="24"/>
    <s v="0.102083333333333|3"/>
  </r>
  <r>
    <x v="0"/>
    <x v="0"/>
    <x v="7"/>
    <x v="7"/>
    <s v="Hora Real Fim"/>
    <x v="25"/>
    <s v="0.104166666666667|2"/>
  </r>
  <r>
    <x v="0"/>
    <x v="0"/>
    <x v="6"/>
    <x v="6"/>
    <s v="Hora Real Inicio"/>
    <x v="26"/>
    <s v="0.108333333333333|2"/>
  </r>
  <r>
    <x v="0"/>
    <x v="0"/>
    <x v="6"/>
    <x v="6"/>
    <s v="Hora Real Fim"/>
    <x v="26"/>
    <s v="0.108333333333333|2"/>
  </r>
  <r>
    <x v="0"/>
    <x v="0"/>
    <x v="6"/>
    <x v="6"/>
    <s v="Hora Real Inicio"/>
    <x v="26"/>
    <s v="0.108333333333333|2"/>
  </r>
  <r>
    <x v="1"/>
    <x v="0"/>
    <x v="6"/>
    <x v="6"/>
    <s v="Hora Real Fim"/>
    <x v="27"/>
    <s v="0.109027777777778|3"/>
  </r>
  <r>
    <x v="1"/>
    <x v="0"/>
    <x v="5"/>
    <x v="5"/>
    <s v="Hora Real Inicio"/>
    <x v="28"/>
    <s v="0.111111111111111|3"/>
  </r>
  <r>
    <x v="1"/>
    <x v="0"/>
    <x v="5"/>
    <x v="5"/>
    <s v="Hora Real Fim"/>
    <x v="28"/>
    <s v="0.111111111111111|3"/>
  </r>
  <r>
    <x v="1"/>
    <x v="0"/>
    <x v="4"/>
    <x v="4"/>
    <s v="Hora Real Inicio"/>
    <x v="29"/>
    <s v="0.113888888888889|3"/>
  </r>
  <r>
    <x v="1"/>
    <x v="0"/>
    <x v="4"/>
    <x v="4"/>
    <s v="Hora Real Fim"/>
    <x v="29"/>
    <s v="0.113888888888889|3"/>
  </r>
  <r>
    <x v="0"/>
    <x v="0"/>
    <x v="6"/>
    <x v="6"/>
    <s v="Hora Real Fim"/>
    <x v="30"/>
    <s v="0.115277777777778|2"/>
  </r>
  <r>
    <x v="1"/>
    <x v="0"/>
    <x v="2"/>
    <x v="2"/>
    <s v="Hora Real Inicio"/>
    <x v="31"/>
    <s v="0.115972222222222|3"/>
  </r>
  <r>
    <x v="1"/>
    <x v="0"/>
    <x v="2"/>
    <x v="2"/>
    <s v="Hora Real Fim"/>
    <x v="31"/>
    <s v="0.115972222222222|3"/>
  </r>
  <r>
    <x v="0"/>
    <x v="0"/>
    <x v="5"/>
    <x v="5"/>
    <s v="Hora Real Inicio"/>
    <x v="32"/>
    <s v="0.117361111111111|2"/>
  </r>
  <r>
    <x v="0"/>
    <x v="0"/>
    <x v="5"/>
    <x v="5"/>
    <s v="Hora Real Fim"/>
    <x v="32"/>
    <s v="0.117361111111111|2"/>
  </r>
  <r>
    <x v="1"/>
    <x v="0"/>
    <x v="3"/>
    <x v="3"/>
    <s v="Hora Real Inicio"/>
    <x v="33"/>
    <s v="0.119444444444444|3"/>
  </r>
  <r>
    <x v="1"/>
    <x v="0"/>
    <x v="3"/>
    <x v="3"/>
    <s v="Hora Real Fim"/>
    <x v="33"/>
    <s v="0.119444444444444|3"/>
  </r>
  <r>
    <x v="0"/>
    <x v="0"/>
    <x v="4"/>
    <x v="4"/>
    <s v="Hora Real Inicio"/>
    <x v="34"/>
    <s v="0.120138888888889|2"/>
  </r>
  <r>
    <x v="0"/>
    <x v="0"/>
    <x v="4"/>
    <x v="4"/>
    <s v="Hora Real Fim"/>
    <x v="34"/>
    <s v="0.120138888888889|2"/>
  </r>
  <r>
    <x v="1"/>
    <x v="0"/>
    <x v="1"/>
    <x v="1"/>
    <s v="Hora Real Inicio"/>
    <x v="35"/>
    <s v="0.121527777777778|3"/>
  </r>
  <r>
    <x v="1"/>
    <x v="0"/>
    <x v="1"/>
    <x v="1"/>
    <s v="Hora Real Fim"/>
    <x v="35"/>
    <s v="0.121527777777778|3"/>
  </r>
  <r>
    <x v="1"/>
    <x v="0"/>
    <x v="1"/>
    <x v="1"/>
    <s v="Hora Real Inicio"/>
    <x v="35"/>
    <s v="0.121527777777778|3"/>
  </r>
  <r>
    <x v="0"/>
    <x v="0"/>
    <x v="2"/>
    <x v="2"/>
    <s v="Hora Real Inicio"/>
    <x v="36"/>
    <s v="0.122222222222222|2"/>
  </r>
  <r>
    <x v="0"/>
    <x v="0"/>
    <x v="2"/>
    <x v="2"/>
    <s v="Hora Real Fim"/>
    <x v="36"/>
    <s v="0.122222222222222|2"/>
  </r>
  <r>
    <x v="0"/>
    <x v="0"/>
    <x v="2"/>
    <x v="2"/>
    <s v="Hora Real Inicio"/>
    <x v="36"/>
    <s v="0.122222222222222|2"/>
  </r>
  <r>
    <x v="0"/>
    <x v="0"/>
    <x v="2"/>
    <x v="2"/>
    <s v="Hora Real Fim"/>
    <x v="37"/>
    <s v="0.13125|2"/>
  </r>
  <r>
    <x v="1"/>
    <x v="0"/>
    <x v="1"/>
    <x v="1"/>
    <s v="Hora Real Fim"/>
    <x v="38"/>
    <s v="0.134027777777778|3"/>
  </r>
  <r>
    <x v="0"/>
    <x v="0"/>
    <x v="3"/>
    <x v="3"/>
    <s v="Hora Real Inicio"/>
    <x v="39"/>
    <s v="0.134722222222222|2"/>
  </r>
  <r>
    <x v="0"/>
    <x v="0"/>
    <x v="3"/>
    <x v="3"/>
    <s v="Hora Real Fim"/>
    <x v="39"/>
    <s v="0.134722222222222|2"/>
  </r>
  <r>
    <x v="0"/>
    <x v="0"/>
    <x v="3"/>
    <x v="3"/>
    <s v="Hora Real Inicio"/>
    <x v="39"/>
    <s v="0.134722222222222|2"/>
  </r>
  <r>
    <x v="1"/>
    <x v="0"/>
    <x v="0"/>
    <x v="0"/>
    <s v="Hora Real Inicio"/>
    <x v="39"/>
    <s v="0.134722222222222|3"/>
  </r>
  <r>
    <x v="1"/>
    <x v="0"/>
    <x v="0"/>
    <x v="0"/>
    <s v="Hora Real Fim"/>
    <x v="39"/>
    <s v="0.134722222222222|3"/>
  </r>
  <r>
    <x v="1"/>
    <x v="0"/>
    <x v="9"/>
    <x v="9"/>
    <s v="Hora Real Inicio"/>
    <x v="40"/>
    <s v="0.136111111111111|3"/>
  </r>
  <r>
    <x v="1"/>
    <x v="0"/>
    <x v="9"/>
    <x v="9"/>
    <s v="Hora Real Fim"/>
    <x v="40"/>
    <s v="0.136111111111111|3"/>
  </r>
  <r>
    <x v="1"/>
    <x v="0"/>
    <x v="9"/>
    <x v="9"/>
    <s v="Hora Real Inicio"/>
    <x v="40"/>
    <s v="0.136111111111111|3"/>
  </r>
  <r>
    <x v="1"/>
    <x v="0"/>
    <x v="9"/>
    <x v="9"/>
    <s v="Hora Real Fim"/>
    <x v="40"/>
    <s v="0.136111111111111|3"/>
  </r>
  <r>
    <x v="1"/>
    <x v="0"/>
    <x v="0"/>
    <x v="0"/>
    <s v="Hora Real Inicio"/>
    <x v="41"/>
    <s v="0.1375|3"/>
  </r>
  <r>
    <x v="1"/>
    <x v="0"/>
    <x v="0"/>
    <x v="0"/>
    <s v="Hora Real Fim"/>
    <x v="41"/>
    <s v="0.1375|3"/>
  </r>
  <r>
    <x v="1"/>
    <x v="0"/>
    <x v="0"/>
    <x v="0"/>
    <s v="Hora Real Inicio"/>
    <x v="41"/>
    <s v="0.1375|3"/>
  </r>
  <r>
    <x v="1"/>
    <x v="0"/>
    <x v="0"/>
    <x v="0"/>
    <s v="Hora Real Fim"/>
    <x v="42"/>
    <s v="0.140277777777778|3"/>
  </r>
  <r>
    <x v="1"/>
    <x v="0"/>
    <x v="1"/>
    <x v="1"/>
    <s v="Hora Real Inicio"/>
    <x v="43"/>
    <s v="0.140972222222222|3"/>
  </r>
  <r>
    <x v="1"/>
    <x v="0"/>
    <x v="1"/>
    <x v="1"/>
    <s v="Hora Real Fim"/>
    <x v="43"/>
    <s v="0.140972222222222|3"/>
  </r>
  <r>
    <x v="1"/>
    <x v="0"/>
    <x v="1"/>
    <x v="1"/>
    <s v="Hora Real Inicio"/>
    <x v="43"/>
    <s v="0.140972222222222|3"/>
  </r>
  <r>
    <x v="0"/>
    <x v="0"/>
    <x v="3"/>
    <x v="3"/>
    <s v="Hora Real Fim"/>
    <x v="44"/>
    <s v="0.14375|2"/>
  </r>
  <r>
    <x v="0"/>
    <x v="0"/>
    <x v="1"/>
    <x v="1"/>
    <s v="Hora Real Inicio"/>
    <x v="45"/>
    <s v="0.145833333333333|2"/>
  </r>
  <r>
    <x v="0"/>
    <x v="0"/>
    <x v="1"/>
    <x v="1"/>
    <s v="Hora Real Fim"/>
    <x v="45"/>
    <s v="0.145833333333333|2"/>
  </r>
  <r>
    <x v="0"/>
    <x v="0"/>
    <x v="1"/>
    <x v="1"/>
    <s v="Hora Real Inicio"/>
    <x v="45"/>
    <s v="0.145833333333333|2"/>
  </r>
  <r>
    <x v="1"/>
    <x v="0"/>
    <x v="1"/>
    <x v="1"/>
    <s v="Hora Real Fim"/>
    <x v="46"/>
    <s v="0.153472222222222|3"/>
  </r>
  <r>
    <x v="1"/>
    <x v="0"/>
    <x v="3"/>
    <x v="3"/>
    <s v="Hora Real Inicio"/>
    <x v="47"/>
    <s v="0.155555555555556|3"/>
  </r>
  <r>
    <x v="1"/>
    <x v="0"/>
    <x v="3"/>
    <x v="3"/>
    <s v="Hora Real Fim"/>
    <x v="47"/>
    <s v="0.155555555555556|3"/>
  </r>
  <r>
    <x v="1"/>
    <x v="0"/>
    <x v="3"/>
    <x v="3"/>
    <s v="Hora Real Inicio"/>
    <x v="47"/>
    <s v="0.155555555555556|3"/>
  </r>
  <r>
    <x v="0"/>
    <x v="0"/>
    <x v="1"/>
    <x v="1"/>
    <s v="Hora Real Fim"/>
    <x v="48"/>
    <s v="0.158333333333333|2"/>
  </r>
  <r>
    <x v="0"/>
    <x v="0"/>
    <x v="0"/>
    <x v="0"/>
    <s v="Hora Real Inicio"/>
    <x v="49"/>
    <s v="0.159027777777778|2"/>
  </r>
  <r>
    <x v="0"/>
    <x v="0"/>
    <x v="0"/>
    <x v="0"/>
    <s v="Hora Real Fim"/>
    <x v="49"/>
    <s v="0.159027777777778|2"/>
  </r>
  <r>
    <x v="0"/>
    <x v="0"/>
    <x v="0"/>
    <x v="0"/>
    <s v="Hora Real Inicio"/>
    <x v="49"/>
    <s v="0.159027777777778|2"/>
  </r>
  <r>
    <x v="0"/>
    <x v="0"/>
    <x v="0"/>
    <x v="0"/>
    <s v="Hora Real Fim"/>
    <x v="50"/>
    <s v="0.161805555555556|2"/>
  </r>
  <r>
    <x v="0"/>
    <x v="0"/>
    <x v="9"/>
    <x v="9"/>
    <s v="Hora Real Inicio"/>
    <x v="51"/>
    <s v="0.163194444444444|2"/>
  </r>
  <r>
    <x v="0"/>
    <x v="0"/>
    <x v="9"/>
    <x v="9"/>
    <s v="Hora Real Fim"/>
    <x v="51"/>
    <s v="0.163194444444444|2"/>
  </r>
  <r>
    <x v="0"/>
    <x v="0"/>
    <x v="9"/>
    <x v="9"/>
    <s v="Hora Real Inicio"/>
    <x v="51"/>
    <s v="0.163194444444444|2"/>
  </r>
  <r>
    <x v="1"/>
    <x v="0"/>
    <x v="3"/>
    <x v="3"/>
    <s v="Hora Real Fim"/>
    <x v="52"/>
    <s v="0.164583333333333|3"/>
  </r>
  <r>
    <x v="1"/>
    <x v="0"/>
    <x v="2"/>
    <x v="2"/>
    <s v="Hora Real Inicio"/>
    <x v="53"/>
    <s v="0.168055555555556|3"/>
  </r>
  <r>
    <x v="1"/>
    <x v="0"/>
    <x v="2"/>
    <x v="2"/>
    <s v="Hora Real Fim"/>
    <x v="53"/>
    <s v="0.168055555555556|3"/>
  </r>
  <r>
    <x v="1"/>
    <x v="0"/>
    <x v="2"/>
    <x v="2"/>
    <s v="Hora Real Inicio"/>
    <x v="53"/>
    <s v="0.168055555555556|3"/>
  </r>
  <r>
    <x v="1"/>
    <x v="0"/>
    <x v="2"/>
    <x v="2"/>
    <s v="Hora Real Fim"/>
    <x v="54"/>
    <s v="0.177083333333333|3"/>
  </r>
  <r>
    <x v="1"/>
    <x v="0"/>
    <x v="4"/>
    <x v="4"/>
    <s v="Hora Real Inicio"/>
    <x v="55"/>
    <s v="0.179166666666667|3"/>
  </r>
  <r>
    <x v="1"/>
    <x v="0"/>
    <x v="4"/>
    <x v="4"/>
    <s v="Hora Real Fim"/>
    <x v="55"/>
    <s v="0.179166666666667|3"/>
  </r>
  <r>
    <x v="1"/>
    <x v="0"/>
    <x v="5"/>
    <x v="5"/>
    <s v="Hora Real Inicio"/>
    <x v="56"/>
    <s v="0.181944444444444|3"/>
  </r>
  <r>
    <x v="1"/>
    <x v="0"/>
    <x v="5"/>
    <x v="5"/>
    <s v="Hora Real Fim"/>
    <x v="56"/>
    <s v="0.181944444444444|3"/>
  </r>
  <r>
    <x v="0"/>
    <x v="0"/>
    <x v="9"/>
    <x v="9"/>
    <s v="Hora Real Fim"/>
    <x v="57"/>
    <s v="0.183333333333333|2"/>
  </r>
  <r>
    <x v="0"/>
    <x v="0"/>
    <x v="9"/>
    <x v="9"/>
    <s v="Hora Real Inicio"/>
    <x v="57"/>
    <s v="0.183333333333333|2"/>
  </r>
  <r>
    <x v="1"/>
    <x v="0"/>
    <x v="6"/>
    <x v="6"/>
    <s v="Hora Real Inicio"/>
    <x v="58"/>
    <s v="0.184027777777778|3"/>
  </r>
  <r>
    <x v="1"/>
    <x v="0"/>
    <x v="6"/>
    <x v="6"/>
    <s v="Hora Real Fim"/>
    <x v="58"/>
    <s v="0.184027777777778|3"/>
  </r>
  <r>
    <x v="1"/>
    <x v="0"/>
    <x v="6"/>
    <x v="6"/>
    <s v="Hora Real Inicio"/>
    <x v="58"/>
    <s v="0.184027777777778|3"/>
  </r>
  <r>
    <x v="1"/>
    <x v="0"/>
    <x v="6"/>
    <x v="6"/>
    <s v="Hora Real Fim"/>
    <x v="59"/>
    <s v="0.190972222222222|3"/>
  </r>
  <r>
    <x v="1"/>
    <x v="0"/>
    <x v="7"/>
    <x v="7"/>
    <s v="Hora Real Inicio"/>
    <x v="60"/>
    <s v="0.195138888888889|3"/>
  </r>
  <r>
    <x v="1"/>
    <x v="0"/>
    <x v="7"/>
    <x v="7"/>
    <s v="Hora Real Fim"/>
    <x v="60"/>
    <s v="0.195138888888889|3"/>
  </r>
  <r>
    <x v="1"/>
    <x v="0"/>
    <x v="7"/>
    <x v="7"/>
    <s v="Hora Real Inicio"/>
    <x v="60"/>
    <s v="0.195138888888889|3"/>
  </r>
  <r>
    <x v="1"/>
    <x v="0"/>
    <x v="7"/>
    <x v="7"/>
    <s v="Hora Real Fim"/>
    <x v="61"/>
    <s v="0.202083333333333|3"/>
  </r>
  <r>
    <x v="0"/>
    <x v="0"/>
    <x v="9"/>
    <x v="9"/>
    <s v="Hora Real Fim"/>
    <x v="62"/>
    <s v="0.204166666666667|2"/>
  </r>
  <r>
    <x v="0"/>
    <x v="0"/>
    <x v="9"/>
    <x v="9"/>
    <s v="Hora Real Inicio"/>
    <x v="62"/>
    <s v="0.204166666666667|2"/>
  </r>
  <r>
    <x v="0"/>
    <x v="0"/>
    <x v="9"/>
    <x v="9"/>
    <s v="Hora Real Fim"/>
    <x v="62"/>
    <s v="0.204166666666667|2"/>
  </r>
  <r>
    <x v="0"/>
    <x v="0"/>
    <x v="9"/>
    <x v="9"/>
    <s v="Hora Real Inicio"/>
    <x v="62"/>
    <s v="0.204166666666667|2"/>
  </r>
  <r>
    <x v="1"/>
    <x v="0"/>
    <x v="8"/>
    <x v="8"/>
    <s v="Hora Real Inicio"/>
    <x v="63"/>
    <s v="0.20625|3"/>
  </r>
  <r>
    <x v="1"/>
    <x v="0"/>
    <x v="8"/>
    <x v="8"/>
    <s v="Hora Real Fim"/>
    <x v="63"/>
    <s v="0.20625|3"/>
  </r>
  <r>
    <x v="1"/>
    <x v="0"/>
    <x v="8"/>
    <x v="8"/>
    <s v="Hora Real Inicio"/>
    <x v="63"/>
    <s v="0.20625|3"/>
  </r>
  <r>
    <x v="1"/>
    <x v="0"/>
    <x v="8"/>
    <x v="8"/>
    <s v="Hora Real Fim"/>
    <x v="63"/>
    <s v="0.20625|3"/>
  </r>
  <r>
    <x v="0"/>
    <x v="0"/>
    <x v="9"/>
    <x v="9"/>
    <s v="Hora Real Fim"/>
    <x v="64"/>
    <s v="0.209722222222222|2"/>
  </r>
  <r>
    <x v="1"/>
    <x v="0"/>
    <x v="7"/>
    <x v="7"/>
    <s v="Hora Real Inicio"/>
    <x v="65"/>
    <s v="0.210416666666667|3"/>
  </r>
  <r>
    <x v="1"/>
    <x v="0"/>
    <x v="7"/>
    <x v="7"/>
    <s v="Hora Real Fim"/>
    <x v="65"/>
    <s v="0.210416666666667|3"/>
  </r>
  <r>
    <x v="1"/>
    <x v="0"/>
    <x v="7"/>
    <x v="7"/>
    <s v="Hora Real Inicio"/>
    <x v="65"/>
    <s v="0.210416666666667|3"/>
  </r>
  <r>
    <x v="0"/>
    <x v="0"/>
    <x v="0"/>
    <x v="0"/>
    <s v="Hora Real Inicio"/>
    <x v="66"/>
    <s v="0.211111111111111|2"/>
  </r>
  <r>
    <x v="0"/>
    <x v="0"/>
    <x v="0"/>
    <x v="0"/>
    <s v="Hora Real Fim"/>
    <x v="66"/>
    <s v="0.211111111111111|2"/>
  </r>
  <r>
    <x v="0"/>
    <x v="0"/>
    <x v="1"/>
    <x v="1"/>
    <s v="Hora Real Inicio"/>
    <x v="67"/>
    <s v="0.211805555555556|2"/>
  </r>
  <r>
    <x v="0"/>
    <x v="0"/>
    <x v="1"/>
    <x v="1"/>
    <s v="Hora Real Fim"/>
    <x v="67"/>
    <s v="0.211805555555556|2"/>
  </r>
  <r>
    <x v="0"/>
    <x v="0"/>
    <x v="3"/>
    <x v="3"/>
    <s v="Hora Real Inicio"/>
    <x v="68"/>
    <s v="0.213888888888889|2"/>
  </r>
  <r>
    <x v="0"/>
    <x v="0"/>
    <x v="3"/>
    <x v="3"/>
    <s v="Hora Real Fim"/>
    <x v="68"/>
    <s v="0.213888888888889|2"/>
  </r>
  <r>
    <x v="0"/>
    <x v="0"/>
    <x v="3"/>
    <x v="3"/>
    <s v="Hora Real Inicio"/>
    <x v="68"/>
    <s v="0.213888888888889|2"/>
  </r>
  <r>
    <x v="1"/>
    <x v="0"/>
    <x v="7"/>
    <x v="7"/>
    <s v="Hora Real Fim"/>
    <x v="69"/>
    <s v="0.217361111111111|3"/>
  </r>
  <r>
    <x v="1"/>
    <x v="0"/>
    <x v="6"/>
    <x v="6"/>
    <s v="Hora Real Inicio"/>
    <x v="70"/>
    <s v="0.221527777777778|3"/>
  </r>
  <r>
    <x v="1"/>
    <x v="0"/>
    <x v="6"/>
    <x v="6"/>
    <s v="Hora Real Fim"/>
    <x v="70"/>
    <s v="0.221527777777778|3"/>
  </r>
  <r>
    <x v="0"/>
    <x v="0"/>
    <x v="3"/>
    <x v="3"/>
    <s v="Hora Real Fim"/>
    <x v="71"/>
    <s v="0.222916666666667|2"/>
  </r>
  <r>
    <x v="1"/>
    <x v="0"/>
    <x v="5"/>
    <x v="5"/>
    <s v="Hora Real Inicio"/>
    <x v="72"/>
    <s v="0.223611111111111|3"/>
  </r>
  <r>
    <x v="1"/>
    <x v="0"/>
    <x v="5"/>
    <x v="5"/>
    <s v="Hora Real Fim"/>
    <x v="72"/>
    <s v="0.223611111111111|3"/>
  </r>
  <r>
    <x v="0"/>
    <x v="0"/>
    <x v="2"/>
    <x v="2"/>
    <s v="Hora Real Inicio"/>
    <x v="73"/>
    <s v="0.226388888888889|2"/>
  </r>
  <r>
    <x v="0"/>
    <x v="0"/>
    <x v="2"/>
    <x v="2"/>
    <s v="Hora Real Fim"/>
    <x v="73"/>
    <s v="0.226388888888889|2"/>
  </r>
  <r>
    <x v="1"/>
    <x v="0"/>
    <x v="4"/>
    <x v="4"/>
    <s v="Hora Real Inicio"/>
    <x v="73"/>
    <s v="0.226388888888889|3"/>
  </r>
  <r>
    <x v="1"/>
    <x v="0"/>
    <x v="4"/>
    <x v="4"/>
    <s v="Hora Real Fim"/>
    <x v="73"/>
    <s v="0.226388888888889|3"/>
  </r>
  <r>
    <x v="0"/>
    <x v="0"/>
    <x v="4"/>
    <x v="4"/>
    <s v="Hora Real Inicio"/>
    <x v="74"/>
    <s v="0.228472222222222|2"/>
  </r>
  <r>
    <x v="0"/>
    <x v="0"/>
    <x v="4"/>
    <x v="4"/>
    <s v="Hora Real Fim"/>
    <x v="74"/>
    <s v="0.228472222222222|2"/>
  </r>
  <r>
    <x v="0"/>
    <x v="0"/>
    <x v="4"/>
    <x v="4"/>
    <s v="Hora Real Inicio"/>
    <x v="74"/>
    <s v="0.228472222222222|2"/>
  </r>
  <r>
    <x v="0"/>
    <x v="0"/>
    <x v="4"/>
    <x v="4"/>
    <s v="Hora Real Fim"/>
    <x v="74"/>
    <s v="0.228472222222222|2"/>
  </r>
  <r>
    <x v="1"/>
    <x v="0"/>
    <x v="2"/>
    <x v="2"/>
    <s v="Hora Real Inicio"/>
    <x v="74"/>
    <s v="0.228472222222222|3"/>
  </r>
  <r>
    <x v="1"/>
    <x v="0"/>
    <x v="2"/>
    <x v="2"/>
    <s v="Hora Real Fim"/>
    <x v="74"/>
    <s v="0.228472222222222|3"/>
  </r>
  <r>
    <x v="0"/>
    <x v="0"/>
    <x v="5"/>
    <x v="5"/>
    <s v="Hora Real Inicio"/>
    <x v="75"/>
    <s v="0.23125|2"/>
  </r>
  <r>
    <x v="0"/>
    <x v="0"/>
    <x v="5"/>
    <x v="5"/>
    <s v="Hora Real Fim"/>
    <x v="75"/>
    <s v="0.23125|2"/>
  </r>
  <r>
    <x v="0"/>
    <x v="0"/>
    <x v="5"/>
    <x v="5"/>
    <s v="Hora Real Inicio"/>
    <x v="75"/>
    <s v="0.23125|2"/>
  </r>
  <r>
    <x v="0"/>
    <x v="0"/>
    <x v="5"/>
    <x v="5"/>
    <s v="Hora Real Fim"/>
    <x v="75"/>
    <s v="0.23125|2"/>
  </r>
  <r>
    <x v="1"/>
    <x v="0"/>
    <x v="3"/>
    <x v="3"/>
    <s v="Hora Real Inicio"/>
    <x v="76"/>
    <s v="0.231944444444444|3"/>
  </r>
  <r>
    <x v="1"/>
    <x v="0"/>
    <x v="3"/>
    <x v="3"/>
    <s v="Hora Real Fim"/>
    <x v="76"/>
    <s v="0.231944444444444|3"/>
  </r>
  <r>
    <x v="1"/>
    <x v="0"/>
    <x v="3"/>
    <x v="3"/>
    <s v="Hora Real Inicio"/>
    <x v="76"/>
    <s v="0.231944444444444|3"/>
  </r>
  <r>
    <x v="0"/>
    <x v="0"/>
    <x v="6"/>
    <x v="6"/>
    <s v="Hora Real Inicio"/>
    <x v="77"/>
    <s v="0.233333333333333|2"/>
  </r>
  <r>
    <x v="0"/>
    <x v="0"/>
    <x v="6"/>
    <x v="6"/>
    <s v="Hora Real Fim"/>
    <x v="77"/>
    <s v="0.233333333333333|2"/>
  </r>
  <r>
    <x v="0"/>
    <x v="0"/>
    <x v="6"/>
    <x v="6"/>
    <s v="Hora Real Inicio"/>
    <x v="77"/>
    <s v="0.233333333333333|2"/>
  </r>
  <r>
    <x v="0"/>
    <x v="0"/>
    <x v="6"/>
    <x v="6"/>
    <s v="Hora Real Fim"/>
    <x v="78"/>
    <s v="0.240277777777778|2"/>
  </r>
  <r>
    <x v="1"/>
    <x v="0"/>
    <x v="3"/>
    <x v="3"/>
    <s v="Hora Real Fim"/>
    <x v="79"/>
    <s v="0.240972222222222|3"/>
  </r>
  <r>
    <x v="1"/>
    <x v="0"/>
    <x v="1"/>
    <x v="1"/>
    <s v="Hora Real Inicio"/>
    <x v="80"/>
    <s v="0.243055555555556|3"/>
  </r>
  <r>
    <x v="1"/>
    <x v="0"/>
    <x v="1"/>
    <x v="1"/>
    <s v="Hora Real Fim"/>
    <x v="80"/>
    <s v="0.243055555555556|3"/>
  </r>
  <r>
    <x v="1"/>
    <x v="0"/>
    <x v="0"/>
    <x v="0"/>
    <s v="Hora Real Inicio"/>
    <x v="81"/>
    <s v="0.24375|3"/>
  </r>
  <r>
    <x v="1"/>
    <x v="0"/>
    <x v="0"/>
    <x v="0"/>
    <s v="Hora Real Fim"/>
    <x v="81"/>
    <s v="0.24375|3"/>
  </r>
  <r>
    <x v="1"/>
    <x v="0"/>
    <x v="0"/>
    <x v="0"/>
    <s v="Hora Real Inicio"/>
    <x v="81"/>
    <s v="0.24375|3"/>
  </r>
  <r>
    <x v="0"/>
    <x v="0"/>
    <x v="7"/>
    <x v="7"/>
    <s v="Hora Real Inicio"/>
    <x v="82"/>
    <s v="0.244444444444444|2"/>
  </r>
  <r>
    <x v="0"/>
    <x v="0"/>
    <x v="7"/>
    <x v="7"/>
    <s v="Hora Real Fim"/>
    <x v="82"/>
    <s v="0.244444444444444|2"/>
  </r>
  <r>
    <x v="1"/>
    <x v="0"/>
    <x v="0"/>
    <x v="0"/>
    <s v="Hora Real Fim"/>
    <x v="83"/>
    <s v="0.246527777777778|3"/>
  </r>
  <r>
    <x v="1"/>
    <x v="0"/>
    <x v="9"/>
    <x v="9"/>
    <s v="Hora Real Inicio"/>
    <x v="84"/>
    <s v="0.247916666666667|3"/>
  </r>
  <r>
    <x v="1"/>
    <x v="0"/>
    <x v="9"/>
    <x v="9"/>
    <s v="Hora Real Fim"/>
    <x v="84"/>
    <s v="0.247916666666667|3"/>
  </r>
  <r>
    <x v="1"/>
    <x v="0"/>
    <x v="9"/>
    <x v="9"/>
    <s v="Hora Real Inicio"/>
    <x v="84"/>
    <s v="0.247916666666667|3"/>
  </r>
  <r>
    <x v="1"/>
    <x v="0"/>
    <x v="9"/>
    <x v="9"/>
    <s v="Hora Real Fim"/>
    <x v="84"/>
    <s v="0.247916666666667|3"/>
  </r>
  <r>
    <x v="1"/>
    <x v="0"/>
    <x v="9"/>
    <x v="9"/>
    <s v="Hora Real Inicio"/>
    <x v="84"/>
    <s v="0.247916666666667|3"/>
  </r>
  <r>
    <x v="0"/>
    <x v="0"/>
    <x v="8"/>
    <x v="8"/>
    <s v="Hora Real Inicio"/>
    <x v="85"/>
    <s v="0.248611111111111|2"/>
  </r>
  <r>
    <x v="0"/>
    <x v="0"/>
    <x v="8"/>
    <x v="8"/>
    <s v="Hora Real Fim"/>
    <x v="85"/>
    <s v="0.248611111111111|2"/>
  </r>
  <r>
    <x v="0"/>
    <x v="0"/>
    <x v="8"/>
    <x v="8"/>
    <s v="Hora Real Inicio"/>
    <x v="85"/>
    <s v="0.248611111111111|2"/>
  </r>
  <r>
    <x v="0"/>
    <x v="0"/>
    <x v="8"/>
    <x v="8"/>
    <s v="Hora Real Fim"/>
    <x v="85"/>
    <s v="0.248611111111111|2"/>
  </r>
  <r>
    <x v="0"/>
    <x v="0"/>
    <x v="8"/>
    <x v="8"/>
    <s v="Hora Real Inicio"/>
    <x v="85"/>
    <s v="0.248611111111111|2"/>
  </r>
  <r>
    <x v="1"/>
    <x v="0"/>
    <x v="9"/>
    <x v="9"/>
    <s v="Hora Real Fim"/>
    <x v="86"/>
    <s v="0.253472222222222|3"/>
  </r>
  <r>
    <x v="1"/>
    <x v="0"/>
    <x v="0"/>
    <x v="0"/>
    <s v="Hora Real Inicio"/>
    <x v="87"/>
    <s v="0.254861111111111|3"/>
  </r>
  <r>
    <x v="1"/>
    <x v="0"/>
    <x v="0"/>
    <x v="0"/>
    <s v="Hora Real Fim"/>
    <x v="87"/>
    <s v="0.254861111111111|3"/>
  </r>
  <r>
    <x v="0"/>
    <x v="0"/>
    <x v="8"/>
    <x v="8"/>
    <s v="Hora Real Fim"/>
    <x v="88"/>
    <s v="0.255555555555556|2"/>
  </r>
  <r>
    <x v="1"/>
    <x v="0"/>
    <x v="1"/>
    <x v="1"/>
    <s v="Hora Real Inicio"/>
    <x v="88"/>
    <s v="0.255555555555556|3"/>
  </r>
  <r>
    <x v="1"/>
    <x v="0"/>
    <x v="1"/>
    <x v="1"/>
    <s v="Hora Real Fim"/>
    <x v="88"/>
    <s v="0.255555555555556|3"/>
  </r>
  <r>
    <x v="1"/>
    <x v="0"/>
    <x v="3"/>
    <x v="3"/>
    <s v="Hora Real Inicio"/>
    <x v="89"/>
    <s v="0.257638888888889|3"/>
  </r>
  <r>
    <x v="1"/>
    <x v="0"/>
    <x v="3"/>
    <x v="3"/>
    <s v="Hora Real Fim"/>
    <x v="89"/>
    <s v="0.257638888888889|3"/>
  </r>
  <r>
    <x v="0"/>
    <x v="0"/>
    <x v="7"/>
    <x v="7"/>
    <s v="Hora Real Inicio"/>
    <x v="90"/>
    <s v="0.259722222222222|2"/>
  </r>
  <r>
    <x v="0"/>
    <x v="0"/>
    <x v="7"/>
    <x v="7"/>
    <s v="Hora Real Fim"/>
    <x v="90"/>
    <s v="0.259722222222222|2"/>
  </r>
  <r>
    <x v="1"/>
    <x v="0"/>
    <x v="2"/>
    <x v="2"/>
    <s v="Hora Real Inicio"/>
    <x v="91"/>
    <s v="0.261111111111111|3"/>
  </r>
  <r>
    <x v="1"/>
    <x v="0"/>
    <x v="2"/>
    <x v="2"/>
    <s v="Hora Real Fim"/>
    <x v="91"/>
    <s v="0.261111111111111|3"/>
  </r>
  <r>
    <x v="1"/>
    <x v="0"/>
    <x v="4"/>
    <x v="4"/>
    <s v="Hora Real Inicio"/>
    <x v="92"/>
    <s v="0.263194444444444|3"/>
  </r>
  <r>
    <x v="1"/>
    <x v="0"/>
    <x v="4"/>
    <x v="4"/>
    <s v="Hora Real Fim"/>
    <x v="92"/>
    <s v="0.263194444444444|3"/>
  </r>
  <r>
    <x v="1"/>
    <x v="0"/>
    <x v="4"/>
    <x v="4"/>
    <s v="Hora Real Inicio"/>
    <x v="92"/>
    <s v="0.263194444444444|3"/>
  </r>
  <r>
    <x v="1"/>
    <x v="0"/>
    <x v="4"/>
    <x v="4"/>
    <s v="Hora Real Fim"/>
    <x v="92"/>
    <s v="0.263194444444444|3"/>
  </r>
  <r>
    <x v="0"/>
    <x v="0"/>
    <x v="6"/>
    <x v="6"/>
    <s v="Hora Real Inicio"/>
    <x v="93"/>
    <s v="0.263888888888889|2"/>
  </r>
  <r>
    <x v="0"/>
    <x v="0"/>
    <x v="6"/>
    <x v="6"/>
    <s v="Hora Real Fim"/>
    <x v="93"/>
    <s v="0.263888888888889|2"/>
  </r>
  <r>
    <x v="0"/>
    <x v="0"/>
    <x v="5"/>
    <x v="5"/>
    <s v="Hora Real Inicio"/>
    <x v="94"/>
    <s v="0.265972222222222|2"/>
  </r>
  <r>
    <x v="0"/>
    <x v="0"/>
    <x v="5"/>
    <x v="5"/>
    <s v="Hora Real Fim"/>
    <x v="94"/>
    <s v="0.265972222222222|2"/>
  </r>
  <r>
    <x v="0"/>
    <x v="0"/>
    <x v="5"/>
    <x v="5"/>
    <s v="Hora Real Inicio"/>
    <x v="94"/>
    <s v="0.265972222222222|2"/>
  </r>
  <r>
    <x v="0"/>
    <x v="0"/>
    <x v="5"/>
    <x v="5"/>
    <s v="Hora Real Fim"/>
    <x v="94"/>
    <s v="0.265972222222222|2"/>
  </r>
  <r>
    <x v="1"/>
    <x v="0"/>
    <x v="5"/>
    <x v="5"/>
    <s v="Hora Real Inicio"/>
    <x v="94"/>
    <s v="0.265972222222222|3"/>
  </r>
  <r>
    <x v="1"/>
    <x v="0"/>
    <x v="5"/>
    <x v="5"/>
    <s v="Hora Real Fim"/>
    <x v="94"/>
    <s v="0.265972222222222|3"/>
  </r>
  <r>
    <x v="1"/>
    <x v="0"/>
    <x v="5"/>
    <x v="5"/>
    <s v="Hora Real Inicio"/>
    <x v="94"/>
    <s v="0.265972222222222|3"/>
  </r>
  <r>
    <x v="1"/>
    <x v="0"/>
    <x v="5"/>
    <x v="5"/>
    <s v="Hora Real Fim"/>
    <x v="94"/>
    <s v="0.265972222222222|3"/>
  </r>
  <r>
    <x v="1"/>
    <x v="0"/>
    <x v="6"/>
    <x v="6"/>
    <s v="Hora Real Inicio"/>
    <x v="95"/>
    <s v="0.268055555555556|3"/>
  </r>
  <r>
    <x v="1"/>
    <x v="0"/>
    <x v="6"/>
    <x v="6"/>
    <s v="Hora Real Fim"/>
    <x v="95"/>
    <s v="0.268055555555556|3"/>
  </r>
  <r>
    <x v="0"/>
    <x v="0"/>
    <x v="4"/>
    <x v="4"/>
    <s v="Hora Real Inicio"/>
    <x v="96"/>
    <s v="0.26875|2"/>
  </r>
  <r>
    <x v="0"/>
    <x v="0"/>
    <x v="4"/>
    <x v="4"/>
    <s v="Hora Real Fim"/>
    <x v="96"/>
    <s v="0.26875|2"/>
  </r>
  <r>
    <x v="0"/>
    <x v="0"/>
    <x v="4"/>
    <x v="4"/>
    <s v="Hora Real Inicio"/>
    <x v="96"/>
    <s v="0.26875|2"/>
  </r>
  <r>
    <x v="0"/>
    <x v="0"/>
    <x v="4"/>
    <x v="4"/>
    <s v="Hora Real Fim"/>
    <x v="96"/>
    <s v="0.26875|2"/>
  </r>
  <r>
    <x v="0"/>
    <x v="0"/>
    <x v="2"/>
    <x v="2"/>
    <s v="Hora Real Inicio"/>
    <x v="97"/>
    <s v="0.270833333333333|2"/>
  </r>
  <r>
    <x v="0"/>
    <x v="0"/>
    <x v="2"/>
    <x v="2"/>
    <s v="Hora Real Fim"/>
    <x v="97"/>
    <s v="0.270833333333333|2"/>
  </r>
  <r>
    <x v="0"/>
    <x v="0"/>
    <x v="2"/>
    <x v="2"/>
    <s v="Hora Real Inicio"/>
    <x v="97"/>
    <s v="0.270833333333333|2"/>
  </r>
  <r>
    <x v="1"/>
    <x v="0"/>
    <x v="7"/>
    <x v="7"/>
    <s v="Hora Real Inicio"/>
    <x v="98"/>
    <s v="0.272222222222222|3"/>
  </r>
  <r>
    <x v="1"/>
    <x v="0"/>
    <x v="7"/>
    <x v="7"/>
    <s v="Hora Real Fim"/>
    <x v="98"/>
    <s v="0.272222222222222|3"/>
  </r>
  <r>
    <x v="1"/>
    <x v="0"/>
    <x v="8"/>
    <x v="8"/>
    <s v="Hora Real Inicio"/>
    <x v="99"/>
    <s v="0.276388888888889|3"/>
  </r>
  <r>
    <x v="1"/>
    <x v="0"/>
    <x v="8"/>
    <x v="8"/>
    <s v="Hora Real Fim"/>
    <x v="99"/>
    <s v="0.276388888888889|3"/>
  </r>
  <r>
    <x v="1"/>
    <x v="0"/>
    <x v="8"/>
    <x v="8"/>
    <s v="Hora Real Inicio"/>
    <x v="99"/>
    <s v="0.276388888888889|3"/>
  </r>
  <r>
    <x v="1"/>
    <x v="0"/>
    <x v="8"/>
    <x v="8"/>
    <s v="Hora Real Fim"/>
    <x v="99"/>
    <s v="0.276388888888889|3"/>
  </r>
  <r>
    <x v="1"/>
    <x v="0"/>
    <x v="7"/>
    <x v="7"/>
    <s v="Hora Real Inicio"/>
    <x v="100"/>
    <s v="0.280555555555556|3"/>
  </r>
  <r>
    <x v="1"/>
    <x v="0"/>
    <x v="7"/>
    <x v="7"/>
    <s v="Hora Real Fim"/>
    <x v="100"/>
    <s v="0.280555555555556|3"/>
  </r>
  <r>
    <x v="1"/>
    <x v="0"/>
    <x v="6"/>
    <x v="6"/>
    <s v="Hora Real Inicio"/>
    <x v="101"/>
    <s v="0.284722222222222|3"/>
  </r>
  <r>
    <x v="1"/>
    <x v="0"/>
    <x v="6"/>
    <x v="6"/>
    <s v="Hora Real Fim"/>
    <x v="101"/>
    <s v="0.284722222222222|3"/>
  </r>
  <r>
    <x v="1"/>
    <x v="0"/>
    <x v="5"/>
    <x v="5"/>
    <s v="Hora Real Inicio"/>
    <x v="102"/>
    <s v="0.286805555555556|3"/>
  </r>
  <r>
    <x v="1"/>
    <x v="0"/>
    <x v="5"/>
    <x v="5"/>
    <s v="Hora Real Fim"/>
    <x v="102"/>
    <s v="0.286805555555556|3"/>
  </r>
  <r>
    <x v="1"/>
    <x v="0"/>
    <x v="5"/>
    <x v="5"/>
    <s v="Hora Real Inicio"/>
    <x v="102"/>
    <s v="0.286805555555556|3"/>
  </r>
  <r>
    <x v="1"/>
    <x v="0"/>
    <x v="5"/>
    <x v="5"/>
    <s v="Hora Real Fim"/>
    <x v="102"/>
    <s v="0.286805555555556|3"/>
  </r>
  <r>
    <x v="1"/>
    <x v="0"/>
    <x v="4"/>
    <x v="4"/>
    <s v="Hora Real Inicio"/>
    <x v="103"/>
    <s v="0.289583333333333|3"/>
  </r>
  <r>
    <x v="1"/>
    <x v="0"/>
    <x v="4"/>
    <x v="4"/>
    <s v="Hora Real Fim"/>
    <x v="103"/>
    <s v="0.289583333333333|3"/>
  </r>
  <r>
    <x v="1"/>
    <x v="0"/>
    <x v="4"/>
    <x v="4"/>
    <s v="Hora Real Inicio"/>
    <x v="103"/>
    <s v="0.289583333333333|3"/>
  </r>
  <r>
    <x v="1"/>
    <x v="0"/>
    <x v="4"/>
    <x v="4"/>
    <s v="Hora Real Fim"/>
    <x v="103"/>
    <s v="0.289583333333333|3"/>
  </r>
  <r>
    <x v="0"/>
    <x v="1"/>
    <x v="2"/>
    <x v="2"/>
    <s v="Hora Real Inicio"/>
    <x v="104"/>
    <s v="0.291666666666667|2"/>
  </r>
  <r>
    <x v="0"/>
    <x v="1"/>
    <x v="2"/>
    <x v="2"/>
    <s v="Hora Real Fim"/>
    <x v="104"/>
    <s v="0.291666666666667|2"/>
  </r>
  <r>
    <x v="0"/>
    <x v="1"/>
    <x v="2"/>
    <x v="2"/>
    <s v="Hora Real Inicio"/>
    <x v="104"/>
    <s v="0.291666666666667|2"/>
  </r>
  <r>
    <x v="0"/>
    <x v="1"/>
    <x v="2"/>
    <x v="2"/>
    <s v="Hora Real Fim"/>
    <x v="104"/>
    <s v="0.291666666666667|2"/>
  </r>
  <r>
    <x v="0"/>
    <x v="0"/>
    <x v="2"/>
    <x v="2"/>
    <s v="Hora Real Fim"/>
    <x v="104"/>
    <s v="0.291666666666667|2"/>
  </r>
  <r>
    <x v="0"/>
    <x v="0"/>
    <x v="2"/>
    <x v="2"/>
    <s v="Hora Real Inicio"/>
    <x v="104"/>
    <s v="0.291666666666667|2"/>
  </r>
  <r>
    <x v="0"/>
    <x v="0"/>
    <x v="2"/>
    <x v="2"/>
    <s v="Hora Real Fim"/>
    <x v="104"/>
    <s v="0.291666666666667|2"/>
  </r>
  <r>
    <x v="1"/>
    <x v="1"/>
    <x v="2"/>
    <x v="2"/>
    <s v="Hora Real Inicio"/>
    <x v="104"/>
    <s v="0.291666666666667|3"/>
  </r>
  <r>
    <x v="1"/>
    <x v="1"/>
    <x v="2"/>
    <x v="2"/>
    <s v="Hora Real Fim"/>
    <x v="104"/>
    <s v="0.291666666666667|3"/>
  </r>
  <r>
    <x v="1"/>
    <x v="1"/>
    <x v="2"/>
    <x v="2"/>
    <s v="Hora Real Inicio"/>
    <x v="104"/>
    <s v="0.291666666666667|3"/>
  </r>
  <r>
    <x v="1"/>
    <x v="1"/>
    <x v="2"/>
    <x v="2"/>
    <s v="Hora Real Fim"/>
    <x v="104"/>
    <s v="0.291666666666667|3"/>
  </r>
  <r>
    <x v="1"/>
    <x v="1"/>
    <x v="2"/>
    <x v="2"/>
    <s v="Hora Real Inicio"/>
    <x v="104"/>
    <s v="0.291666666666667|3"/>
  </r>
  <r>
    <x v="1"/>
    <x v="0"/>
    <x v="2"/>
    <x v="2"/>
    <s v="Hora Real Inicio"/>
    <x v="104"/>
    <s v="0.291666666666667|3"/>
  </r>
  <r>
    <x v="1"/>
    <x v="0"/>
    <x v="2"/>
    <x v="2"/>
    <s v="Hora Real Fim"/>
    <x v="104"/>
    <s v="0.291666666666667|3"/>
  </r>
  <r>
    <x v="1"/>
    <x v="0"/>
    <x v="2"/>
    <x v="2"/>
    <s v="Hora Real Inicio"/>
    <x v="104"/>
    <s v="0.291666666666667|3"/>
  </r>
  <r>
    <x v="1"/>
    <x v="0"/>
    <x v="2"/>
    <x v="2"/>
    <s v="Hora Real Fim"/>
    <x v="104"/>
    <s v="0.291666666666667|3"/>
  </r>
  <r>
    <x v="0"/>
    <x v="1"/>
    <x v="3"/>
    <x v="3"/>
    <s v="Hora Real Inicio"/>
    <x v="105"/>
    <s v="0.295138888888889|2"/>
  </r>
  <r>
    <x v="0"/>
    <x v="1"/>
    <x v="3"/>
    <x v="3"/>
    <s v="Hora Real Fim"/>
    <x v="105"/>
    <s v="0.295138888888889|2"/>
  </r>
  <r>
    <x v="0"/>
    <x v="1"/>
    <x v="1"/>
    <x v="1"/>
    <s v="Hora Real Inicio"/>
    <x v="106"/>
    <s v="0.297222222222222|2"/>
  </r>
  <r>
    <x v="0"/>
    <x v="1"/>
    <x v="1"/>
    <x v="1"/>
    <s v="Hora Real Fim"/>
    <x v="106"/>
    <s v="0.297222222222222|2"/>
  </r>
  <r>
    <x v="0"/>
    <x v="1"/>
    <x v="0"/>
    <x v="0"/>
    <s v="Hora Real Inicio"/>
    <x v="107"/>
    <s v="0.297916666666667|2"/>
  </r>
  <r>
    <x v="0"/>
    <x v="1"/>
    <x v="0"/>
    <x v="0"/>
    <s v="Hora Real Fim"/>
    <x v="107"/>
    <s v="0.297916666666667|2"/>
  </r>
  <r>
    <x v="0"/>
    <x v="1"/>
    <x v="9"/>
    <x v="9"/>
    <s v="Hora Real Inicio"/>
    <x v="108"/>
    <s v="0.299305555555556|2"/>
  </r>
  <r>
    <x v="0"/>
    <x v="1"/>
    <x v="9"/>
    <x v="9"/>
    <s v="Hora Real Fim"/>
    <x v="108"/>
    <s v="0.299305555555556|2"/>
  </r>
  <r>
    <x v="0"/>
    <x v="1"/>
    <x v="9"/>
    <x v="9"/>
    <s v="Hora Real Inicio"/>
    <x v="108"/>
    <s v="0.299305555555556|2"/>
  </r>
  <r>
    <x v="1"/>
    <x v="1"/>
    <x v="2"/>
    <x v="2"/>
    <s v="Hora Real Fim"/>
    <x v="109"/>
    <s v="0.300694444444444|3"/>
  </r>
  <r>
    <x v="1"/>
    <x v="1"/>
    <x v="3"/>
    <x v="3"/>
    <s v="Hora Real Inicio"/>
    <x v="110"/>
    <s v="0.304166666666667|3"/>
  </r>
  <r>
    <x v="1"/>
    <x v="1"/>
    <x v="3"/>
    <x v="3"/>
    <s v="Hora Real Fim"/>
    <x v="110"/>
    <s v="0.304166666666667|3"/>
  </r>
  <r>
    <x v="1"/>
    <x v="1"/>
    <x v="1"/>
    <x v="1"/>
    <s v="Hora Real Inicio"/>
    <x v="111"/>
    <s v="0.30625|3"/>
  </r>
  <r>
    <x v="1"/>
    <x v="1"/>
    <x v="1"/>
    <x v="1"/>
    <s v="Hora Real Fim"/>
    <x v="111"/>
    <s v="0.30625|3"/>
  </r>
  <r>
    <x v="1"/>
    <x v="1"/>
    <x v="0"/>
    <x v="0"/>
    <s v="Hora Real Inicio"/>
    <x v="112"/>
    <s v="0.306944444444444|3"/>
  </r>
  <r>
    <x v="1"/>
    <x v="1"/>
    <x v="0"/>
    <x v="0"/>
    <s v="Hora Real Fim"/>
    <x v="112"/>
    <s v="0.306944444444444|3"/>
  </r>
  <r>
    <x v="1"/>
    <x v="1"/>
    <x v="9"/>
    <x v="9"/>
    <s v="Hora Real Inicio"/>
    <x v="113"/>
    <s v="0.308333333333333|3"/>
  </r>
  <r>
    <x v="1"/>
    <x v="1"/>
    <x v="9"/>
    <x v="9"/>
    <s v="Hora Real Fim"/>
    <x v="113"/>
    <s v="0.308333333333333|3"/>
  </r>
  <r>
    <x v="1"/>
    <x v="1"/>
    <x v="9"/>
    <x v="9"/>
    <s v="Hora Real Inicio"/>
    <x v="113"/>
    <s v="0.308333333333333|3"/>
  </r>
  <r>
    <x v="1"/>
    <x v="1"/>
    <x v="9"/>
    <x v="9"/>
    <s v="Hora Real Fim"/>
    <x v="113"/>
    <s v="0.308333333333333|3"/>
  </r>
  <r>
    <x v="1"/>
    <x v="1"/>
    <x v="0"/>
    <x v="0"/>
    <s v="Hora Real Inicio"/>
    <x v="114"/>
    <s v="0.309722222222222|3"/>
  </r>
  <r>
    <x v="1"/>
    <x v="1"/>
    <x v="0"/>
    <x v="0"/>
    <s v="Hora Real Fim"/>
    <x v="114"/>
    <s v="0.309722222222222|3"/>
  </r>
  <r>
    <x v="1"/>
    <x v="1"/>
    <x v="1"/>
    <x v="1"/>
    <s v="Hora Real Inicio"/>
    <x v="115"/>
    <s v="0.310416666666667|3"/>
  </r>
  <r>
    <x v="1"/>
    <x v="1"/>
    <x v="1"/>
    <x v="1"/>
    <s v="Hora Real Fim"/>
    <x v="115"/>
    <s v="0.310416666666667|3"/>
  </r>
  <r>
    <x v="1"/>
    <x v="1"/>
    <x v="3"/>
    <x v="3"/>
    <s v="Hora Real Inicio"/>
    <x v="116"/>
    <s v="0.3125|3"/>
  </r>
  <r>
    <x v="1"/>
    <x v="1"/>
    <x v="3"/>
    <x v="3"/>
    <s v="Hora Real Fim"/>
    <x v="116"/>
    <s v="0.3125|3"/>
  </r>
  <r>
    <x v="1"/>
    <x v="1"/>
    <x v="2"/>
    <x v="2"/>
    <s v="Hora Real Inicio"/>
    <x v="117"/>
    <s v="0.315972222222222|3"/>
  </r>
  <r>
    <x v="1"/>
    <x v="1"/>
    <x v="2"/>
    <x v="2"/>
    <s v="Hora Real Fim"/>
    <x v="117"/>
    <s v="0.315972222222222|3"/>
  </r>
  <r>
    <x v="1"/>
    <x v="1"/>
    <x v="2"/>
    <x v="2"/>
    <s v="Hora Real Inicio"/>
    <x v="117"/>
    <s v="0.315972222222222|3"/>
  </r>
  <r>
    <x v="0"/>
    <x v="1"/>
    <x v="9"/>
    <x v="9"/>
    <s v="Hora Real Fim"/>
    <x v="118"/>
    <s v="0.320138888888889|2"/>
  </r>
  <r>
    <x v="0"/>
    <x v="1"/>
    <x v="9"/>
    <x v="9"/>
    <s v="Hora Real Inicio"/>
    <x v="118"/>
    <s v="0.320138888888889|2"/>
  </r>
  <r>
    <x v="0"/>
    <x v="1"/>
    <x v="9"/>
    <x v="9"/>
    <s v="Hora Real Fim"/>
    <x v="118"/>
    <s v="0.320138888888889|2"/>
  </r>
  <r>
    <x v="0"/>
    <x v="1"/>
    <x v="0"/>
    <x v="0"/>
    <s v="Hora Real Inicio"/>
    <x v="119"/>
    <s v="0.321527777777778|2"/>
  </r>
  <r>
    <x v="0"/>
    <x v="1"/>
    <x v="0"/>
    <x v="0"/>
    <s v="Hora Real Fim"/>
    <x v="119"/>
    <s v="0.321527777777778|2"/>
  </r>
  <r>
    <x v="0"/>
    <x v="1"/>
    <x v="0"/>
    <x v="0"/>
    <s v="Hora Real Inicio"/>
    <x v="119"/>
    <s v="0.321527777777778|2"/>
  </r>
  <r>
    <x v="0"/>
    <x v="1"/>
    <x v="0"/>
    <x v="0"/>
    <s v="Hora Real Fim"/>
    <x v="120"/>
    <s v="0.324305555555556|2"/>
  </r>
  <r>
    <x v="0"/>
    <x v="1"/>
    <x v="1"/>
    <x v="1"/>
    <s v="Hora Real Inicio"/>
    <x v="121"/>
    <s v="0.325|2"/>
  </r>
  <r>
    <x v="0"/>
    <x v="1"/>
    <x v="1"/>
    <x v="1"/>
    <s v="Hora Real Fim"/>
    <x v="121"/>
    <s v="0.325|2"/>
  </r>
  <r>
    <x v="0"/>
    <x v="1"/>
    <x v="1"/>
    <x v="1"/>
    <s v="Hora Real Inicio"/>
    <x v="121"/>
    <s v="0.325|2"/>
  </r>
  <r>
    <x v="1"/>
    <x v="1"/>
    <x v="2"/>
    <x v="2"/>
    <s v="Hora Real Fim"/>
    <x v="122"/>
    <s v="0.334722222222222|3"/>
  </r>
  <r>
    <x v="1"/>
    <x v="1"/>
    <x v="4"/>
    <x v="4"/>
    <s v="Hora Real Inicio"/>
    <x v="123"/>
    <s v="0.336111111111111|3"/>
  </r>
  <r>
    <x v="1"/>
    <x v="1"/>
    <x v="4"/>
    <x v="4"/>
    <s v="Hora Real Fim"/>
    <x v="123"/>
    <s v="0.336111111111111|3"/>
  </r>
  <r>
    <x v="0"/>
    <x v="1"/>
    <x v="1"/>
    <x v="1"/>
    <s v="Hora Real Fim"/>
    <x v="124"/>
    <s v="0.3375|2"/>
  </r>
  <r>
    <x v="1"/>
    <x v="1"/>
    <x v="5"/>
    <x v="5"/>
    <s v="Hora Real Inicio"/>
    <x v="125"/>
    <s v="0.338888888888889|3"/>
  </r>
  <r>
    <x v="1"/>
    <x v="1"/>
    <x v="5"/>
    <x v="5"/>
    <s v="Hora Real Fim"/>
    <x v="125"/>
    <s v="0.338888888888889|3"/>
  </r>
  <r>
    <x v="0"/>
    <x v="1"/>
    <x v="3"/>
    <x v="3"/>
    <s v="Hora Real Inicio"/>
    <x v="126"/>
    <s v="0.339583333333333|2"/>
  </r>
  <r>
    <x v="0"/>
    <x v="1"/>
    <x v="3"/>
    <x v="3"/>
    <s v="Hora Real Fim"/>
    <x v="126"/>
    <s v="0.339583333333333|2"/>
  </r>
  <r>
    <x v="1"/>
    <x v="1"/>
    <x v="6"/>
    <x v="6"/>
    <s v="Hora Real Inicio"/>
    <x v="127"/>
    <s v="0.341666666666667|3"/>
  </r>
  <r>
    <x v="1"/>
    <x v="1"/>
    <x v="6"/>
    <x v="6"/>
    <s v="Hora Real Fim"/>
    <x v="127"/>
    <s v="0.341666666666667|3"/>
  </r>
  <r>
    <x v="0"/>
    <x v="1"/>
    <x v="2"/>
    <x v="2"/>
    <s v="Hora Real Inicio"/>
    <x v="128"/>
    <s v="0.343055555555556|2"/>
  </r>
  <r>
    <x v="0"/>
    <x v="1"/>
    <x v="2"/>
    <x v="2"/>
    <s v="Hora Real Fim"/>
    <x v="128"/>
    <s v="0.343055555555556|2"/>
  </r>
  <r>
    <x v="0"/>
    <x v="1"/>
    <x v="2"/>
    <x v="2"/>
    <s v="Hora Real Inicio"/>
    <x v="128"/>
    <s v="0.343055555555556|2"/>
  </r>
  <r>
    <x v="1"/>
    <x v="1"/>
    <x v="7"/>
    <x v="7"/>
    <s v="Hora Real Inicio"/>
    <x v="129"/>
    <s v="0.345833333333333|3"/>
  </r>
  <r>
    <x v="1"/>
    <x v="1"/>
    <x v="7"/>
    <x v="7"/>
    <s v="Hora Real Fim"/>
    <x v="129"/>
    <s v="0.345833333333333|3"/>
  </r>
  <r>
    <x v="1"/>
    <x v="1"/>
    <x v="8"/>
    <x v="8"/>
    <s v="Hora Real Inicio"/>
    <x v="130"/>
    <s v="0.35|3"/>
  </r>
  <r>
    <x v="1"/>
    <x v="1"/>
    <x v="8"/>
    <x v="8"/>
    <s v="Hora Real Fim"/>
    <x v="130"/>
    <s v="0.35|3"/>
  </r>
  <r>
    <x v="1"/>
    <x v="1"/>
    <x v="8"/>
    <x v="8"/>
    <s v="Hora Real Inicio"/>
    <x v="130"/>
    <s v="0.35|3"/>
  </r>
  <r>
    <x v="1"/>
    <x v="1"/>
    <x v="8"/>
    <x v="8"/>
    <s v="Hora Real Fim"/>
    <x v="130"/>
    <s v="0.35|3"/>
  </r>
  <r>
    <x v="0"/>
    <x v="1"/>
    <x v="2"/>
    <x v="2"/>
    <s v="Hora Real Fim"/>
    <x v="131"/>
    <s v="0.352083333333333|2"/>
  </r>
  <r>
    <x v="0"/>
    <x v="1"/>
    <x v="4"/>
    <x v="4"/>
    <s v="Hora Real Inicio"/>
    <x v="132"/>
    <s v="0.354166666666667|2"/>
  </r>
  <r>
    <x v="0"/>
    <x v="1"/>
    <x v="4"/>
    <x v="4"/>
    <s v="Hora Real Fim"/>
    <x v="132"/>
    <s v="0.354166666666667|2"/>
  </r>
  <r>
    <x v="1"/>
    <x v="1"/>
    <x v="7"/>
    <x v="7"/>
    <s v="Hora Real Inicio"/>
    <x v="132"/>
    <s v="0.354166666666667|3"/>
  </r>
  <r>
    <x v="1"/>
    <x v="1"/>
    <x v="7"/>
    <x v="7"/>
    <s v="Hora Real Fim"/>
    <x v="132"/>
    <s v="0.354166666666667|3"/>
  </r>
  <r>
    <x v="0"/>
    <x v="1"/>
    <x v="5"/>
    <x v="5"/>
    <s v="Hora Real Inicio"/>
    <x v="133"/>
    <s v="0.356944444444444|2"/>
  </r>
  <r>
    <x v="0"/>
    <x v="1"/>
    <x v="5"/>
    <x v="5"/>
    <s v="Hora Real Fim"/>
    <x v="133"/>
    <s v="0.356944444444444|2"/>
  </r>
  <r>
    <x v="1"/>
    <x v="1"/>
    <x v="6"/>
    <x v="6"/>
    <s v="Hora Real Inicio"/>
    <x v="134"/>
    <s v="0.358333333333333|3"/>
  </r>
  <r>
    <x v="1"/>
    <x v="1"/>
    <x v="6"/>
    <x v="6"/>
    <s v="Hora Real Fim"/>
    <x v="134"/>
    <s v="0.358333333333333|3"/>
  </r>
  <r>
    <x v="1"/>
    <x v="1"/>
    <x v="6"/>
    <x v="6"/>
    <s v="Hora Real Inicio"/>
    <x v="134"/>
    <s v="0.358333333333333|3"/>
  </r>
  <r>
    <x v="0"/>
    <x v="1"/>
    <x v="6"/>
    <x v="6"/>
    <s v="Hora Real Inicio"/>
    <x v="135"/>
    <s v="0.359027777777778|2"/>
  </r>
  <r>
    <x v="0"/>
    <x v="1"/>
    <x v="6"/>
    <x v="6"/>
    <s v="Hora Real Fim"/>
    <x v="135"/>
    <s v="0.359027777777778|2"/>
  </r>
  <r>
    <x v="0"/>
    <x v="1"/>
    <x v="7"/>
    <x v="7"/>
    <s v="Hora Real Inicio"/>
    <x v="136"/>
    <s v="0.363194444444444|2"/>
  </r>
  <r>
    <x v="0"/>
    <x v="1"/>
    <x v="7"/>
    <x v="7"/>
    <s v="Hora Real Fim"/>
    <x v="136"/>
    <s v="0.363194444444444|2"/>
  </r>
  <r>
    <x v="1"/>
    <x v="1"/>
    <x v="6"/>
    <x v="6"/>
    <s v="Hora Real Fim"/>
    <x v="137"/>
    <s v="0.365277777777778|3"/>
  </r>
  <r>
    <x v="1"/>
    <x v="1"/>
    <x v="5"/>
    <x v="5"/>
    <s v="Hora Real Inicio"/>
    <x v="138"/>
    <s v="0.366666666666667|3"/>
  </r>
  <r>
    <x v="1"/>
    <x v="1"/>
    <x v="5"/>
    <x v="5"/>
    <s v="Hora Real Fim"/>
    <x v="138"/>
    <s v="0.366666666666667|3"/>
  </r>
  <r>
    <x v="0"/>
    <x v="1"/>
    <x v="8"/>
    <x v="8"/>
    <s v="Hora Real Inicio"/>
    <x v="139"/>
    <s v="0.367361111111111|2"/>
  </r>
  <r>
    <x v="0"/>
    <x v="1"/>
    <x v="8"/>
    <x v="8"/>
    <s v="Hora Real Fim"/>
    <x v="139"/>
    <s v="0.367361111111111|2"/>
  </r>
  <r>
    <x v="0"/>
    <x v="1"/>
    <x v="8"/>
    <x v="8"/>
    <s v="Hora Real Inicio"/>
    <x v="139"/>
    <s v="0.367361111111111|2"/>
  </r>
  <r>
    <x v="0"/>
    <x v="1"/>
    <x v="8"/>
    <x v="8"/>
    <s v="Hora Real Fim"/>
    <x v="139"/>
    <s v="0.367361111111111|2"/>
  </r>
  <r>
    <x v="0"/>
    <x v="1"/>
    <x v="8"/>
    <x v="8"/>
    <s v="Hora Real Inicio"/>
    <x v="139"/>
    <s v="0.367361111111111|2"/>
  </r>
  <r>
    <x v="1"/>
    <x v="1"/>
    <x v="4"/>
    <x v="4"/>
    <s v="Hora Real Inicio"/>
    <x v="140"/>
    <s v="0.369444444444444|3"/>
  </r>
  <r>
    <x v="1"/>
    <x v="1"/>
    <x v="4"/>
    <x v="4"/>
    <s v="Hora Real Fim"/>
    <x v="140"/>
    <s v="0.369444444444444|3"/>
  </r>
  <r>
    <x v="1"/>
    <x v="1"/>
    <x v="2"/>
    <x v="2"/>
    <s v="Hora Real Inicio"/>
    <x v="141"/>
    <s v="0.372222222222222|3"/>
  </r>
  <r>
    <x v="1"/>
    <x v="1"/>
    <x v="2"/>
    <x v="2"/>
    <s v="Hora Real Fim"/>
    <x v="141"/>
    <s v="0.372222222222222|3"/>
  </r>
  <r>
    <x v="1"/>
    <x v="1"/>
    <x v="2"/>
    <x v="2"/>
    <s v="Hora Real Inicio"/>
    <x v="141"/>
    <s v="0.372222222222222|3"/>
  </r>
  <r>
    <x v="0"/>
    <x v="1"/>
    <x v="8"/>
    <x v="8"/>
    <s v="Hora Real Fim"/>
    <x v="142"/>
    <s v="0.374305555555556|2"/>
  </r>
  <r>
    <x v="0"/>
    <x v="1"/>
    <x v="7"/>
    <x v="7"/>
    <s v="Hora Real Inicio"/>
    <x v="143"/>
    <s v="0.378472222222222|2"/>
  </r>
  <r>
    <x v="0"/>
    <x v="1"/>
    <x v="7"/>
    <x v="7"/>
    <s v="Hora Real Fim"/>
    <x v="143"/>
    <s v="0.378472222222222|2"/>
  </r>
  <r>
    <x v="0"/>
    <x v="1"/>
    <x v="7"/>
    <x v="7"/>
    <s v="Hora Real Inicio"/>
    <x v="143"/>
    <s v="0.378472222222222|2"/>
  </r>
  <r>
    <x v="1"/>
    <x v="1"/>
    <x v="2"/>
    <x v="2"/>
    <s v="Hora Real Fim"/>
    <x v="144"/>
    <s v="0.381944444444444|3"/>
  </r>
  <r>
    <x v="0"/>
    <x v="1"/>
    <x v="7"/>
    <x v="7"/>
    <s v="Hora Real Fim"/>
    <x v="145"/>
    <s v="0.385416666666667|2"/>
  </r>
  <r>
    <x v="1"/>
    <x v="1"/>
    <x v="3"/>
    <x v="3"/>
    <s v="Hora Real Inicio"/>
    <x v="146"/>
    <s v="0.386111111111111|3"/>
  </r>
  <r>
    <x v="1"/>
    <x v="1"/>
    <x v="3"/>
    <x v="3"/>
    <s v="Hora Real Fim"/>
    <x v="146"/>
    <s v="0.386111111111111|3"/>
  </r>
  <r>
    <x v="1"/>
    <x v="1"/>
    <x v="1"/>
    <x v="1"/>
    <s v="Hora Real Inicio"/>
    <x v="147"/>
    <s v="0.3875|3"/>
  </r>
  <r>
    <x v="1"/>
    <x v="1"/>
    <x v="1"/>
    <x v="1"/>
    <s v="Hora Real Fim"/>
    <x v="147"/>
    <s v="0.3875|3"/>
  </r>
  <r>
    <x v="1"/>
    <x v="1"/>
    <x v="1"/>
    <x v="1"/>
    <s v="Hora Real Inicio"/>
    <x v="147"/>
    <s v="0.3875|3"/>
  </r>
  <r>
    <x v="0"/>
    <x v="1"/>
    <x v="6"/>
    <x v="6"/>
    <s v="Hora Real Inicio"/>
    <x v="148"/>
    <s v="0.389583333333333|2"/>
  </r>
  <r>
    <x v="0"/>
    <x v="1"/>
    <x v="6"/>
    <x v="6"/>
    <s v="Hora Real Fim"/>
    <x v="148"/>
    <s v="0.389583333333333|2"/>
  </r>
  <r>
    <x v="0"/>
    <x v="1"/>
    <x v="6"/>
    <x v="6"/>
    <s v="Hora Real Inicio"/>
    <x v="148"/>
    <s v="0.389583333333333|2"/>
  </r>
  <r>
    <x v="0"/>
    <x v="1"/>
    <x v="6"/>
    <x v="6"/>
    <s v="Hora Real Fim"/>
    <x v="149"/>
    <s v="0.396527777777778|2"/>
  </r>
  <r>
    <x v="0"/>
    <x v="1"/>
    <x v="5"/>
    <x v="5"/>
    <s v="Hora Real Inicio"/>
    <x v="150"/>
    <s v="0.398611111111111|2"/>
  </r>
  <r>
    <x v="0"/>
    <x v="1"/>
    <x v="5"/>
    <x v="5"/>
    <s v="Hora Real Fim"/>
    <x v="150"/>
    <s v="0.398611111111111|2"/>
  </r>
  <r>
    <x v="1"/>
    <x v="1"/>
    <x v="1"/>
    <x v="1"/>
    <s v="Hora Real Fim"/>
    <x v="151"/>
    <s v="0.4|3"/>
  </r>
  <r>
    <x v="0"/>
    <x v="1"/>
    <x v="4"/>
    <x v="4"/>
    <s v="Hora Real Inicio"/>
    <x v="152"/>
    <s v="0.401388888888889|2"/>
  </r>
  <r>
    <x v="0"/>
    <x v="1"/>
    <x v="4"/>
    <x v="4"/>
    <s v="Hora Real Fim"/>
    <x v="152"/>
    <s v="0.401388888888889|2"/>
  </r>
  <r>
    <x v="1"/>
    <x v="1"/>
    <x v="0"/>
    <x v="0"/>
    <s v="Hora Real Inicio"/>
    <x v="152"/>
    <s v="0.401388888888889|3"/>
  </r>
  <r>
    <x v="1"/>
    <x v="1"/>
    <x v="0"/>
    <x v="0"/>
    <s v="Hora Real Fim"/>
    <x v="152"/>
    <s v="0.401388888888889|3"/>
  </r>
  <r>
    <x v="1"/>
    <x v="1"/>
    <x v="9"/>
    <x v="9"/>
    <s v="Hora Real Inicio"/>
    <x v="153"/>
    <s v="0.402777777777778|3"/>
  </r>
  <r>
    <x v="1"/>
    <x v="1"/>
    <x v="9"/>
    <x v="9"/>
    <s v="Hora Real Fim"/>
    <x v="153"/>
    <s v="0.402777777777778|3"/>
  </r>
  <r>
    <x v="1"/>
    <x v="1"/>
    <x v="9"/>
    <x v="9"/>
    <s v="Hora Real Inicio"/>
    <x v="153"/>
    <s v="0.402777777777778|3"/>
  </r>
  <r>
    <x v="0"/>
    <x v="1"/>
    <x v="2"/>
    <x v="2"/>
    <s v="Hora Real Inicio"/>
    <x v="154"/>
    <s v="0.403472222222222|2"/>
  </r>
  <r>
    <x v="0"/>
    <x v="1"/>
    <x v="2"/>
    <x v="2"/>
    <s v="Hora Real Fim"/>
    <x v="154"/>
    <s v="0.403472222222222|2"/>
  </r>
  <r>
    <x v="0"/>
    <x v="1"/>
    <x v="2"/>
    <x v="2"/>
    <s v="Hora Real Inicio"/>
    <x v="154"/>
    <s v="0.403472222222222|2"/>
  </r>
  <r>
    <x v="0"/>
    <x v="1"/>
    <x v="2"/>
    <x v="2"/>
    <s v="Hora Real Fim"/>
    <x v="155"/>
    <s v="0.413888888888889|2"/>
  </r>
  <r>
    <x v="0"/>
    <x v="1"/>
    <x v="2"/>
    <x v="2"/>
    <s v="Hora Real Inicio"/>
    <x v="155"/>
    <s v="0.413888888888889|2"/>
  </r>
  <r>
    <x v="1"/>
    <x v="1"/>
    <x v="9"/>
    <x v="9"/>
    <s v="Hora Real Fim"/>
    <x v="156"/>
    <s v="0.420833333333333|3"/>
  </r>
  <r>
    <x v="1"/>
    <x v="1"/>
    <x v="9"/>
    <x v="9"/>
    <s v="Hora Real Inicio"/>
    <x v="156"/>
    <s v="0.420833333333333|3"/>
  </r>
  <r>
    <x v="1"/>
    <x v="1"/>
    <x v="9"/>
    <x v="9"/>
    <s v="Hora Real Fim"/>
    <x v="156"/>
    <s v="0.420833333333333|3"/>
  </r>
  <r>
    <x v="1"/>
    <x v="1"/>
    <x v="0"/>
    <x v="0"/>
    <s v="Hora Real Inicio"/>
    <x v="157"/>
    <s v="0.422222222222222|3"/>
  </r>
  <r>
    <x v="1"/>
    <x v="1"/>
    <x v="0"/>
    <x v="0"/>
    <s v="Hora Real Fim"/>
    <x v="157"/>
    <s v="0.422222222222222|3"/>
  </r>
  <r>
    <x v="1"/>
    <x v="1"/>
    <x v="0"/>
    <x v="0"/>
    <s v="Hora Real Inicio"/>
    <x v="157"/>
    <s v="0.422222222222222|3"/>
  </r>
  <r>
    <x v="0"/>
    <x v="1"/>
    <x v="2"/>
    <x v="2"/>
    <s v="Hora Real Fim"/>
    <x v="158"/>
    <s v="0.422916666666667|2"/>
  </r>
  <r>
    <x v="1"/>
    <x v="1"/>
    <x v="0"/>
    <x v="0"/>
    <s v="Hora Real Fim"/>
    <x v="159"/>
    <s v="0.425|3"/>
  </r>
  <r>
    <x v="1"/>
    <x v="1"/>
    <x v="1"/>
    <x v="1"/>
    <s v="Hora Real Inicio"/>
    <x v="160"/>
    <s v="0.425694444444444|3"/>
  </r>
  <r>
    <x v="1"/>
    <x v="1"/>
    <x v="1"/>
    <x v="1"/>
    <s v="Hora Real Fim"/>
    <x v="160"/>
    <s v="0.425694444444444|3"/>
  </r>
  <r>
    <x v="1"/>
    <x v="1"/>
    <x v="1"/>
    <x v="1"/>
    <s v="Hora Real Inicio"/>
    <x v="160"/>
    <s v="0.425694444444444|3"/>
  </r>
  <r>
    <x v="0"/>
    <x v="1"/>
    <x v="3"/>
    <x v="3"/>
    <s v="Hora Real Inicio"/>
    <x v="161"/>
    <s v="0.426388888888889|2"/>
  </r>
  <r>
    <x v="0"/>
    <x v="1"/>
    <x v="3"/>
    <x v="3"/>
    <s v="Hora Real Fim"/>
    <x v="161"/>
    <s v="0.426388888888889|2"/>
  </r>
  <r>
    <x v="0"/>
    <x v="1"/>
    <x v="3"/>
    <x v="3"/>
    <s v="Hora Real Inicio"/>
    <x v="161"/>
    <s v="0.426388888888889|2"/>
  </r>
  <r>
    <x v="1"/>
    <x v="1"/>
    <x v="1"/>
    <x v="1"/>
    <s v="Hora Real Fim"/>
    <x v="162"/>
    <s v="0.438194444444444|3"/>
  </r>
  <r>
    <x v="1"/>
    <x v="1"/>
    <x v="3"/>
    <x v="3"/>
    <s v="Hora Real Inicio"/>
    <x v="163"/>
    <s v="0.440277777777778|3"/>
  </r>
  <r>
    <x v="1"/>
    <x v="1"/>
    <x v="3"/>
    <x v="3"/>
    <s v="Hora Real Fim"/>
    <x v="163"/>
    <s v="0.440277777777778|3"/>
  </r>
  <r>
    <x v="1"/>
    <x v="1"/>
    <x v="3"/>
    <x v="3"/>
    <s v="Hora Real Inicio"/>
    <x v="163"/>
    <s v="0.440277777777778|3"/>
  </r>
  <r>
    <x v="0"/>
    <x v="1"/>
    <x v="3"/>
    <x v="3"/>
    <s v="Hora Real Fim"/>
    <x v="164"/>
    <s v="0.468055555555556|2"/>
  </r>
  <r>
    <x v="0"/>
    <x v="1"/>
    <x v="3"/>
    <x v="3"/>
    <s v="Hora Real Inicio"/>
    <x v="164"/>
    <s v="0.468055555555556|2"/>
  </r>
  <r>
    <x v="0"/>
    <x v="1"/>
    <x v="3"/>
    <x v="3"/>
    <s v="Hora Real Fim"/>
    <x v="165"/>
    <s v="0.477083333333333|2"/>
  </r>
  <r>
    <x v="0"/>
    <x v="1"/>
    <x v="1"/>
    <x v="1"/>
    <s v="Hora Real Inicio"/>
    <x v="166"/>
    <s v="0.479166666666667|2"/>
  </r>
  <r>
    <x v="0"/>
    <x v="1"/>
    <x v="1"/>
    <x v="1"/>
    <s v="Hora Real Fim"/>
    <x v="166"/>
    <s v="0.479166666666667|2"/>
  </r>
  <r>
    <x v="0"/>
    <x v="1"/>
    <x v="1"/>
    <x v="1"/>
    <s v="Hora Real Inicio"/>
    <x v="166"/>
    <s v="0.479166666666667|2"/>
  </r>
  <r>
    <x v="1"/>
    <x v="1"/>
    <x v="3"/>
    <x v="3"/>
    <s v="Hora Real Fim"/>
    <x v="167"/>
    <s v="0.481944444444444|3"/>
  </r>
  <r>
    <x v="1"/>
    <x v="1"/>
    <x v="3"/>
    <x v="3"/>
    <s v="Hora Real Inicio"/>
    <x v="167"/>
    <s v="0.481944444444444|3"/>
  </r>
  <r>
    <x v="1"/>
    <x v="1"/>
    <x v="3"/>
    <x v="3"/>
    <s v="Hora Real Fim"/>
    <x v="168"/>
    <s v="0.490972222222222|3"/>
  </r>
  <r>
    <x v="0"/>
    <x v="1"/>
    <x v="1"/>
    <x v="1"/>
    <s v="Hora Real Fim"/>
    <x v="169"/>
    <s v="0.491666666666667|2"/>
  </r>
  <r>
    <x v="0"/>
    <x v="1"/>
    <x v="0"/>
    <x v="0"/>
    <s v="Hora Real Inicio"/>
    <x v="170"/>
    <s v="0.492361111111111|2"/>
  </r>
  <r>
    <x v="0"/>
    <x v="1"/>
    <x v="0"/>
    <x v="0"/>
    <s v="Hora Real Fim"/>
    <x v="170"/>
    <s v="0.492361111111111|2"/>
  </r>
  <r>
    <x v="0"/>
    <x v="1"/>
    <x v="0"/>
    <x v="0"/>
    <s v="Hora Real Inicio"/>
    <x v="170"/>
    <s v="0.492361111111111|2"/>
  </r>
  <r>
    <x v="1"/>
    <x v="1"/>
    <x v="2"/>
    <x v="2"/>
    <s v="Hora Real Inicio"/>
    <x v="171"/>
    <s v="0.494444444444444|3"/>
  </r>
  <r>
    <x v="1"/>
    <x v="1"/>
    <x v="2"/>
    <x v="2"/>
    <s v="Hora Real Fim"/>
    <x v="171"/>
    <s v="0.494444444444444|3"/>
  </r>
  <r>
    <x v="1"/>
    <x v="1"/>
    <x v="2"/>
    <x v="2"/>
    <s v="Hora Real Inicio"/>
    <x v="171"/>
    <s v="0.494444444444444|3"/>
  </r>
  <r>
    <x v="0"/>
    <x v="1"/>
    <x v="0"/>
    <x v="0"/>
    <s v="Hora Real Fim"/>
    <x v="172"/>
    <s v="0.495138888888889|2"/>
  </r>
  <r>
    <x v="0"/>
    <x v="1"/>
    <x v="9"/>
    <x v="9"/>
    <s v="Hora Real Inicio"/>
    <x v="173"/>
    <s v="0.496527777777778|2"/>
  </r>
  <r>
    <x v="0"/>
    <x v="1"/>
    <x v="9"/>
    <x v="9"/>
    <s v="Hora Real Fim"/>
    <x v="173"/>
    <s v="0.496527777777778|2"/>
  </r>
  <r>
    <x v="0"/>
    <x v="1"/>
    <x v="9"/>
    <x v="9"/>
    <s v="Hora Real Inicio"/>
    <x v="173"/>
    <s v="0.496527777777778|2"/>
  </r>
  <r>
    <x v="1"/>
    <x v="1"/>
    <x v="2"/>
    <x v="2"/>
    <s v="Hora Real Fim"/>
    <x v="174"/>
    <s v="0.503472222222222|3"/>
  </r>
  <r>
    <x v="1"/>
    <x v="1"/>
    <x v="4"/>
    <x v="4"/>
    <s v="Hora Real Inicio"/>
    <x v="175"/>
    <s v="0.505555555555556|3"/>
  </r>
  <r>
    <x v="1"/>
    <x v="1"/>
    <x v="4"/>
    <x v="4"/>
    <s v="Hora Real Fim"/>
    <x v="175"/>
    <s v="0.505555555555556|3"/>
  </r>
  <r>
    <x v="1"/>
    <x v="1"/>
    <x v="5"/>
    <x v="5"/>
    <s v="Hora Real Inicio"/>
    <x v="176"/>
    <s v="0.508333333333333|3"/>
  </r>
  <r>
    <x v="1"/>
    <x v="1"/>
    <x v="5"/>
    <x v="5"/>
    <s v="Hora Real Fim"/>
    <x v="176"/>
    <s v="0.508333333333333|3"/>
  </r>
  <r>
    <x v="1"/>
    <x v="1"/>
    <x v="6"/>
    <x v="6"/>
    <s v="Hora Real Inicio"/>
    <x v="177"/>
    <s v="0.510416666666667|3"/>
  </r>
  <r>
    <x v="1"/>
    <x v="1"/>
    <x v="6"/>
    <x v="6"/>
    <s v="Hora Real Fim"/>
    <x v="177"/>
    <s v="0.510416666666667|3"/>
  </r>
  <r>
    <x v="1"/>
    <x v="1"/>
    <x v="6"/>
    <x v="6"/>
    <s v="Hora Real Inicio"/>
    <x v="177"/>
    <s v="0.510416666666667|3"/>
  </r>
  <r>
    <x v="0"/>
    <x v="1"/>
    <x v="9"/>
    <x v="9"/>
    <s v="Hora Real Fim"/>
    <x v="178"/>
    <s v="0.516666666666667|2"/>
  </r>
  <r>
    <x v="0"/>
    <x v="1"/>
    <x v="9"/>
    <x v="9"/>
    <s v="Hora Real Inicio"/>
    <x v="178"/>
    <s v="0.516666666666667|2"/>
  </r>
  <r>
    <x v="1"/>
    <x v="1"/>
    <x v="6"/>
    <x v="6"/>
    <s v="Hora Real Fim"/>
    <x v="179"/>
    <s v="0.517361111111111|3"/>
  </r>
  <r>
    <x v="1"/>
    <x v="1"/>
    <x v="7"/>
    <x v="7"/>
    <s v="Hora Real Inicio"/>
    <x v="180"/>
    <s v="0.521527777777778|3"/>
  </r>
  <r>
    <x v="1"/>
    <x v="1"/>
    <x v="7"/>
    <x v="7"/>
    <s v="Hora Real Fim"/>
    <x v="180"/>
    <s v="0.521527777777778|3"/>
  </r>
  <r>
    <x v="1"/>
    <x v="1"/>
    <x v="7"/>
    <x v="7"/>
    <s v="Hora Real Inicio"/>
    <x v="180"/>
    <s v="0.521527777777778|3"/>
  </r>
  <r>
    <x v="1"/>
    <x v="1"/>
    <x v="7"/>
    <x v="7"/>
    <s v="Hora Real Fim"/>
    <x v="181"/>
    <s v="0.528472222222222|3"/>
  </r>
  <r>
    <x v="1"/>
    <x v="1"/>
    <x v="8"/>
    <x v="8"/>
    <s v="Hora Real Inicio"/>
    <x v="182"/>
    <s v="0.532638888888889|3"/>
  </r>
  <r>
    <x v="1"/>
    <x v="1"/>
    <x v="8"/>
    <x v="8"/>
    <s v="Hora Real Fim"/>
    <x v="182"/>
    <s v="0.532638888888889|3"/>
  </r>
  <r>
    <x v="1"/>
    <x v="1"/>
    <x v="8"/>
    <x v="8"/>
    <s v="Hora Real Inicio"/>
    <x v="182"/>
    <s v="0.532638888888889|3"/>
  </r>
  <r>
    <x v="1"/>
    <x v="1"/>
    <x v="8"/>
    <x v="8"/>
    <s v="Hora Real Fim"/>
    <x v="182"/>
    <s v="0.532638888888889|3"/>
  </r>
  <r>
    <x v="1"/>
    <x v="1"/>
    <x v="7"/>
    <x v="7"/>
    <s v="Hora Real Inicio"/>
    <x v="183"/>
    <s v="0.536805555555556|3"/>
  </r>
  <r>
    <x v="1"/>
    <x v="1"/>
    <x v="7"/>
    <x v="7"/>
    <s v="Hora Real Fim"/>
    <x v="183"/>
    <s v="0.536805555555556|3"/>
  </r>
  <r>
    <x v="1"/>
    <x v="1"/>
    <x v="7"/>
    <x v="7"/>
    <s v="Hora Real Inicio"/>
    <x v="183"/>
    <s v="0.536805555555556|3"/>
  </r>
  <r>
    <x v="0"/>
    <x v="1"/>
    <x v="9"/>
    <x v="9"/>
    <s v="Hora Real Fim"/>
    <x v="184"/>
    <s v="0.5375|2"/>
  </r>
  <r>
    <x v="0"/>
    <x v="1"/>
    <x v="9"/>
    <x v="9"/>
    <s v="Hora Real Inicio"/>
    <x v="184"/>
    <s v="0.5375|2"/>
  </r>
  <r>
    <x v="0"/>
    <x v="1"/>
    <x v="9"/>
    <x v="9"/>
    <s v="Hora Real Fim"/>
    <x v="184"/>
    <s v="0.5375|2"/>
  </r>
  <r>
    <x v="0"/>
    <x v="1"/>
    <x v="9"/>
    <x v="9"/>
    <s v="Hora Real Inicio"/>
    <x v="184"/>
    <s v="0.5375|2"/>
  </r>
  <r>
    <x v="0"/>
    <x v="1"/>
    <x v="9"/>
    <x v="9"/>
    <s v="Hora Real Fim"/>
    <x v="185"/>
    <s v="0.543055555555556|2"/>
  </r>
  <r>
    <x v="1"/>
    <x v="1"/>
    <x v="7"/>
    <x v="7"/>
    <s v="Hora Real Fim"/>
    <x v="186"/>
    <s v="0.54375|3"/>
  </r>
  <r>
    <x v="0"/>
    <x v="1"/>
    <x v="0"/>
    <x v="0"/>
    <s v="Hora Real Inicio"/>
    <x v="187"/>
    <s v="0.544444444444444|2"/>
  </r>
  <r>
    <x v="0"/>
    <x v="1"/>
    <x v="0"/>
    <x v="0"/>
    <s v="Hora Real Fim"/>
    <x v="187"/>
    <s v="0.544444444444444|2"/>
  </r>
  <r>
    <x v="0"/>
    <x v="1"/>
    <x v="1"/>
    <x v="1"/>
    <s v="Hora Real Inicio"/>
    <x v="188"/>
    <s v="0.545138888888889|2"/>
  </r>
  <r>
    <x v="0"/>
    <x v="1"/>
    <x v="1"/>
    <x v="1"/>
    <s v="Hora Real Fim"/>
    <x v="188"/>
    <s v="0.545138888888889|2"/>
  </r>
  <r>
    <x v="0"/>
    <x v="1"/>
    <x v="3"/>
    <x v="3"/>
    <s v="Hora Real Inicio"/>
    <x v="189"/>
    <s v="0.547222222222222|2"/>
  </r>
  <r>
    <x v="0"/>
    <x v="1"/>
    <x v="3"/>
    <x v="3"/>
    <s v="Hora Real Fim"/>
    <x v="189"/>
    <s v="0.547222222222222|2"/>
  </r>
  <r>
    <x v="0"/>
    <x v="1"/>
    <x v="3"/>
    <x v="3"/>
    <s v="Hora Real Inicio"/>
    <x v="189"/>
    <s v="0.547222222222222|2"/>
  </r>
  <r>
    <x v="1"/>
    <x v="1"/>
    <x v="6"/>
    <x v="6"/>
    <s v="Hora Real Inicio"/>
    <x v="190"/>
    <s v="0.547916666666667|3"/>
  </r>
  <r>
    <x v="1"/>
    <x v="1"/>
    <x v="6"/>
    <x v="6"/>
    <s v="Hora Real Fim"/>
    <x v="190"/>
    <s v="0.547916666666667|3"/>
  </r>
  <r>
    <x v="1"/>
    <x v="1"/>
    <x v="5"/>
    <x v="5"/>
    <s v="Hora Real Inicio"/>
    <x v="191"/>
    <s v="0.55|3"/>
  </r>
  <r>
    <x v="1"/>
    <x v="1"/>
    <x v="5"/>
    <x v="5"/>
    <s v="Hora Real Fim"/>
    <x v="191"/>
    <s v="0.55|3"/>
  </r>
  <r>
    <x v="1"/>
    <x v="1"/>
    <x v="4"/>
    <x v="4"/>
    <s v="Hora Real Inicio"/>
    <x v="192"/>
    <s v="0.552777777777778|3"/>
  </r>
  <r>
    <x v="1"/>
    <x v="1"/>
    <x v="4"/>
    <x v="4"/>
    <s v="Hora Real Fim"/>
    <x v="192"/>
    <s v="0.552777777777778|3"/>
  </r>
  <r>
    <x v="1"/>
    <x v="1"/>
    <x v="2"/>
    <x v="2"/>
    <s v="Hora Real Inicio"/>
    <x v="193"/>
    <s v="0.554861111111111|3"/>
  </r>
  <r>
    <x v="1"/>
    <x v="1"/>
    <x v="2"/>
    <x v="2"/>
    <s v="Hora Real Fim"/>
    <x v="193"/>
    <s v="0.554861111111111|3"/>
  </r>
  <r>
    <x v="0"/>
    <x v="1"/>
    <x v="3"/>
    <x v="3"/>
    <s v="Hora Real Fim"/>
    <x v="194"/>
    <s v="0.55625|2"/>
  </r>
  <r>
    <x v="1"/>
    <x v="1"/>
    <x v="3"/>
    <x v="3"/>
    <s v="Hora Real Inicio"/>
    <x v="195"/>
    <s v="0.558333333333333|3"/>
  </r>
  <r>
    <x v="1"/>
    <x v="1"/>
    <x v="3"/>
    <x v="3"/>
    <s v="Hora Real Fim"/>
    <x v="195"/>
    <s v="0.558333333333333|3"/>
  </r>
  <r>
    <x v="1"/>
    <x v="1"/>
    <x v="3"/>
    <x v="3"/>
    <s v="Hora Real Inicio"/>
    <x v="195"/>
    <s v="0.558333333333333|3"/>
  </r>
  <r>
    <x v="0"/>
    <x v="1"/>
    <x v="2"/>
    <x v="2"/>
    <s v="Hora Real Inicio"/>
    <x v="196"/>
    <s v="0.559722222222222|2"/>
  </r>
  <r>
    <x v="0"/>
    <x v="1"/>
    <x v="2"/>
    <x v="2"/>
    <s v="Hora Real Fim"/>
    <x v="196"/>
    <s v="0.559722222222222|2"/>
  </r>
  <r>
    <x v="0"/>
    <x v="1"/>
    <x v="4"/>
    <x v="4"/>
    <s v="Hora Real Inicio"/>
    <x v="197"/>
    <s v="0.561805555555556|2"/>
  </r>
  <r>
    <x v="0"/>
    <x v="1"/>
    <x v="4"/>
    <x v="4"/>
    <s v="Hora Real Fim"/>
    <x v="197"/>
    <s v="0.561805555555556|2"/>
  </r>
  <r>
    <x v="0"/>
    <x v="1"/>
    <x v="4"/>
    <x v="4"/>
    <s v="Hora Real Inicio"/>
    <x v="197"/>
    <s v="0.561805555555556|2"/>
  </r>
  <r>
    <x v="0"/>
    <x v="1"/>
    <x v="4"/>
    <x v="4"/>
    <s v="Hora Real Fim"/>
    <x v="197"/>
    <s v="0.561805555555556|2"/>
  </r>
  <r>
    <x v="0"/>
    <x v="1"/>
    <x v="5"/>
    <x v="5"/>
    <s v="Hora Real Inicio"/>
    <x v="198"/>
    <s v="0.564583333333333|2"/>
  </r>
  <r>
    <x v="0"/>
    <x v="1"/>
    <x v="5"/>
    <x v="5"/>
    <s v="Hora Real Fim"/>
    <x v="198"/>
    <s v="0.564583333333333|2"/>
  </r>
  <r>
    <x v="0"/>
    <x v="1"/>
    <x v="5"/>
    <x v="5"/>
    <s v="Hora Real Inicio"/>
    <x v="198"/>
    <s v="0.564583333333333|2"/>
  </r>
  <r>
    <x v="0"/>
    <x v="1"/>
    <x v="5"/>
    <x v="5"/>
    <s v="Hora Real Fim"/>
    <x v="198"/>
    <s v="0.564583333333333|2"/>
  </r>
  <r>
    <x v="0"/>
    <x v="1"/>
    <x v="6"/>
    <x v="6"/>
    <s v="Hora Real Inicio"/>
    <x v="199"/>
    <s v="0.566666666666667|2"/>
  </r>
  <r>
    <x v="0"/>
    <x v="1"/>
    <x v="6"/>
    <x v="6"/>
    <s v="Hora Real Fim"/>
    <x v="199"/>
    <s v="0.566666666666667|2"/>
  </r>
  <r>
    <x v="0"/>
    <x v="1"/>
    <x v="6"/>
    <x v="6"/>
    <s v="Hora Real Inicio"/>
    <x v="199"/>
    <s v="0.566666666666667|2"/>
  </r>
  <r>
    <x v="1"/>
    <x v="1"/>
    <x v="3"/>
    <x v="3"/>
    <s v="Hora Real Fim"/>
    <x v="200"/>
    <s v="0.567361111111111|3"/>
  </r>
  <r>
    <x v="1"/>
    <x v="1"/>
    <x v="1"/>
    <x v="1"/>
    <s v="Hora Real Inicio"/>
    <x v="201"/>
    <s v="0.569444444444444|3"/>
  </r>
  <r>
    <x v="1"/>
    <x v="1"/>
    <x v="1"/>
    <x v="1"/>
    <s v="Hora Real Fim"/>
    <x v="201"/>
    <s v="0.569444444444444|3"/>
  </r>
  <r>
    <x v="1"/>
    <x v="1"/>
    <x v="0"/>
    <x v="0"/>
    <s v="Hora Real Inicio"/>
    <x v="202"/>
    <s v="0.570138888888889|3"/>
  </r>
  <r>
    <x v="1"/>
    <x v="1"/>
    <x v="0"/>
    <x v="0"/>
    <s v="Hora Real Fim"/>
    <x v="202"/>
    <s v="0.570138888888889|3"/>
  </r>
  <r>
    <x v="1"/>
    <x v="1"/>
    <x v="0"/>
    <x v="0"/>
    <s v="Hora Real Inicio"/>
    <x v="202"/>
    <s v="0.570138888888889|3"/>
  </r>
  <r>
    <x v="1"/>
    <x v="1"/>
    <x v="0"/>
    <x v="0"/>
    <s v="Hora Real Fim"/>
    <x v="203"/>
    <s v="0.572916666666667|3"/>
  </r>
  <r>
    <x v="0"/>
    <x v="1"/>
    <x v="6"/>
    <x v="6"/>
    <s v="Hora Real Fim"/>
    <x v="204"/>
    <s v="0.573611111111111|2"/>
  </r>
  <r>
    <x v="1"/>
    <x v="1"/>
    <x v="9"/>
    <x v="9"/>
    <s v="Hora Real Inicio"/>
    <x v="205"/>
    <s v="0.574305555555556|3"/>
  </r>
  <r>
    <x v="1"/>
    <x v="1"/>
    <x v="9"/>
    <x v="9"/>
    <s v="Hora Real Fim"/>
    <x v="205"/>
    <s v="0.574305555555556|3"/>
  </r>
  <r>
    <x v="1"/>
    <x v="1"/>
    <x v="9"/>
    <x v="9"/>
    <s v="Hora Real Inicio"/>
    <x v="205"/>
    <s v="0.574305555555556|3"/>
  </r>
  <r>
    <x v="1"/>
    <x v="1"/>
    <x v="9"/>
    <x v="9"/>
    <s v="Hora Real Fim"/>
    <x v="205"/>
    <s v="0.574305555555556|3"/>
  </r>
  <r>
    <x v="1"/>
    <x v="1"/>
    <x v="9"/>
    <x v="9"/>
    <s v="Hora Real Inicio"/>
    <x v="205"/>
    <s v="0.574305555555556|3"/>
  </r>
  <r>
    <x v="0"/>
    <x v="1"/>
    <x v="7"/>
    <x v="7"/>
    <s v="Hora Real Inicio"/>
    <x v="206"/>
    <s v="0.577777777777778|2"/>
  </r>
  <r>
    <x v="0"/>
    <x v="1"/>
    <x v="7"/>
    <x v="7"/>
    <s v="Hora Real Fim"/>
    <x v="206"/>
    <s v="0.577777777777778|2"/>
  </r>
  <r>
    <x v="0"/>
    <x v="1"/>
    <x v="7"/>
    <x v="7"/>
    <s v="Hora Real Inicio"/>
    <x v="206"/>
    <s v="0.577777777777778|2"/>
  </r>
  <r>
    <x v="1"/>
    <x v="1"/>
    <x v="9"/>
    <x v="9"/>
    <s v="Hora Real Fim"/>
    <x v="207"/>
    <s v="0.579861111111111|3"/>
  </r>
  <r>
    <x v="1"/>
    <x v="1"/>
    <x v="0"/>
    <x v="0"/>
    <s v="Hora Real Inicio"/>
    <x v="208"/>
    <s v="0.58125|3"/>
  </r>
  <r>
    <x v="1"/>
    <x v="1"/>
    <x v="0"/>
    <x v="0"/>
    <s v="Hora Real Fim"/>
    <x v="208"/>
    <s v="0.58125|3"/>
  </r>
  <r>
    <x v="1"/>
    <x v="1"/>
    <x v="1"/>
    <x v="1"/>
    <s v="Hora Real Inicio"/>
    <x v="209"/>
    <s v="0.581944444444444|3"/>
  </r>
  <r>
    <x v="1"/>
    <x v="1"/>
    <x v="1"/>
    <x v="1"/>
    <s v="Hora Real Fim"/>
    <x v="209"/>
    <s v="0.581944444444444|3"/>
  </r>
  <r>
    <x v="1"/>
    <x v="1"/>
    <x v="3"/>
    <x v="3"/>
    <s v="Hora Real Inicio"/>
    <x v="210"/>
    <s v="0.584027777777778|3"/>
  </r>
  <r>
    <x v="1"/>
    <x v="1"/>
    <x v="3"/>
    <x v="3"/>
    <s v="Hora Real Fim"/>
    <x v="210"/>
    <s v="0.584027777777778|3"/>
  </r>
  <r>
    <x v="0"/>
    <x v="1"/>
    <x v="7"/>
    <x v="7"/>
    <s v="Hora Real Fim"/>
    <x v="211"/>
    <s v="0.584722222222222|2"/>
  </r>
  <r>
    <x v="1"/>
    <x v="1"/>
    <x v="2"/>
    <x v="2"/>
    <s v="Hora Real Inicio"/>
    <x v="212"/>
    <s v="0.5875|3"/>
  </r>
  <r>
    <x v="1"/>
    <x v="1"/>
    <x v="2"/>
    <x v="2"/>
    <s v="Hora Real Fim"/>
    <x v="212"/>
    <s v="0.5875|3"/>
  </r>
  <r>
    <x v="0"/>
    <x v="1"/>
    <x v="8"/>
    <x v="8"/>
    <s v="Hora Real Inicio"/>
    <x v="213"/>
    <s v="0.588888888888889|2"/>
  </r>
  <r>
    <x v="0"/>
    <x v="1"/>
    <x v="8"/>
    <x v="8"/>
    <s v="Hora Real Fim"/>
    <x v="213"/>
    <s v="0.588888888888889|2"/>
  </r>
  <r>
    <x v="0"/>
    <x v="1"/>
    <x v="8"/>
    <x v="8"/>
    <s v="Hora Real Inicio"/>
    <x v="213"/>
    <s v="0.588888888888889|2"/>
  </r>
  <r>
    <x v="0"/>
    <x v="1"/>
    <x v="8"/>
    <x v="8"/>
    <s v="Hora Real Fim"/>
    <x v="213"/>
    <s v="0.588888888888889|2"/>
  </r>
  <r>
    <x v="1"/>
    <x v="1"/>
    <x v="4"/>
    <x v="4"/>
    <s v="Hora Real Inicio"/>
    <x v="214"/>
    <s v="0.589583333333333|3"/>
  </r>
  <r>
    <x v="1"/>
    <x v="1"/>
    <x v="4"/>
    <x v="4"/>
    <s v="Hora Real Fim"/>
    <x v="214"/>
    <s v="0.589583333333333|3"/>
  </r>
  <r>
    <x v="1"/>
    <x v="1"/>
    <x v="4"/>
    <x v="4"/>
    <s v="Hora Real Inicio"/>
    <x v="214"/>
    <s v="0.589583333333333|3"/>
  </r>
  <r>
    <x v="1"/>
    <x v="1"/>
    <x v="4"/>
    <x v="4"/>
    <s v="Hora Real Fim"/>
    <x v="214"/>
    <s v="0.589583333333333|3"/>
  </r>
  <r>
    <x v="1"/>
    <x v="1"/>
    <x v="5"/>
    <x v="5"/>
    <s v="Hora Real Inicio"/>
    <x v="215"/>
    <s v="0.592361111111111|3"/>
  </r>
  <r>
    <x v="1"/>
    <x v="1"/>
    <x v="5"/>
    <x v="5"/>
    <s v="Hora Real Fim"/>
    <x v="215"/>
    <s v="0.592361111111111|3"/>
  </r>
  <r>
    <x v="1"/>
    <x v="1"/>
    <x v="5"/>
    <x v="5"/>
    <s v="Hora Real Inicio"/>
    <x v="215"/>
    <s v="0.592361111111111|3"/>
  </r>
  <r>
    <x v="1"/>
    <x v="1"/>
    <x v="5"/>
    <x v="5"/>
    <s v="Hora Real Fim"/>
    <x v="215"/>
    <s v="0.592361111111111|3"/>
  </r>
  <r>
    <x v="0"/>
    <x v="1"/>
    <x v="7"/>
    <x v="7"/>
    <s v="Hora Real Inicio"/>
    <x v="216"/>
    <s v="0.593055555555556|2"/>
  </r>
  <r>
    <x v="0"/>
    <x v="1"/>
    <x v="7"/>
    <x v="7"/>
    <s v="Hora Real Fim"/>
    <x v="216"/>
    <s v="0.593055555555556|2"/>
  </r>
  <r>
    <x v="1"/>
    <x v="1"/>
    <x v="6"/>
    <x v="6"/>
    <s v="Hora Real Inicio"/>
    <x v="217"/>
    <s v="0.594444444444444|3"/>
  </r>
  <r>
    <x v="1"/>
    <x v="1"/>
    <x v="6"/>
    <x v="6"/>
    <s v="Hora Real Fim"/>
    <x v="217"/>
    <s v="0.594444444444444|3"/>
  </r>
  <r>
    <x v="0"/>
    <x v="1"/>
    <x v="6"/>
    <x v="6"/>
    <s v="Hora Real Inicio"/>
    <x v="218"/>
    <s v="0.597222222222222|2"/>
  </r>
  <r>
    <x v="0"/>
    <x v="1"/>
    <x v="6"/>
    <x v="6"/>
    <s v="Hora Real Fim"/>
    <x v="218"/>
    <s v="0.597222222222222|2"/>
  </r>
  <r>
    <x v="1"/>
    <x v="1"/>
    <x v="7"/>
    <x v="7"/>
    <s v="Hora Real Inicio"/>
    <x v="219"/>
    <s v="0.598611111111111|3"/>
  </r>
  <r>
    <x v="1"/>
    <x v="1"/>
    <x v="7"/>
    <x v="7"/>
    <s v="Hora Real Fim"/>
    <x v="219"/>
    <s v="0.598611111111111|3"/>
  </r>
  <r>
    <x v="0"/>
    <x v="1"/>
    <x v="5"/>
    <x v="5"/>
    <s v="Hora Real Inicio"/>
    <x v="220"/>
    <s v="0.599305555555556|2"/>
  </r>
  <r>
    <x v="0"/>
    <x v="1"/>
    <x v="5"/>
    <x v="5"/>
    <s v="Hora Real Fim"/>
    <x v="220"/>
    <s v="0.599305555555556|2"/>
  </r>
  <r>
    <x v="0"/>
    <x v="1"/>
    <x v="5"/>
    <x v="5"/>
    <s v="Hora Real Inicio"/>
    <x v="220"/>
    <s v="0.599305555555556|2"/>
  </r>
  <r>
    <x v="0"/>
    <x v="1"/>
    <x v="5"/>
    <x v="5"/>
    <s v="Hora Real Fim"/>
    <x v="220"/>
    <s v="0.599305555555556|2"/>
  </r>
  <r>
    <x v="0"/>
    <x v="1"/>
    <x v="4"/>
    <x v="4"/>
    <s v="Hora Real Inicio"/>
    <x v="221"/>
    <s v="0.602083333333333|2"/>
  </r>
  <r>
    <x v="0"/>
    <x v="1"/>
    <x v="4"/>
    <x v="4"/>
    <s v="Hora Real Fim"/>
    <x v="221"/>
    <s v="0.602083333333333|2"/>
  </r>
  <r>
    <x v="0"/>
    <x v="1"/>
    <x v="4"/>
    <x v="4"/>
    <s v="Hora Real Inicio"/>
    <x v="221"/>
    <s v="0.602083333333333|2"/>
  </r>
  <r>
    <x v="0"/>
    <x v="1"/>
    <x v="4"/>
    <x v="4"/>
    <s v="Hora Real Fim"/>
    <x v="221"/>
    <s v="0.602083333333333|2"/>
  </r>
  <r>
    <x v="1"/>
    <x v="1"/>
    <x v="8"/>
    <x v="8"/>
    <s v="Hora Real Inicio"/>
    <x v="222"/>
    <s v="0.602777777777778|3"/>
  </r>
  <r>
    <x v="1"/>
    <x v="1"/>
    <x v="8"/>
    <x v="8"/>
    <s v="Hora Real Fim"/>
    <x v="222"/>
    <s v="0.602777777777778|3"/>
  </r>
  <r>
    <x v="1"/>
    <x v="1"/>
    <x v="8"/>
    <x v="8"/>
    <s v="Hora Real Inicio"/>
    <x v="222"/>
    <s v="0.602777777777778|3"/>
  </r>
  <r>
    <x v="1"/>
    <x v="1"/>
    <x v="8"/>
    <x v="8"/>
    <s v="Hora Real Fim"/>
    <x v="222"/>
    <s v="0.602777777777778|3"/>
  </r>
  <r>
    <x v="1"/>
    <x v="1"/>
    <x v="8"/>
    <x v="8"/>
    <s v="Hora Real Inicio"/>
    <x v="222"/>
    <s v="0.602777777777778|3"/>
  </r>
  <r>
    <x v="0"/>
    <x v="1"/>
    <x v="2"/>
    <x v="2"/>
    <s v="Hora Real Inicio"/>
    <x v="223"/>
    <s v="0.604166666666667|2"/>
  </r>
  <r>
    <x v="0"/>
    <x v="1"/>
    <x v="2"/>
    <x v="2"/>
    <s v="Hora Real Fim"/>
    <x v="223"/>
    <s v="0.604166666666667|2"/>
  </r>
  <r>
    <x v="0"/>
    <x v="1"/>
    <x v="2"/>
    <x v="2"/>
    <s v="Hora Real Inicio"/>
    <x v="223"/>
    <s v="0.604166666666667|2"/>
  </r>
  <r>
    <x v="1"/>
    <x v="1"/>
    <x v="8"/>
    <x v="8"/>
    <s v="Hora Real Fim"/>
    <x v="224"/>
    <s v="0.609722222222222|3"/>
  </r>
  <r>
    <x v="1"/>
    <x v="1"/>
    <x v="7"/>
    <x v="7"/>
    <s v="Hora Real Inicio"/>
    <x v="225"/>
    <s v="0.613888888888889|3"/>
  </r>
  <r>
    <x v="1"/>
    <x v="1"/>
    <x v="7"/>
    <x v="7"/>
    <s v="Hora Real Fim"/>
    <x v="225"/>
    <s v="0.613888888888889|3"/>
  </r>
  <r>
    <x v="1"/>
    <x v="1"/>
    <x v="6"/>
    <x v="6"/>
    <s v="Hora Real Inicio"/>
    <x v="226"/>
    <s v="0.618055555555556|3"/>
  </r>
  <r>
    <x v="1"/>
    <x v="1"/>
    <x v="6"/>
    <x v="6"/>
    <s v="Hora Real Fim"/>
    <x v="226"/>
    <s v="0.618055555555556|3"/>
  </r>
  <r>
    <x v="1"/>
    <x v="1"/>
    <x v="5"/>
    <x v="5"/>
    <s v="Hora Real Inicio"/>
    <x v="227"/>
    <s v="0.620138888888889|3"/>
  </r>
  <r>
    <x v="1"/>
    <x v="1"/>
    <x v="5"/>
    <x v="5"/>
    <s v="Hora Real Fim"/>
    <x v="227"/>
    <s v="0.620138888888889|3"/>
  </r>
  <r>
    <x v="1"/>
    <x v="1"/>
    <x v="5"/>
    <x v="5"/>
    <s v="Hora Real Inicio"/>
    <x v="227"/>
    <s v="0.620138888888889|3"/>
  </r>
  <r>
    <x v="1"/>
    <x v="1"/>
    <x v="5"/>
    <x v="5"/>
    <s v="Hora Real Fim"/>
    <x v="227"/>
    <s v="0.620138888888889|3"/>
  </r>
  <r>
    <x v="1"/>
    <x v="1"/>
    <x v="4"/>
    <x v="4"/>
    <s v="Hora Real Inicio"/>
    <x v="228"/>
    <s v="0.622916666666667|3"/>
  </r>
  <r>
    <x v="1"/>
    <x v="1"/>
    <x v="4"/>
    <x v="4"/>
    <s v="Hora Real Fim"/>
    <x v="228"/>
    <s v="0.622916666666667|3"/>
  </r>
  <r>
    <x v="1"/>
    <x v="1"/>
    <x v="4"/>
    <x v="4"/>
    <s v="Hora Real Inicio"/>
    <x v="228"/>
    <s v="0.622916666666667|3"/>
  </r>
  <r>
    <x v="1"/>
    <x v="1"/>
    <x v="4"/>
    <x v="4"/>
    <s v="Hora Real Fim"/>
    <x v="228"/>
    <s v="0.622916666666667|3"/>
  </r>
  <r>
    <x v="0"/>
    <x v="1"/>
    <x v="2"/>
    <x v="2"/>
    <s v="Hora Real Fim"/>
    <x v="229"/>
    <s v="0.625|2"/>
  </r>
  <r>
    <x v="0"/>
    <x v="1"/>
    <x v="2"/>
    <x v="2"/>
    <s v="Hora Real Inicio"/>
    <x v="229"/>
    <s v="0.625|2"/>
  </r>
  <r>
    <x v="0"/>
    <x v="1"/>
    <x v="2"/>
    <x v="2"/>
    <s v="Hora Real Fim"/>
    <x v="229"/>
    <s v="0.625|2"/>
  </r>
  <r>
    <x v="0"/>
    <x v="2"/>
    <x v="2"/>
    <x v="2"/>
    <s v="Hora Real Inicio"/>
    <x v="229"/>
    <s v="0.625|2"/>
  </r>
  <r>
    <x v="0"/>
    <x v="2"/>
    <x v="2"/>
    <x v="2"/>
    <s v="Hora Real Fim"/>
    <x v="229"/>
    <s v="0.625|2"/>
  </r>
  <r>
    <x v="0"/>
    <x v="2"/>
    <x v="2"/>
    <x v="2"/>
    <s v="Hora Real Inicio"/>
    <x v="229"/>
    <s v="0.625|2"/>
  </r>
  <r>
    <x v="0"/>
    <x v="2"/>
    <x v="2"/>
    <x v="2"/>
    <s v="Hora Real Fim"/>
    <x v="229"/>
    <s v="0.625|2"/>
  </r>
  <r>
    <x v="0"/>
    <x v="2"/>
    <x v="2"/>
    <x v="2"/>
    <s v="Hora Real Inicio"/>
    <x v="229"/>
    <s v="0.625|2"/>
  </r>
  <r>
    <x v="1"/>
    <x v="1"/>
    <x v="2"/>
    <x v="2"/>
    <s v="Hora Real Inicio"/>
    <x v="229"/>
    <s v="0.625|3"/>
  </r>
  <r>
    <x v="1"/>
    <x v="1"/>
    <x v="2"/>
    <x v="2"/>
    <s v="Hora Real Fim"/>
    <x v="229"/>
    <s v="0.625|3"/>
  </r>
  <r>
    <x v="1"/>
    <x v="1"/>
    <x v="2"/>
    <x v="2"/>
    <s v="Hora Real Inicio"/>
    <x v="229"/>
    <s v="0.625|3"/>
  </r>
  <r>
    <x v="1"/>
    <x v="1"/>
    <x v="2"/>
    <x v="2"/>
    <s v="Hora Real Fim"/>
    <x v="229"/>
    <s v="0.625|3"/>
  </r>
  <r>
    <x v="1"/>
    <x v="2"/>
    <x v="2"/>
    <x v="2"/>
    <s v="Hora Real Inicio"/>
    <x v="229"/>
    <s v="0.625|3"/>
  </r>
  <r>
    <x v="1"/>
    <x v="2"/>
    <x v="2"/>
    <x v="2"/>
    <s v="Hora Real Fim"/>
    <x v="229"/>
    <s v="0.625|3"/>
  </r>
  <r>
    <x v="1"/>
    <x v="2"/>
    <x v="2"/>
    <x v="2"/>
    <s v="Hora Real Inicio"/>
    <x v="229"/>
    <s v="0.625|3"/>
  </r>
  <r>
    <x v="1"/>
    <x v="2"/>
    <x v="2"/>
    <x v="2"/>
    <s v="Hora Real Fim"/>
    <x v="229"/>
    <s v="0.625|3"/>
  </r>
  <r>
    <x v="1"/>
    <x v="2"/>
    <x v="2"/>
    <x v="2"/>
    <s v="Hora Real Inicio"/>
    <x v="229"/>
    <s v="0.625|3"/>
  </r>
  <r>
    <x v="0"/>
    <x v="2"/>
    <x v="2"/>
    <x v="2"/>
    <s v="Hora Real Fim"/>
    <x v="230"/>
    <s v="0.635416666666667|2"/>
  </r>
  <r>
    <x v="1"/>
    <x v="2"/>
    <x v="2"/>
    <x v="2"/>
    <s v="Hora Real Fim"/>
    <x v="230"/>
    <s v="0.635416666666667|3"/>
  </r>
  <r>
    <x v="1"/>
    <x v="2"/>
    <x v="2"/>
    <x v="2"/>
    <s v="Hora Real Inicio"/>
    <x v="230"/>
    <s v="0.635416666666667|3"/>
  </r>
  <r>
    <x v="0"/>
    <x v="2"/>
    <x v="3"/>
    <x v="3"/>
    <s v="Hora Real Inicio"/>
    <x v="231"/>
    <s v="0.638888888888889|2"/>
  </r>
  <r>
    <x v="0"/>
    <x v="2"/>
    <x v="3"/>
    <x v="3"/>
    <s v="Hora Real Fim"/>
    <x v="231"/>
    <s v="0.638888888888889|2"/>
  </r>
  <r>
    <x v="0"/>
    <x v="2"/>
    <x v="3"/>
    <x v="3"/>
    <s v="Hora Real Inicio"/>
    <x v="231"/>
    <s v="0.638888888888889|2"/>
  </r>
  <r>
    <x v="1"/>
    <x v="2"/>
    <x v="2"/>
    <x v="2"/>
    <s v="Hora Real Fim"/>
    <x v="232"/>
    <s v="0.644444444444444|3"/>
  </r>
  <r>
    <x v="0"/>
    <x v="2"/>
    <x v="3"/>
    <x v="3"/>
    <s v="Hora Real Fim"/>
    <x v="233"/>
    <s v="0.647916666666667|2"/>
  </r>
  <r>
    <x v="1"/>
    <x v="2"/>
    <x v="3"/>
    <x v="3"/>
    <s v="Hora Real Inicio"/>
    <x v="233"/>
    <s v="0.647916666666667|3"/>
  </r>
  <r>
    <x v="1"/>
    <x v="2"/>
    <x v="3"/>
    <x v="3"/>
    <s v="Hora Real Fim"/>
    <x v="233"/>
    <s v="0.647916666666667|3"/>
  </r>
  <r>
    <x v="0"/>
    <x v="2"/>
    <x v="1"/>
    <x v="1"/>
    <s v="Hora Real Inicio"/>
    <x v="234"/>
    <s v="0.65|2"/>
  </r>
  <r>
    <x v="0"/>
    <x v="2"/>
    <x v="1"/>
    <x v="1"/>
    <s v="Hora Real Fim"/>
    <x v="234"/>
    <s v="0.65|2"/>
  </r>
  <r>
    <x v="1"/>
    <x v="2"/>
    <x v="1"/>
    <x v="1"/>
    <s v="Hora Real Inicio"/>
    <x v="234"/>
    <s v="0.65|3"/>
  </r>
  <r>
    <x v="1"/>
    <x v="2"/>
    <x v="1"/>
    <x v="1"/>
    <s v="Hora Real Fim"/>
    <x v="234"/>
    <s v="0.65|3"/>
  </r>
  <r>
    <x v="0"/>
    <x v="2"/>
    <x v="0"/>
    <x v="0"/>
    <s v="Hora Real Inicio"/>
    <x v="235"/>
    <s v="0.650694444444444|2"/>
  </r>
  <r>
    <x v="0"/>
    <x v="2"/>
    <x v="0"/>
    <x v="0"/>
    <s v="Hora Real Fim"/>
    <x v="235"/>
    <s v="0.650694444444444|2"/>
  </r>
  <r>
    <x v="1"/>
    <x v="2"/>
    <x v="0"/>
    <x v="0"/>
    <s v="Hora Real Inicio"/>
    <x v="235"/>
    <s v="0.650694444444444|3"/>
  </r>
  <r>
    <x v="1"/>
    <x v="2"/>
    <x v="0"/>
    <x v="0"/>
    <s v="Hora Real Fim"/>
    <x v="235"/>
    <s v="0.650694444444444|3"/>
  </r>
  <r>
    <x v="0"/>
    <x v="2"/>
    <x v="9"/>
    <x v="9"/>
    <s v="Hora Real Inicio"/>
    <x v="236"/>
    <s v="0.652083333333333|2"/>
  </r>
  <r>
    <x v="0"/>
    <x v="2"/>
    <x v="9"/>
    <x v="9"/>
    <s v="Hora Real Fim"/>
    <x v="236"/>
    <s v="0.652083333333333|2"/>
  </r>
  <r>
    <x v="0"/>
    <x v="2"/>
    <x v="9"/>
    <x v="9"/>
    <s v="Hora Real Inicio"/>
    <x v="236"/>
    <s v="0.652083333333333|2"/>
  </r>
  <r>
    <x v="1"/>
    <x v="2"/>
    <x v="9"/>
    <x v="9"/>
    <s v="Hora Real Inicio"/>
    <x v="236"/>
    <s v="0.652083333333333|3"/>
  </r>
  <r>
    <x v="1"/>
    <x v="2"/>
    <x v="9"/>
    <x v="9"/>
    <s v="Hora Real Fim"/>
    <x v="236"/>
    <s v="0.652083333333333|3"/>
  </r>
  <r>
    <x v="1"/>
    <x v="2"/>
    <x v="9"/>
    <x v="9"/>
    <s v="Hora Real Inicio"/>
    <x v="236"/>
    <s v="0.652083333333333|3"/>
  </r>
  <r>
    <x v="1"/>
    <x v="2"/>
    <x v="9"/>
    <x v="9"/>
    <s v="Hora Real Fim"/>
    <x v="236"/>
    <s v="0.652083333333333|3"/>
  </r>
  <r>
    <x v="1"/>
    <x v="2"/>
    <x v="0"/>
    <x v="0"/>
    <s v="Hora Real Inicio"/>
    <x v="237"/>
    <s v="0.653472222222222|3"/>
  </r>
  <r>
    <x v="1"/>
    <x v="2"/>
    <x v="0"/>
    <x v="0"/>
    <s v="Hora Real Fim"/>
    <x v="237"/>
    <s v="0.653472222222222|3"/>
  </r>
  <r>
    <x v="1"/>
    <x v="2"/>
    <x v="1"/>
    <x v="1"/>
    <s v="Hora Real Inicio"/>
    <x v="238"/>
    <s v="0.654166666666667|3"/>
  </r>
  <r>
    <x v="1"/>
    <x v="2"/>
    <x v="1"/>
    <x v="1"/>
    <s v="Hora Real Fim"/>
    <x v="238"/>
    <s v="0.654166666666667|3"/>
  </r>
  <r>
    <x v="1"/>
    <x v="2"/>
    <x v="3"/>
    <x v="3"/>
    <s v="Hora Real Inicio"/>
    <x v="239"/>
    <s v="0.65625|3"/>
  </r>
  <r>
    <x v="1"/>
    <x v="2"/>
    <x v="3"/>
    <x v="3"/>
    <s v="Hora Real Fim"/>
    <x v="239"/>
    <s v="0.65625|3"/>
  </r>
  <r>
    <x v="1"/>
    <x v="2"/>
    <x v="2"/>
    <x v="2"/>
    <s v="Hora Real Inicio"/>
    <x v="240"/>
    <s v="0.659722222222222|3"/>
  </r>
  <r>
    <x v="1"/>
    <x v="2"/>
    <x v="2"/>
    <x v="2"/>
    <s v="Hora Real Fim"/>
    <x v="240"/>
    <s v="0.659722222222222|3"/>
  </r>
  <r>
    <x v="1"/>
    <x v="2"/>
    <x v="2"/>
    <x v="2"/>
    <s v="Hora Real Inicio"/>
    <x v="240"/>
    <s v="0.659722222222222|3"/>
  </r>
  <r>
    <x v="0"/>
    <x v="2"/>
    <x v="9"/>
    <x v="9"/>
    <s v="Hora Real Fim"/>
    <x v="241"/>
    <s v="0.672916666666667|2"/>
  </r>
  <r>
    <x v="0"/>
    <x v="2"/>
    <x v="9"/>
    <x v="9"/>
    <s v="Hora Real Inicio"/>
    <x v="241"/>
    <s v="0.672916666666667|2"/>
  </r>
  <r>
    <x v="0"/>
    <x v="2"/>
    <x v="9"/>
    <x v="9"/>
    <s v="Hora Real Fim"/>
    <x v="241"/>
    <s v="0.672916666666667|2"/>
  </r>
  <r>
    <x v="0"/>
    <x v="2"/>
    <x v="0"/>
    <x v="0"/>
    <s v="Hora Real Inicio"/>
    <x v="242"/>
    <s v="0.674305555555556|2"/>
  </r>
  <r>
    <x v="0"/>
    <x v="2"/>
    <x v="0"/>
    <x v="0"/>
    <s v="Hora Real Fim"/>
    <x v="242"/>
    <s v="0.674305555555556|2"/>
  </r>
  <r>
    <x v="0"/>
    <x v="2"/>
    <x v="0"/>
    <x v="0"/>
    <s v="Hora Real Inicio"/>
    <x v="242"/>
    <s v="0.674305555555556|2"/>
  </r>
  <r>
    <x v="0"/>
    <x v="2"/>
    <x v="0"/>
    <x v="0"/>
    <s v="Hora Real Fim"/>
    <x v="243"/>
    <s v="0.677083333333333|2"/>
  </r>
  <r>
    <x v="0"/>
    <x v="2"/>
    <x v="1"/>
    <x v="1"/>
    <s v="Hora Real Inicio"/>
    <x v="244"/>
    <s v="0.677777777777778|2"/>
  </r>
  <r>
    <x v="0"/>
    <x v="2"/>
    <x v="1"/>
    <x v="1"/>
    <s v="Hora Real Fim"/>
    <x v="244"/>
    <s v="0.677777777777778|2"/>
  </r>
  <r>
    <x v="0"/>
    <x v="2"/>
    <x v="1"/>
    <x v="1"/>
    <s v="Hora Real Inicio"/>
    <x v="244"/>
    <s v="0.677777777777778|2"/>
  </r>
  <r>
    <x v="1"/>
    <x v="2"/>
    <x v="2"/>
    <x v="2"/>
    <s v="Hora Real Fim"/>
    <x v="244"/>
    <s v="0.677777777777778|3"/>
  </r>
  <r>
    <x v="1"/>
    <x v="2"/>
    <x v="2"/>
    <x v="2"/>
    <s v="Hora Real Inicio"/>
    <x v="244"/>
    <s v="0.677777777777778|3"/>
  </r>
  <r>
    <x v="0"/>
    <x v="2"/>
    <x v="1"/>
    <x v="1"/>
    <s v="Hora Real Fim"/>
    <x v="245"/>
    <s v="0.690277777777778|2"/>
  </r>
  <r>
    <x v="0"/>
    <x v="2"/>
    <x v="3"/>
    <x v="3"/>
    <s v="Hora Real Inicio"/>
    <x v="246"/>
    <s v="0.692361111111111|2"/>
  </r>
  <r>
    <x v="0"/>
    <x v="2"/>
    <x v="3"/>
    <x v="3"/>
    <s v="Hora Real Fim"/>
    <x v="246"/>
    <s v="0.692361111111111|2"/>
  </r>
  <r>
    <x v="0"/>
    <x v="2"/>
    <x v="3"/>
    <x v="3"/>
    <s v="Hora Real Inicio"/>
    <x v="246"/>
    <s v="0.692361111111111|2"/>
  </r>
  <r>
    <x v="1"/>
    <x v="2"/>
    <x v="2"/>
    <x v="2"/>
    <s v="Hora Real Fim"/>
    <x v="247"/>
    <s v="0.696527777777778|3"/>
  </r>
  <r>
    <x v="1"/>
    <x v="2"/>
    <x v="4"/>
    <x v="4"/>
    <s v="Hora Real Inicio"/>
    <x v="248"/>
    <s v="0.698611111111111|3"/>
  </r>
  <r>
    <x v="1"/>
    <x v="2"/>
    <x v="4"/>
    <x v="4"/>
    <s v="Hora Real Fim"/>
    <x v="248"/>
    <s v="0.698611111111111|3"/>
  </r>
  <r>
    <x v="0"/>
    <x v="2"/>
    <x v="3"/>
    <x v="3"/>
    <s v="Hora Real Fim"/>
    <x v="249"/>
    <s v="0.701388888888889|2"/>
  </r>
  <r>
    <x v="1"/>
    <x v="2"/>
    <x v="5"/>
    <x v="5"/>
    <s v="Hora Real Inicio"/>
    <x v="249"/>
    <s v="0.701388888888889|3"/>
  </r>
  <r>
    <x v="1"/>
    <x v="2"/>
    <x v="5"/>
    <x v="5"/>
    <s v="Hora Real Fim"/>
    <x v="249"/>
    <s v="0.701388888888889|3"/>
  </r>
  <r>
    <x v="1"/>
    <x v="2"/>
    <x v="6"/>
    <x v="6"/>
    <s v="Hora Real Inicio"/>
    <x v="250"/>
    <s v="0.703472222222222|3"/>
  </r>
  <r>
    <x v="1"/>
    <x v="2"/>
    <x v="6"/>
    <x v="6"/>
    <s v="Hora Real Fim"/>
    <x v="250"/>
    <s v="0.703472222222222|3"/>
  </r>
  <r>
    <x v="0"/>
    <x v="2"/>
    <x v="2"/>
    <x v="2"/>
    <s v="Hora Real Inicio"/>
    <x v="251"/>
    <s v="0.704861111111111|2"/>
  </r>
  <r>
    <x v="0"/>
    <x v="2"/>
    <x v="2"/>
    <x v="2"/>
    <s v="Hora Real Fim"/>
    <x v="251"/>
    <s v="0.704861111111111|2"/>
  </r>
  <r>
    <x v="0"/>
    <x v="2"/>
    <x v="2"/>
    <x v="2"/>
    <s v="Hora Real Inicio"/>
    <x v="251"/>
    <s v="0.704861111111111|2"/>
  </r>
  <r>
    <x v="1"/>
    <x v="2"/>
    <x v="7"/>
    <x v="7"/>
    <s v="Hora Real Inicio"/>
    <x v="252"/>
    <s v="0.707638888888889|3"/>
  </r>
  <r>
    <x v="1"/>
    <x v="2"/>
    <x v="7"/>
    <x v="7"/>
    <s v="Hora Real Fim"/>
    <x v="252"/>
    <s v="0.707638888888889|3"/>
  </r>
  <r>
    <x v="1"/>
    <x v="2"/>
    <x v="8"/>
    <x v="8"/>
    <s v="Hora Real Inicio"/>
    <x v="253"/>
    <s v="0.711805555555556|3"/>
  </r>
  <r>
    <x v="1"/>
    <x v="2"/>
    <x v="8"/>
    <x v="8"/>
    <s v="Hora Real Fim"/>
    <x v="253"/>
    <s v="0.711805555555556|3"/>
  </r>
  <r>
    <x v="1"/>
    <x v="2"/>
    <x v="8"/>
    <x v="8"/>
    <s v="Hora Real Inicio"/>
    <x v="253"/>
    <s v="0.711805555555556|3"/>
  </r>
  <r>
    <x v="1"/>
    <x v="2"/>
    <x v="8"/>
    <x v="8"/>
    <s v="Hora Real Fim"/>
    <x v="253"/>
    <s v="0.711805555555556|3"/>
  </r>
  <r>
    <x v="1"/>
    <x v="2"/>
    <x v="8"/>
    <x v="8"/>
    <s v="Hora Real Inicio"/>
    <x v="253"/>
    <s v="0.711805555555556|3"/>
  </r>
  <r>
    <x v="0"/>
    <x v="2"/>
    <x v="2"/>
    <x v="2"/>
    <s v="Hora Real Fim"/>
    <x v="254"/>
    <s v="0.713888888888889|2"/>
  </r>
  <r>
    <x v="0"/>
    <x v="2"/>
    <x v="4"/>
    <x v="4"/>
    <s v="Hora Real Inicio"/>
    <x v="255"/>
    <s v="0.715972222222222|2"/>
  </r>
  <r>
    <x v="0"/>
    <x v="2"/>
    <x v="4"/>
    <x v="4"/>
    <s v="Hora Real Fim"/>
    <x v="255"/>
    <s v="0.715972222222222|2"/>
  </r>
  <r>
    <x v="0"/>
    <x v="2"/>
    <x v="5"/>
    <x v="5"/>
    <s v="Hora Real Inicio"/>
    <x v="256"/>
    <s v="0.71875|2"/>
  </r>
  <r>
    <x v="0"/>
    <x v="2"/>
    <x v="5"/>
    <x v="5"/>
    <s v="Hora Real Fim"/>
    <x v="256"/>
    <s v="0.71875|2"/>
  </r>
  <r>
    <x v="1"/>
    <x v="2"/>
    <x v="8"/>
    <x v="8"/>
    <s v="Hora Real Fim"/>
    <x v="256"/>
    <s v="0.71875|3"/>
  </r>
  <r>
    <x v="0"/>
    <x v="2"/>
    <x v="6"/>
    <x v="6"/>
    <s v="Hora Real Inicio"/>
    <x v="257"/>
    <s v="0.720833333333333|2"/>
  </r>
  <r>
    <x v="0"/>
    <x v="2"/>
    <x v="6"/>
    <x v="6"/>
    <s v="Hora Real Fim"/>
    <x v="257"/>
    <s v="0.720833333333333|2"/>
  </r>
  <r>
    <x v="0"/>
    <x v="2"/>
    <x v="6"/>
    <x v="6"/>
    <s v="Hora Real Inicio"/>
    <x v="257"/>
    <s v="0.720833333333333|2"/>
  </r>
  <r>
    <x v="1"/>
    <x v="2"/>
    <x v="7"/>
    <x v="7"/>
    <s v="Hora Real Inicio"/>
    <x v="258"/>
    <s v="0.722916666666667|3"/>
  </r>
  <r>
    <x v="1"/>
    <x v="2"/>
    <x v="7"/>
    <x v="7"/>
    <s v="Hora Real Fim"/>
    <x v="258"/>
    <s v="0.722916666666667|3"/>
  </r>
  <r>
    <x v="1"/>
    <x v="2"/>
    <x v="7"/>
    <x v="7"/>
    <s v="Hora Real Inicio"/>
    <x v="258"/>
    <s v="0.722916666666667|3"/>
  </r>
  <r>
    <x v="0"/>
    <x v="2"/>
    <x v="6"/>
    <x v="6"/>
    <s v="Hora Real Fim"/>
    <x v="259"/>
    <s v="0.727777777777778|2"/>
  </r>
  <r>
    <x v="0"/>
    <x v="2"/>
    <x v="7"/>
    <x v="7"/>
    <s v="Hora Real Inicio"/>
    <x v="260"/>
    <s v="0.731944444444444|2"/>
  </r>
  <r>
    <x v="0"/>
    <x v="2"/>
    <x v="7"/>
    <x v="7"/>
    <s v="Hora Real Fim"/>
    <x v="260"/>
    <s v="0.731944444444444|2"/>
  </r>
  <r>
    <x v="0"/>
    <x v="2"/>
    <x v="7"/>
    <x v="7"/>
    <s v="Hora Real Inicio"/>
    <x v="260"/>
    <s v="0.731944444444444|2"/>
  </r>
  <r>
    <x v="1"/>
    <x v="2"/>
    <x v="7"/>
    <x v="7"/>
    <s v="Hora Real Fim"/>
    <x v="261"/>
    <s v="0.764583333333333|3"/>
  </r>
  <r>
    <x v="1"/>
    <x v="2"/>
    <x v="6"/>
    <x v="6"/>
    <s v="Hora Real Inicio"/>
    <x v="262"/>
    <s v="0.76875|3"/>
  </r>
  <r>
    <x v="1"/>
    <x v="2"/>
    <x v="6"/>
    <x v="6"/>
    <s v="Hora Real Fim"/>
    <x v="262"/>
    <s v="0.76875|3"/>
  </r>
  <r>
    <x v="1"/>
    <x v="2"/>
    <x v="6"/>
    <x v="6"/>
    <s v="Hora Real Inicio"/>
    <x v="262"/>
    <s v="0.76875|3"/>
  </r>
  <r>
    <x v="0"/>
    <x v="2"/>
    <x v="7"/>
    <x v="7"/>
    <s v="Hora Real Fim"/>
    <x v="263"/>
    <s v="0.773611111111111|2"/>
  </r>
  <r>
    <x v="0"/>
    <x v="2"/>
    <x v="7"/>
    <x v="7"/>
    <s v="Hora Real Inicio"/>
    <x v="263"/>
    <s v="0.773611111111111|2"/>
  </r>
  <r>
    <x v="1"/>
    <x v="2"/>
    <x v="6"/>
    <x v="6"/>
    <s v="Hora Real Fim"/>
    <x v="264"/>
    <s v="0.775694444444444|3"/>
  </r>
  <r>
    <x v="1"/>
    <x v="2"/>
    <x v="5"/>
    <x v="5"/>
    <s v="Hora Real Inicio"/>
    <x v="265"/>
    <s v="0.777777777777778|3"/>
  </r>
  <r>
    <x v="1"/>
    <x v="2"/>
    <x v="5"/>
    <x v="5"/>
    <s v="Hora Real Fim"/>
    <x v="265"/>
    <s v="0.777777777777778|3"/>
  </r>
  <r>
    <x v="0"/>
    <x v="2"/>
    <x v="7"/>
    <x v="7"/>
    <s v="Hora Real Fim"/>
    <x v="266"/>
    <s v="0.780555555555556|2"/>
  </r>
  <r>
    <x v="1"/>
    <x v="2"/>
    <x v="4"/>
    <x v="4"/>
    <s v="Hora Real Inicio"/>
    <x v="266"/>
    <s v="0.780555555555556|3"/>
  </r>
  <r>
    <x v="1"/>
    <x v="2"/>
    <x v="4"/>
    <x v="4"/>
    <s v="Hora Real Fim"/>
    <x v="266"/>
    <s v="0.780555555555556|3"/>
  </r>
  <r>
    <x v="1"/>
    <x v="2"/>
    <x v="2"/>
    <x v="2"/>
    <s v="Hora Real Inicio"/>
    <x v="267"/>
    <s v="0.782638888888889|3"/>
  </r>
  <r>
    <x v="1"/>
    <x v="2"/>
    <x v="2"/>
    <x v="2"/>
    <s v="Hora Real Fim"/>
    <x v="267"/>
    <s v="0.782638888888889|3"/>
  </r>
  <r>
    <x v="0"/>
    <x v="2"/>
    <x v="8"/>
    <x v="8"/>
    <s v="Hora Real Inicio"/>
    <x v="268"/>
    <s v="0.784722222222222|2"/>
  </r>
  <r>
    <x v="0"/>
    <x v="2"/>
    <x v="8"/>
    <x v="8"/>
    <s v="Hora Real Fim"/>
    <x v="268"/>
    <s v="0.784722222222222|2"/>
  </r>
  <r>
    <x v="0"/>
    <x v="2"/>
    <x v="8"/>
    <x v="8"/>
    <s v="Hora Real Inicio"/>
    <x v="268"/>
    <s v="0.784722222222222|2"/>
  </r>
  <r>
    <x v="0"/>
    <x v="2"/>
    <x v="8"/>
    <x v="8"/>
    <s v="Hora Real Fim"/>
    <x v="268"/>
    <s v="0.784722222222222|2"/>
  </r>
  <r>
    <x v="0"/>
    <x v="2"/>
    <x v="8"/>
    <x v="8"/>
    <s v="Hora Real Inicio"/>
    <x v="268"/>
    <s v="0.784722222222222|2"/>
  </r>
  <r>
    <x v="1"/>
    <x v="2"/>
    <x v="3"/>
    <x v="3"/>
    <s v="Hora Real Inicio"/>
    <x v="269"/>
    <s v="0.786111111111111|3"/>
  </r>
  <r>
    <x v="1"/>
    <x v="2"/>
    <x v="3"/>
    <x v="3"/>
    <s v="Hora Real Fim"/>
    <x v="269"/>
    <s v="0.786111111111111|3"/>
  </r>
  <r>
    <x v="1"/>
    <x v="2"/>
    <x v="1"/>
    <x v="1"/>
    <s v="Hora Real Inicio"/>
    <x v="270"/>
    <s v="0.788194444444444|3"/>
  </r>
  <r>
    <x v="1"/>
    <x v="2"/>
    <x v="1"/>
    <x v="1"/>
    <s v="Hora Real Fim"/>
    <x v="270"/>
    <s v="0.788194444444444|3"/>
  </r>
  <r>
    <x v="1"/>
    <x v="2"/>
    <x v="1"/>
    <x v="1"/>
    <s v="Hora Real Inicio"/>
    <x v="270"/>
    <s v="0.788194444444444|3"/>
  </r>
  <r>
    <x v="0"/>
    <x v="2"/>
    <x v="8"/>
    <x v="8"/>
    <s v="Hora Real Fim"/>
    <x v="271"/>
    <s v="0.791666666666667|2"/>
  </r>
  <r>
    <x v="0"/>
    <x v="2"/>
    <x v="7"/>
    <x v="7"/>
    <s v="Hora Real Inicio"/>
    <x v="272"/>
    <s v="0.795833333333333|2"/>
  </r>
  <r>
    <x v="0"/>
    <x v="2"/>
    <x v="7"/>
    <x v="7"/>
    <s v="Hora Real Fim"/>
    <x v="272"/>
    <s v="0.795833333333333|2"/>
  </r>
  <r>
    <x v="0"/>
    <x v="2"/>
    <x v="6"/>
    <x v="6"/>
    <s v="Hora Real Inicio"/>
    <x v="273"/>
    <s v="0.8|2"/>
  </r>
  <r>
    <x v="0"/>
    <x v="2"/>
    <x v="6"/>
    <x v="6"/>
    <s v="Hora Real Fim"/>
    <x v="273"/>
    <s v="0.8|2"/>
  </r>
  <r>
    <x v="1"/>
    <x v="2"/>
    <x v="1"/>
    <x v="1"/>
    <s v="Hora Real Fim"/>
    <x v="274"/>
    <s v="0.800694444444444|3"/>
  </r>
  <r>
    <x v="1"/>
    <x v="2"/>
    <x v="0"/>
    <x v="0"/>
    <s v="Hora Real Inicio"/>
    <x v="275"/>
    <s v="0.801388888888889|3"/>
  </r>
  <r>
    <x v="1"/>
    <x v="2"/>
    <x v="0"/>
    <x v="0"/>
    <s v="Hora Real Fim"/>
    <x v="275"/>
    <s v="0.801388888888889|3"/>
  </r>
  <r>
    <x v="0"/>
    <x v="2"/>
    <x v="5"/>
    <x v="5"/>
    <s v="Hora Real Inicio"/>
    <x v="276"/>
    <s v="0.802083333333333|2"/>
  </r>
  <r>
    <x v="0"/>
    <x v="2"/>
    <x v="5"/>
    <x v="5"/>
    <s v="Hora Real Fim"/>
    <x v="276"/>
    <s v="0.802083333333333|2"/>
  </r>
  <r>
    <x v="1"/>
    <x v="2"/>
    <x v="9"/>
    <x v="9"/>
    <s v="Hora Real Inicio"/>
    <x v="277"/>
    <s v="0.802777777777778|3"/>
  </r>
  <r>
    <x v="1"/>
    <x v="2"/>
    <x v="9"/>
    <x v="9"/>
    <s v="Hora Real Fim"/>
    <x v="277"/>
    <s v="0.802777777777778|3"/>
  </r>
  <r>
    <x v="1"/>
    <x v="2"/>
    <x v="9"/>
    <x v="9"/>
    <s v="Hora Real Inicio"/>
    <x v="277"/>
    <s v="0.802777777777778|3"/>
  </r>
  <r>
    <x v="1"/>
    <x v="2"/>
    <x v="9"/>
    <x v="9"/>
    <s v="Hora Real Fim"/>
    <x v="277"/>
    <s v="0.802777777777778|3"/>
  </r>
  <r>
    <x v="1"/>
    <x v="2"/>
    <x v="0"/>
    <x v="0"/>
    <s v="Hora Real Inicio"/>
    <x v="278"/>
    <s v="0.804166666666667|3"/>
  </r>
  <r>
    <x v="1"/>
    <x v="2"/>
    <x v="0"/>
    <x v="0"/>
    <s v="Hora Real Fim"/>
    <x v="278"/>
    <s v="0.804166666666667|3"/>
  </r>
  <r>
    <x v="1"/>
    <x v="2"/>
    <x v="0"/>
    <x v="0"/>
    <s v="Hora Real Inicio"/>
    <x v="278"/>
    <s v="0.804166666666667|3"/>
  </r>
  <r>
    <x v="0"/>
    <x v="2"/>
    <x v="4"/>
    <x v="4"/>
    <s v="Hora Real Inicio"/>
    <x v="279"/>
    <s v="0.804861111111111|2"/>
  </r>
  <r>
    <x v="0"/>
    <x v="2"/>
    <x v="4"/>
    <x v="4"/>
    <s v="Hora Real Fim"/>
    <x v="279"/>
    <s v="0.804861111111111|2"/>
  </r>
  <r>
    <x v="0"/>
    <x v="2"/>
    <x v="2"/>
    <x v="2"/>
    <s v="Hora Real Inicio"/>
    <x v="280"/>
    <s v="0.806944444444444|2"/>
  </r>
  <r>
    <x v="0"/>
    <x v="2"/>
    <x v="2"/>
    <x v="2"/>
    <s v="Hora Real Fim"/>
    <x v="280"/>
    <s v="0.806944444444444|2"/>
  </r>
  <r>
    <x v="0"/>
    <x v="2"/>
    <x v="2"/>
    <x v="2"/>
    <s v="Hora Real Inicio"/>
    <x v="280"/>
    <s v="0.806944444444444|2"/>
  </r>
  <r>
    <x v="1"/>
    <x v="2"/>
    <x v="0"/>
    <x v="0"/>
    <s v="Hora Real Fim"/>
    <x v="280"/>
    <s v="0.806944444444444|3"/>
  </r>
  <r>
    <x v="1"/>
    <x v="2"/>
    <x v="1"/>
    <x v="1"/>
    <s v="Hora Real Inicio"/>
    <x v="281"/>
    <s v="0.807638888888889|3"/>
  </r>
  <r>
    <x v="1"/>
    <x v="2"/>
    <x v="1"/>
    <x v="1"/>
    <s v="Hora Real Fim"/>
    <x v="281"/>
    <s v="0.807638888888889|3"/>
  </r>
  <r>
    <x v="1"/>
    <x v="2"/>
    <x v="1"/>
    <x v="1"/>
    <s v="Hora Real Inicio"/>
    <x v="281"/>
    <s v="0.807638888888889|3"/>
  </r>
  <r>
    <x v="0"/>
    <x v="2"/>
    <x v="2"/>
    <x v="2"/>
    <s v="Hora Real Fim"/>
    <x v="282"/>
    <s v="0.815972222222222|2"/>
  </r>
  <r>
    <x v="0"/>
    <x v="2"/>
    <x v="3"/>
    <x v="3"/>
    <s v="Hora Real Inicio"/>
    <x v="283"/>
    <s v="0.819444444444444|2"/>
  </r>
  <r>
    <x v="0"/>
    <x v="2"/>
    <x v="3"/>
    <x v="3"/>
    <s v="Hora Real Fim"/>
    <x v="283"/>
    <s v="0.819444444444444|2"/>
  </r>
  <r>
    <x v="1"/>
    <x v="2"/>
    <x v="1"/>
    <x v="1"/>
    <s v="Hora Real Fim"/>
    <x v="284"/>
    <s v="0.820138888888889|3"/>
  </r>
  <r>
    <x v="0"/>
    <x v="2"/>
    <x v="1"/>
    <x v="1"/>
    <s v="Hora Real Inicio"/>
    <x v="285"/>
    <s v="0.821527777777778|2"/>
  </r>
  <r>
    <x v="0"/>
    <x v="2"/>
    <x v="1"/>
    <x v="1"/>
    <s v="Hora Real Fim"/>
    <x v="285"/>
    <s v="0.821527777777778|2"/>
  </r>
  <r>
    <x v="0"/>
    <x v="2"/>
    <x v="1"/>
    <x v="1"/>
    <s v="Hora Real Inicio"/>
    <x v="285"/>
    <s v="0.821527777777778|2"/>
  </r>
  <r>
    <x v="1"/>
    <x v="2"/>
    <x v="3"/>
    <x v="3"/>
    <s v="Hora Real Inicio"/>
    <x v="286"/>
    <s v="0.822222222222222|3"/>
  </r>
  <r>
    <x v="1"/>
    <x v="2"/>
    <x v="3"/>
    <x v="3"/>
    <s v="Hora Real Fim"/>
    <x v="286"/>
    <s v="0.822222222222222|3"/>
  </r>
  <r>
    <x v="1"/>
    <x v="2"/>
    <x v="3"/>
    <x v="3"/>
    <s v="Hora Real Inicio"/>
    <x v="286"/>
    <s v="0.822222222222222|3"/>
  </r>
  <r>
    <x v="1"/>
    <x v="2"/>
    <x v="3"/>
    <x v="3"/>
    <s v="Hora Real Fim"/>
    <x v="287"/>
    <s v="0.83125|3"/>
  </r>
  <r>
    <x v="0"/>
    <x v="2"/>
    <x v="1"/>
    <x v="1"/>
    <s v="Hora Real Fim"/>
    <x v="288"/>
    <s v="0.834027777777778|2"/>
  </r>
  <r>
    <x v="0"/>
    <x v="2"/>
    <x v="0"/>
    <x v="0"/>
    <s v="Hora Real Inicio"/>
    <x v="289"/>
    <s v="0.834722222222222|2"/>
  </r>
  <r>
    <x v="0"/>
    <x v="2"/>
    <x v="0"/>
    <x v="0"/>
    <s v="Hora Real Fim"/>
    <x v="289"/>
    <s v="0.834722222222222|2"/>
  </r>
  <r>
    <x v="0"/>
    <x v="2"/>
    <x v="0"/>
    <x v="0"/>
    <s v="Hora Real Inicio"/>
    <x v="289"/>
    <s v="0.834722222222222|2"/>
  </r>
  <r>
    <x v="1"/>
    <x v="2"/>
    <x v="2"/>
    <x v="2"/>
    <s v="Hora Real Inicio"/>
    <x v="289"/>
    <s v="0.834722222222222|3"/>
  </r>
  <r>
    <x v="1"/>
    <x v="2"/>
    <x v="2"/>
    <x v="2"/>
    <s v="Hora Real Fim"/>
    <x v="289"/>
    <s v="0.834722222222222|3"/>
  </r>
  <r>
    <x v="1"/>
    <x v="2"/>
    <x v="2"/>
    <x v="2"/>
    <s v="Hora Real Inicio"/>
    <x v="289"/>
    <s v="0.834722222222222|3"/>
  </r>
  <r>
    <x v="0"/>
    <x v="2"/>
    <x v="0"/>
    <x v="0"/>
    <s v="Hora Real Fim"/>
    <x v="290"/>
    <s v="0.8375|2"/>
  </r>
  <r>
    <x v="0"/>
    <x v="2"/>
    <x v="9"/>
    <x v="9"/>
    <s v="Hora Real Inicio"/>
    <x v="291"/>
    <s v="0.838888888888889|2"/>
  </r>
  <r>
    <x v="0"/>
    <x v="2"/>
    <x v="9"/>
    <x v="9"/>
    <s v="Hora Real Fim"/>
    <x v="291"/>
    <s v="0.838888888888889|2"/>
  </r>
  <r>
    <x v="0"/>
    <x v="2"/>
    <x v="9"/>
    <x v="9"/>
    <s v="Hora Real Inicio"/>
    <x v="291"/>
    <s v="0.838888888888889|2"/>
  </r>
  <r>
    <x v="1"/>
    <x v="2"/>
    <x v="2"/>
    <x v="2"/>
    <s v="Hora Real Fim"/>
    <x v="292"/>
    <s v="0.84375|3"/>
  </r>
  <r>
    <x v="1"/>
    <x v="2"/>
    <x v="4"/>
    <x v="4"/>
    <s v="Hora Real Inicio"/>
    <x v="293"/>
    <s v="0.845833333333333|3"/>
  </r>
  <r>
    <x v="1"/>
    <x v="2"/>
    <x v="4"/>
    <x v="4"/>
    <s v="Hora Real Fim"/>
    <x v="293"/>
    <s v="0.845833333333333|3"/>
  </r>
  <r>
    <x v="1"/>
    <x v="2"/>
    <x v="5"/>
    <x v="5"/>
    <s v="Hora Real Inicio"/>
    <x v="294"/>
    <s v="0.848611111111111|3"/>
  </r>
  <r>
    <x v="1"/>
    <x v="2"/>
    <x v="5"/>
    <x v="5"/>
    <s v="Hora Real Fim"/>
    <x v="294"/>
    <s v="0.848611111111111|3"/>
  </r>
  <r>
    <x v="1"/>
    <x v="2"/>
    <x v="6"/>
    <x v="6"/>
    <s v="Hora Real Inicio"/>
    <x v="295"/>
    <s v="0.850694444444444|3"/>
  </r>
  <r>
    <x v="1"/>
    <x v="2"/>
    <x v="6"/>
    <x v="6"/>
    <s v="Hora Real Fim"/>
    <x v="295"/>
    <s v="0.850694444444444|3"/>
  </r>
  <r>
    <x v="1"/>
    <x v="2"/>
    <x v="6"/>
    <x v="6"/>
    <s v="Hora Real Inicio"/>
    <x v="295"/>
    <s v="0.850694444444444|3"/>
  </r>
  <r>
    <x v="1"/>
    <x v="2"/>
    <x v="6"/>
    <x v="6"/>
    <s v="Hora Real Fim"/>
    <x v="296"/>
    <s v="0.857638888888889|3"/>
  </r>
  <r>
    <x v="0"/>
    <x v="2"/>
    <x v="9"/>
    <x v="9"/>
    <s v="Hora Real Fim"/>
    <x v="297"/>
    <s v="0.859722222222222|2"/>
  </r>
  <r>
    <x v="0"/>
    <x v="2"/>
    <x v="9"/>
    <x v="9"/>
    <s v="Hora Real Inicio"/>
    <x v="297"/>
    <s v="0.859722222222222|2"/>
  </r>
  <r>
    <x v="0"/>
    <x v="2"/>
    <x v="9"/>
    <x v="9"/>
    <s v="Hora Real Fim"/>
    <x v="297"/>
    <s v="0.859722222222222|2"/>
  </r>
  <r>
    <x v="0"/>
    <x v="2"/>
    <x v="9"/>
    <x v="9"/>
    <s v="Hora Real Inicio"/>
    <x v="297"/>
    <s v="0.859722222222222|2"/>
  </r>
  <r>
    <x v="1"/>
    <x v="2"/>
    <x v="7"/>
    <x v="7"/>
    <s v="Hora Real Inicio"/>
    <x v="298"/>
    <s v="0.861805555555556|3"/>
  </r>
  <r>
    <x v="1"/>
    <x v="2"/>
    <x v="7"/>
    <x v="7"/>
    <s v="Hora Real Fim"/>
    <x v="298"/>
    <s v="0.861805555555556|3"/>
  </r>
  <r>
    <x v="1"/>
    <x v="2"/>
    <x v="7"/>
    <x v="7"/>
    <s v="Hora Real Inicio"/>
    <x v="298"/>
    <s v="0.861805555555556|3"/>
  </r>
  <r>
    <x v="0"/>
    <x v="2"/>
    <x v="9"/>
    <x v="9"/>
    <s v="Hora Real Fim"/>
    <x v="299"/>
    <s v="0.865277777777778|2"/>
  </r>
  <r>
    <x v="0"/>
    <x v="2"/>
    <x v="0"/>
    <x v="0"/>
    <s v="Hora Real Inicio"/>
    <x v="300"/>
    <s v="0.866666666666667|2"/>
  </r>
  <r>
    <x v="0"/>
    <x v="2"/>
    <x v="0"/>
    <x v="0"/>
    <s v="Hora Real Fim"/>
    <x v="300"/>
    <s v="0.866666666666667|2"/>
  </r>
  <r>
    <x v="0"/>
    <x v="2"/>
    <x v="1"/>
    <x v="1"/>
    <s v="Hora Real Inicio"/>
    <x v="300"/>
    <s v="0.866666666666667|2"/>
  </r>
  <r>
    <x v="0"/>
    <x v="2"/>
    <x v="1"/>
    <x v="1"/>
    <s v="Hora Real Fim"/>
    <x v="300"/>
    <s v="0.866666666666667|2"/>
  </r>
  <r>
    <x v="1"/>
    <x v="2"/>
    <x v="7"/>
    <x v="7"/>
    <s v="Hora Real Fim"/>
    <x v="301"/>
    <s v="0.86875|3"/>
  </r>
  <r>
    <x v="0"/>
    <x v="2"/>
    <x v="3"/>
    <x v="3"/>
    <s v="Hora Real Inicio"/>
    <x v="302"/>
    <s v="0.869444444444444|2"/>
  </r>
  <r>
    <x v="0"/>
    <x v="2"/>
    <x v="3"/>
    <x v="3"/>
    <s v="Hora Real Fim"/>
    <x v="302"/>
    <s v="0.869444444444444|2"/>
  </r>
  <r>
    <x v="0"/>
    <x v="2"/>
    <x v="2"/>
    <x v="2"/>
    <s v="Hora Real Inicio"/>
    <x v="303"/>
    <s v="0.872222222222222|2"/>
  </r>
  <r>
    <x v="0"/>
    <x v="2"/>
    <x v="2"/>
    <x v="2"/>
    <s v="Hora Real Fim"/>
    <x v="303"/>
    <s v="0.872222222222222|2"/>
  </r>
  <r>
    <x v="1"/>
    <x v="2"/>
    <x v="8"/>
    <x v="8"/>
    <s v="Hora Real Inicio"/>
    <x v="304"/>
    <s v="0.872916666666667|3"/>
  </r>
  <r>
    <x v="1"/>
    <x v="2"/>
    <x v="8"/>
    <x v="8"/>
    <s v="Hora Real Fim"/>
    <x v="304"/>
    <s v="0.872916666666667|3"/>
  </r>
  <r>
    <x v="1"/>
    <x v="2"/>
    <x v="8"/>
    <x v="8"/>
    <s v="Hora Real Inicio"/>
    <x v="304"/>
    <s v="0.872916666666667|3"/>
  </r>
  <r>
    <x v="1"/>
    <x v="2"/>
    <x v="8"/>
    <x v="8"/>
    <s v="Hora Real Fim"/>
    <x v="304"/>
    <s v="0.872916666666667|3"/>
  </r>
  <r>
    <x v="0"/>
    <x v="2"/>
    <x v="4"/>
    <x v="4"/>
    <s v="Hora Real Inicio"/>
    <x v="305"/>
    <s v="0.875|2"/>
  </r>
  <r>
    <x v="0"/>
    <x v="2"/>
    <x v="4"/>
    <x v="4"/>
    <s v="Hora Real Fim"/>
    <x v="305"/>
    <s v="0.875|2"/>
  </r>
  <r>
    <x v="0"/>
    <x v="2"/>
    <x v="4"/>
    <x v="4"/>
    <s v="Hora Real Inicio"/>
    <x v="305"/>
    <s v="0.875|2"/>
  </r>
  <r>
    <x v="0"/>
    <x v="2"/>
    <x v="4"/>
    <x v="4"/>
    <s v="Hora Real Fim"/>
    <x v="305"/>
    <s v="0.875|2"/>
  </r>
  <r>
    <x v="1"/>
    <x v="2"/>
    <x v="7"/>
    <x v="7"/>
    <s v="Hora Real Inicio"/>
    <x v="306"/>
    <s v="0.877083333333333|3"/>
  </r>
  <r>
    <x v="1"/>
    <x v="2"/>
    <x v="7"/>
    <x v="7"/>
    <s v="Hora Real Fim"/>
    <x v="306"/>
    <s v="0.877083333333333|3"/>
  </r>
  <r>
    <x v="1"/>
    <x v="2"/>
    <x v="7"/>
    <x v="7"/>
    <s v="Hora Real Inicio"/>
    <x v="306"/>
    <s v="0.877083333333333|3"/>
  </r>
  <r>
    <x v="0"/>
    <x v="2"/>
    <x v="5"/>
    <x v="5"/>
    <s v="Hora Real Inicio"/>
    <x v="307"/>
    <s v="0.877777777777778|2"/>
  </r>
  <r>
    <x v="0"/>
    <x v="2"/>
    <x v="5"/>
    <x v="5"/>
    <s v="Hora Real Fim"/>
    <x v="307"/>
    <s v="0.877777777777778|2"/>
  </r>
  <r>
    <x v="0"/>
    <x v="2"/>
    <x v="5"/>
    <x v="5"/>
    <s v="Hora Real Inicio"/>
    <x v="307"/>
    <s v="0.877777777777778|2"/>
  </r>
  <r>
    <x v="0"/>
    <x v="2"/>
    <x v="5"/>
    <x v="5"/>
    <s v="Hora Real Fim"/>
    <x v="307"/>
    <s v="0.877777777777778|2"/>
  </r>
  <r>
    <x v="0"/>
    <x v="2"/>
    <x v="6"/>
    <x v="6"/>
    <s v="Hora Real Inicio"/>
    <x v="308"/>
    <s v="0.879166666666667|2"/>
  </r>
  <r>
    <x v="0"/>
    <x v="2"/>
    <x v="6"/>
    <x v="6"/>
    <s v="Hora Real Fim"/>
    <x v="308"/>
    <s v="0.879166666666667|2"/>
  </r>
  <r>
    <x v="0"/>
    <x v="2"/>
    <x v="7"/>
    <x v="7"/>
    <s v="Hora Real Inicio"/>
    <x v="309"/>
    <s v="0.883333333333333|2"/>
  </r>
  <r>
    <x v="0"/>
    <x v="2"/>
    <x v="7"/>
    <x v="7"/>
    <s v="Hora Real Fim"/>
    <x v="309"/>
    <s v="0.883333333333333|2"/>
  </r>
  <r>
    <x v="1"/>
    <x v="2"/>
    <x v="7"/>
    <x v="7"/>
    <s v="Hora Real Fim"/>
    <x v="310"/>
    <s v="0.884027777777778|3"/>
  </r>
  <r>
    <x v="0"/>
    <x v="2"/>
    <x v="8"/>
    <x v="8"/>
    <s v="Hora Real Inicio"/>
    <x v="311"/>
    <s v="0.8875|2"/>
  </r>
  <r>
    <x v="0"/>
    <x v="2"/>
    <x v="8"/>
    <x v="8"/>
    <s v="Hora Real Fim"/>
    <x v="311"/>
    <s v="0.8875|2"/>
  </r>
  <r>
    <x v="0"/>
    <x v="2"/>
    <x v="8"/>
    <x v="8"/>
    <s v="Hora Real Inicio"/>
    <x v="311"/>
    <s v="0.8875|2"/>
  </r>
  <r>
    <x v="0"/>
    <x v="2"/>
    <x v="8"/>
    <x v="8"/>
    <s v="Hora Real Fim"/>
    <x v="311"/>
    <s v="0.8875|2"/>
  </r>
  <r>
    <x v="1"/>
    <x v="2"/>
    <x v="6"/>
    <x v="6"/>
    <s v="Hora Real Inicio"/>
    <x v="312"/>
    <s v="0.888194444444444|3"/>
  </r>
  <r>
    <x v="1"/>
    <x v="2"/>
    <x v="6"/>
    <x v="6"/>
    <s v="Hora Real Fim"/>
    <x v="312"/>
    <s v="0.888194444444444|3"/>
  </r>
  <r>
    <x v="1"/>
    <x v="2"/>
    <x v="5"/>
    <x v="5"/>
    <s v="Hora Real Inicio"/>
    <x v="313"/>
    <s v="0.890277777777778|3"/>
  </r>
  <r>
    <x v="1"/>
    <x v="2"/>
    <x v="5"/>
    <x v="5"/>
    <s v="Hora Real Fim"/>
    <x v="313"/>
    <s v="0.890277777777778|3"/>
  </r>
  <r>
    <x v="0"/>
    <x v="2"/>
    <x v="7"/>
    <x v="7"/>
    <s v="Hora Real Inicio"/>
    <x v="314"/>
    <s v="0.891666666666667|2"/>
  </r>
  <r>
    <x v="0"/>
    <x v="2"/>
    <x v="7"/>
    <x v="7"/>
    <s v="Hora Real Fim"/>
    <x v="314"/>
    <s v="0.891666666666667|2"/>
  </r>
  <r>
    <x v="0"/>
    <x v="2"/>
    <x v="7"/>
    <x v="7"/>
    <s v="Hora Real Inicio"/>
    <x v="314"/>
    <s v="0.891666666666667|2"/>
  </r>
  <r>
    <x v="1"/>
    <x v="2"/>
    <x v="4"/>
    <x v="4"/>
    <s v="Hora Real Inicio"/>
    <x v="315"/>
    <s v="0.893055555555556|3"/>
  </r>
  <r>
    <x v="1"/>
    <x v="2"/>
    <x v="4"/>
    <x v="4"/>
    <s v="Hora Real Fim"/>
    <x v="315"/>
    <s v="0.893055555555556|3"/>
  </r>
  <r>
    <x v="1"/>
    <x v="2"/>
    <x v="2"/>
    <x v="2"/>
    <s v="Hora Real Inicio"/>
    <x v="316"/>
    <s v="0.895138888888889|3"/>
  </r>
  <r>
    <x v="1"/>
    <x v="2"/>
    <x v="2"/>
    <x v="2"/>
    <s v="Hora Real Fim"/>
    <x v="316"/>
    <s v="0.895138888888889|3"/>
  </r>
  <r>
    <x v="0"/>
    <x v="2"/>
    <x v="7"/>
    <x v="7"/>
    <s v="Hora Real Fim"/>
    <x v="317"/>
    <s v="0.898611111111111|2"/>
  </r>
  <r>
    <x v="1"/>
    <x v="2"/>
    <x v="3"/>
    <x v="3"/>
    <s v="Hora Real Inicio"/>
    <x v="317"/>
    <s v="0.898611111111111|3"/>
  </r>
  <r>
    <x v="1"/>
    <x v="2"/>
    <x v="3"/>
    <x v="3"/>
    <s v="Hora Real Fim"/>
    <x v="317"/>
    <s v="0.898611111111111|3"/>
  </r>
  <r>
    <x v="1"/>
    <x v="2"/>
    <x v="3"/>
    <x v="3"/>
    <s v="Hora Real Inicio"/>
    <x v="317"/>
    <s v="0.898611111111111|3"/>
  </r>
  <r>
    <x v="0"/>
    <x v="2"/>
    <x v="6"/>
    <x v="6"/>
    <s v="Hora Real Inicio"/>
    <x v="318"/>
    <s v="0.902777777777778|2"/>
  </r>
  <r>
    <x v="0"/>
    <x v="2"/>
    <x v="6"/>
    <x v="6"/>
    <s v="Hora Real Fim"/>
    <x v="318"/>
    <s v="0.902777777777778|2"/>
  </r>
  <r>
    <x v="0"/>
    <x v="2"/>
    <x v="6"/>
    <x v="6"/>
    <s v="Hora Real Inicio"/>
    <x v="318"/>
    <s v="0.902777777777778|2"/>
  </r>
  <r>
    <x v="1"/>
    <x v="2"/>
    <x v="3"/>
    <x v="3"/>
    <s v="Hora Real Fim"/>
    <x v="319"/>
    <s v="0.907638888888889|3"/>
  </r>
  <r>
    <x v="0"/>
    <x v="2"/>
    <x v="6"/>
    <x v="6"/>
    <s v="Hora Real Fim"/>
    <x v="320"/>
    <s v="0.909722222222222|2"/>
  </r>
  <r>
    <x v="1"/>
    <x v="2"/>
    <x v="1"/>
    <x v="1"/>
    <s v="Hora Real Inicio"/>
    <x v="320"/>
    <s v="0.909722222222222|3"/>
  </r>
  <r>
    <x v="1"/>
    <x v="2"/>
    <x v="1"/>
    <x v="1"/>
    <s v="Hora Real Fim"/>
    <x v="320"/>
    <s v="0.909722222222222|3"/>
  </r>
  <r>
    <x v="1"/>
    <x v="2"/>
    <x v="0"/>
    <x v="0"/>
    <s v="Hora Real Inicio"/>
    <x v="321"/>
    <s v="0.910416666666667|3"/>
  </r>
  <r>
    <x v="1"/>
    <x v="2"/>
    <x v="0"/>
    <x v="0"/>
    <s v="Hora Real Fim"/>
    <x v="321"/>
    <s v="0.910416666666667|3"/>
  </r>
  <r>
    <x v="1"/>
    <x v="2"/>
    <x v="0"/>
    <x v="0"/>
    <s v="Hora Real Inicio"/>
    <x v="321"/>
    <s v="0.910416666666667|3"/>
  </r>
  <r>
    <x v="0"/>
    <x v="2"/>
    <x v="5"/>
    <x v="5"/>
    <s v="Hora Real Inicio"/>
    <x v="322"/>
    <s v="0.9125|2"/>
  </r>
  <r>
    <x v="0"/>
    <x v="2"/>
    <x v="5"/>
    <x v="5"/>
    <s v="Hora Real Fim"/>
    <x v="322"/>
    <s v="0.9125|2"/>
  </r>
  <r>
    <x v="0"/>
    <x v="2"/>
    <x v="5"/>
    <x v="5"/>
    <s v="Hora Real Inicio"/>
    <x v="322"/>
    <s v="0.9125|2"/>
  </r>
  <r>
    <x v="0"/>
    <x v="2"/>
    <x v="5"/>
    <x v="5"/>
    <s v="Hora Real Fim"/>
    <x v="322"/>
    <s v="0.9125|2"/>
  </r>
  <r>
    <x v="1"/>
    <x v="2"/>
    <x v="0"/>
    <x v="0"/>
    <s v="Hora Real Fim"/>
    <x v="323"/>
    <s v="0.913194444444444|3"/>
  </r>
  <r>
    <x v="1"/>
    <x v="2"/>
    <x v="9"/>
    <x v="9"/>
    <s v="Hora Real Inicio"/>
    <x v="324"/>
    <s v="0.914583333333333|3"/>
  </r>
  <r>
    <x v="1"/>
    <x v="2"/>
    <x v="9"/>
    <x v="9"/>
    <s v="Hora Real Fim"/>
    <x v="324"/>
    <s v="0.914583333333333|3"/>
  </r>
  <r>
    <x v="1"/>
    <x v="2"/>
    <x v="9"/>
    <x v="9"/>
    <s v="Hora Real Inicio"/>
    <x v="324"/>
    <s v="0.914583333333333|3"/>
  </r>
  <r>
    <x v="1"/>
    <x v="2"/>
    <x v="9"/>
    <x v="9"/>
    <s v="Hora Real Fim"/>
    <x v="324"/>
    <s v="0.914583333333333|3"/>
  </r>
  <r>
    <x v="1"/>
    <x v="2"/>
    <x v="9"/>
    <x v="9"/>
    <s v="Hora Real Inicio"/>
    <x v="324"/>
    <s v="0.914583333333333|3"/>
  </r>
  <r>
    <x v="0"/>
    <x v="2"/>
    <x v="4"/>
    <x v="4"/>
    <s v="Hora Real Inicio"/>
    <x v="325"/>
    <s v="0.915277777777778|2"/>
  </r>
  <r>
    <x v="0"/>
    <x v="2"/>
    <x v="4"/>
    <x v="4"/>
    <s v="Hora Real Fim"/>
    <x v="325"/>
    <s v="0.915277777777778|2"/>
  </r>
  <r>
    <x v="0"/>
    <x v="2"/>
    <x v="4"/>
    <x v="4"/>
    <s v="Hora Real Inicio"/>
    <x v="325"/>
    <s v="0.915277777777778|2"/>
  </r>
  <r>
    <x v="0"/>
    <x v="2"/>
    <x v="4"/>
    <x v="4"/>
    <s v="Hora Real Fim"/>
    <x v="325"/>
    <s v="0.915277777777778|2"/>
  </r>
  <r>
    <x v="0"/>
    <x v="2"/>
    <x v="2"/>
    <x v="2"/>
    <s v="Hora Real Inicio"/>
    <x v="326"/>
    <s v="0.916666666666667|2"/>
  </r>
  <r>
    <x v="0"/>
    <x v="2"/>
    <x v="2"/>
    <x v="2"/>
    <s v="Hora Real Fim"/>
    <x v="326"/>
    <s v="0.916666666666667|2"/>
  </r>
  <r>
    <x v="0"/>
    <x v="2"/>
    <x v="2"/>
    <x v="2"/>
    <s v="Hora Real Inicio"/>
    <x v="326"/>
    <s v="0.916666666666667|2"/>
  </r>
  <r>
    <x v="1"/>
    <x v="2"/>
    <x v="9"/>
    <x v="9"/>
    <s v="Hora Real Fim"/>
    <x v="327"/>
    <s v="0.920138888888889|3"/>
  </r>
  <r>
    <x v="1"/>
    <x v="2"/>
    <x v="0"/>
    <x v="0"/>
    <s v="Hora Real Inicio"/>
    <x v="328"/>
    <s v="0.921527777777778|3"/>
  </r>
  <r>
    <x v="1"/>
    <x v="2"/>
    <x v="0"/>
    <x v="0"/>
    <s v="Hora Real Fim"/>
    <x v="328"/>
    <s v="0.921527777777778|3"/>
  </r>
  <r>
    <x v="1"/>
    <x v="2"/>
    <x v="1"/>
    <x v="1"/>
    <s v="Hora Real Inicio"/>
    <x v="329"/>
    <s v="0.922222222222222|3"/>
  </r>
  <r>
    <x v="1"/>
    <x v="2"/>
    <x v="1"/>
    <x v="1"/>
    <s v="Hora Real Fim"/>
    <x v="329"/>
    <s v="0.922222222222222|3"/>
  </r>
  <r>
    <x v="1"/>
    <x v="2"/>
    <x v="3"/>
    <x v="3"/>
    <s v="Hora Real Inicio"/>
    <x v="330"/>
    <s v="0.924305555555556|3"/>
  </r>
  <r>
    <x v="1"/>
    <x v="2"/>
    <x v="3"/>
    <x v="3"/>
    <s v="Hora Real Fim"/>
    <x v="330"/>
    <s v="0.924305555555556|3"/>
  </r>
  <r>
    <x v="1"/>
    <x v="2"/>
    <x v="2"/>
    <x v="2"/>
    <s v="Hora Real Inicio"/>
    <x v="331"/>
    <s v="0.927777777777778|3"/>
  </r>
  <r>
    <x v="1"/>
    <x v="2"/>
    <x v="2"/>
    <x v="2"/>
    <s v="Hora Real Fim"/>
    <x v="331"/>
    <s v="0.927777777777778|3"/>
  </r>
  <r>
    <x v="1"/>
    <x v="2"/>
    <x v="4"/>
    <x v="4"/>
    <s v="Hora Real Inicio"/>
    <x v="332"/>
    <s v="0.929861111111111|3"/>
  </r>
  <r>
    <x v="1"/>
    <x v="2"/>
    <x v="4"/>
    <x v="4"/>
    <s v="Hora Real Fim"/>
    <x v="332"/>
    <s v="0.929861111111111|3"/>
  </r>
  <r>
    <x v="1"/>
    <x v="2"/>
    <x v="4"/>
    <x v="4"/>
    <s v="Hora Real Inicio"/>
    <x v="332"/>
    <s v="0.929861111111111|3"/>
  </r>
  <r>
    <x v="1"/>
    <x v="2"/>
    <x v="4"/>
    <x v="4"/>
    <s v="Hora Real Fim"/>
    <x v="332"/>
    <s v="0.929861111111111|3"/>
  </r>
  <r>
    <x v="1"/>
    <x v="2"/>
    <x v="5"/>
    <x v="5"/>
    <s v="Hora Real Inicio"/>
    <x v="333"/>
    <s v="0.932638888888889|3"/>
  </r>
  <r>
    <x v="1"/>
    <x v="2"/>
    <x v="5"/>
    <x v="5"/>
    <s v="Hora Real Fim"/>
    <x v="333"/>
    <s v="0.932638888888889|3"/>
  </r>
  <r>
    <x v="1"/>
    <x v="2"/>
    <x v="5"/>
    <x v="5"/>
    <s v="Hora Real Inicio"/>
    <x v="333"/>
    <s v="0.932638888888889|3"/>
  </r>
  <r>
    <x v="1"/>
    <x v="2"/>
    <x v="5"/>
    <x v="5"/>
    <s v="Hora Real Fim"/>
    <x v="333"/>
    <s v="0.932638888888889|3"/>
  </r>
  <r>
    <x v="1"/>
    <x v="2"/>
    <x v="6"/>
    <x v="6"/>
    <s v="Hora Real Inicio"/>
    <x v="334"/>
    <s v="0.934722222222222|3"/>
  </r>
  <r>
    <x v="1"/>
    <x v="2"/>
    <x v="6"/>
    <x v="6"/>
    <s v="Hora Real Fim"/>
    <x v="334"/>
    <s v="0.934722222222222|3"/>
  </r>
  <r>
    <x v="0"/>
    <x v="2"/>
    <x v="2"/>
    <x v="2"/>
    <s v="Hora Real Fim"/>
    <x v="335"/>
    <s v="0.9375|2"/>
  </r>
  <r>
    <x v="0"/>
    <x v="2"/>
    <x v="2"/>
    <x v="2"/>
    <s v="Hora Real Inicio"/>
    <x v="335"/>
    <s v="0.9375|2"/>
  </r>
  <r>
    <x v="1"/>
    <x v="2"/>
    <x v="7"/>
    <x v="7"/>
    <s v="Hora Real Inicio"/>
    <x v="336"/>
    <s v="0.938888888888889|3"/>
  </r>
  <r>
    <x v="1"/>
    <x v="2"/>
    <x v="7"/>
    <x v="7"/>
    <s v="Hora Real Fim"/>
    <x v="336"/>
    <s v="0.938888888888889|3"/>
  </r>
  <r>
    <x v="1"/>
    <x v="2"/>
    <x v="8"/>
    <x v="8"/>
    <s v="Hora Real Inicio"/>
    <x v="337"/>
    <s v="0.943055555555556|3"/>
  </r>
  <r>
    <x v="1"/>
    <x v="2"/>
    <x v="8"/>
    <x v="8"/>
    <s v="Hora Real Fim"/>
    <x v="337"/>
    <s v="0.943055555555556|3"/>
  </r>
  <r>
    <x v="1"/>
    <x v="2"/>
    <x v="8"/>
    <x v="8"/>
    <s v="Hora Real Inicio"/>
    <x v="337"/>
    <s v="0.943055555555556|3"/>
  </r>
  <r>
    <x v="1"/>
    <x v="2"/>
    <x v="8"/>
    <x v="8"/>
    <s v="Hora Real Fim"/>
    <x v="337"/>
    <s v="0.943055555555556|3"/>
  </r>
  <r>
    <x v="1"/>
    <x v="2"/>
    <x v="7"/>
    <x v="7"/>
    <s v="Hora Real Inicio"/>
    <x v="338"/>
    <s v="0.947222222222222|3"/>
  </r>
  <r>
    <x v="1"/>
    <x v="2"/>
    <x v="7"/>
    <x v="7"/>
    <s v="Hora Real Fim"/>
    <x v="338"/>
    <s v="0.947222222222222|3"/>
  </r>
  <r>
    <x v="1"/>
    <x v="2"/>
    <x v="6"/>
    <x v="6"/>
    <s v="Hora Real Inicio"/>
    <x v="339"/>
    <s v="0.951388888888889|3"/>
  </r>
  <r>
    <x v="1"/>
    <x v="2"/>
    <x v="6"/>
    <x v="6"/>
    <s v="Hora Real Fim"/>
    <x v="339"/>
    <s v="0.951388888888889|3"/>
  </r>
  <r>
    <x v="1"/>
    <x v="2"/>
    <x v="5"/>
    <x v="5"/>
    <s v="Hora Real Inicio"/>
    <x v="340"/>
    <s v="0.953472222222222|3"/>
  </r>
  <r>
    <x v="1"/>
    <x v="2"/>
    <x v="5"/>
    <x v="5"/>
    <s v="Hora Real Fim"/>
    <x v="340"/>
    <s v="0.953472222222222|3"/>
  </r>
  <r>
    <x v="1"/>
    <x v="2"/>
    <x v="5"/>
    <x v="5"/>
    <s v="Hora Real Inicio"/>
    <x v="340"/>
    <s v="0.953472222222222|3"/>
  </r>
  <r>
    <x v="1"/>
    <x v="2"/>
    <x v="5"/>
    <x v="5"/>
    <s v="Hora Real Fim"/>
    <x v="340"/>
    <s v="0.953472222222222|3"/>
  </r>
  <r>
    <x v="1"/>
    <x v="2"/>
    <x v="4"/>
    <x v="4"/>
    <s v="Hora Real Inicio"/>
    <x v="341"/>
    <s v="0.95625|3"/>
  </r>
  <r>
    <x v="1"/>
    <x v="2"/>
    <x v="4"/>
    <x v="4"/>
    <s v="Hora Real Fim"/>
    <x v="341"/>
    <s v="0.95625|3"/>
  </r>
  <r>
    <x v="1"/>
    <x v="2"/>
    <x v="4"/>
    <x v="4"/>
    <s v="Hora Real Inicio"/>
    <x v="341"/>
    <s v="0.95625|3"/>
  </r>
  <r>
    <x v="1"/>
    <x v="2"/>
    <x v="4"/>
    <x v="4"/>
    <s v="Hora Real Fim"/>
    <x v="341"/>
    <s v="0.95625|3"/>
  </r>
  <r>
    <x v="0"/>
    <x v="2"/>
    <x v="2"/>
    <x v="2"/>
    <s v="Hora Real Fim"/>
    <x v="342"/>
    <s v="0.958333333333333|2"/>
  </r>
  <r>
    <x v="0"/>
    <x v="2"/>
    <x v="2"/>
    <x v="2"/>
    <s v="Hora Real Inicio"/>
    <x v="342"/>
    <s v="0.958333333333333|2"/>
  </r>
  <r>
    <x v="0"/>
    <x v="2"/>
    <x v="2"/>
    <x v="2"/>
    <s v="Hora Real Fim"/>
    <x v="342"/>
    <s v="0.958333333333333|2"/>
  </r>
  <r>
    <x v="0"/>
    <x v="0"/>
    <x v="2"/>
    <x v="2"/>
    <s v="Hora Real Inicio"/>
    <x v="342"/>
    <s v="0.958333333333333|2"/>
  </r>
  <r>
    <x v="0"/>
    <x v="0"/>
    <x v="2"/>
    <x v="2"/>
    <s v="Hora Real Fim"/>
    <x v="342"/>
    <s v="0.958333333333333|2"/>
  </r>
  <r>
    <x v="0"/>
    <x v="0"/>
    <x v="2"/>
    <x v="2"/>
    <s v="Hora Real Inicio"/>
    <x v="342"/>
    <s v="0.958333333333333|2"/>
  </r>
  <r>
    <x v="0"/>
    <x v="0"/>
    <x v="2"/>
    <x v="2"/>
    <s v="Hora Real Fim"/>
    <x v="342"/>
    <s v="0.958333333333333|2"/>
  </r>
  <r>
    <x v="0"/>
    <x v="0"/>
    <x v="2"/>
    <x v="2"/>
    <s v="Hora Real Inicio"/>
    <x v="342"/>
    <s v="0.958333333333333|2"/>
  </r>
  <r>
    <x v="1"/>
    <x v="2"/>
    <x v="2"/>
    <x v="2"/>
    <s v="Hora Real Inicio"/>
    <x v="342"/>
    <s v="0.958333333333333|3"/>
  </r>
  <r>
    <x v="1"/>
    <x v="2"/>
    <x v="2"/>
    <x v="2"/>
    <s v="Hora Real Fim"/>
    <x v="342"/>
    <s v="0.958333333333333|3"/>
  </r>
  <r>
    <x v="1"/>
    <x v="2"/>
    <x v="2"/>
    <x v="2"/>
    <s v="Hora Real Inicio"/>
    <x v="342"/>
    <s v="0.958333333333333|3"/>
  </r>
  <r>
    <x v="1"/>
    <x v="2"/>
    <x v="2"/>
    <x v="2"/>
    <s v="Hora Real Fim"/>
    <x v="342"/>
    <s v="0.958333333333333|3"/>
  </r>
  <r>
    <x v="1"/>
    <x v="0"/>
    <x v="2"/>
    <x v="2"/>
    <s v="Hora Real Inicio"/>
    <x v="342"/>
    <s v="0.958333333333333|3"/>
  </r>
  <r>
    <x v="1"/>
    <x v="0"/>
    <x v="2"/>
    <x v="2"/>
    <s v="Hora Real Fim"/>
    <x v="342"/>
    <s v="0.958333333333333|3"/>
  </r>
  <r>
    <x v="1"/>
    <x v="0"/>
    <x v="2"/>
    <x v="2"/>
    <s v="Hora Real Inicio"/>
    <x v="342"/>
    <s v="0.958333333333333|3"/>
  </r>
  <r>
    <x v="1"/>
    <x v="0"/>
    <x v="2"/>
    <x v="2"/>
    <s v="Hora Real Fim"/>
    <x v="342"/>
    <s v="0.958333333333333|3"/>
  </r>
  <r>
    <x v="1"/>
    <x v="0"/>
    <x v="2"/>
    <x v="2"/>
    <s v="Hora Real Inicio"/>
    <x v="342"/>
    <s v="0.958333333333333|3"/>
  </r>
  <r>
    <x v="0"/>
    <x v="0"/>
    <x v="2"/>
    <x v="2"/>
    <s v="Hora Real Fim"/>
    <x v="343"/>
    <s v="0.96875|2"/>
  </r>
  <r>
    <x v="1"/>
    <x v="0"/>
    <x v="2"/>
    <x v="2"/>
    <s v="Hora Real Fim"/>
    <x v="343"/>
    <s v="0.96875|3"/>
  </r>
  <r>
    <x v="1"/>
    <x v="0"/>
    <x v="2"/>
    <x v="2"/>
    <s v="Hora Real Inicio"/>
    <x v="343"/>
    <s v="0.96875|3"/>
  </r>
  <r>
    <x v="0"/>
    <x v="0"/>
    <x v="3"/>
    <x v="3"/>
    <s v="Hora Real Inicio"/>
    <x v="344"/>
    <s v="0.972222222222222|2"/>
  </r>
  <r>
    <x v="0"/>
    <x v="0"/>
    <x v="3"/>
    <x v="3"/>
    <s v="Hora Real Fim"/>
    <x v="344"/>
    <s v="0.972222222222222|2"/>
  </r>
  <r>
    <x v="0"/>
    <x v="0"/>
    <x v="1"/>
    <x v="1"/>
    <s v="Hora Real Inicio"/>
    <x v="345"/>
    <s v="0.974305555555556|2"/>
  </r>
  <r>
    <x v="0"/>
    <x v="0"/>
    <x v="1"/>
    <x v="1"/>
    <s v="Hora Real Fim"/>
    <x v="345"/>
    <s v="0.974305555555556|2"/>
  </r>
  <r>
    <x v="0"/>
    <x v="0"/>
    <x v="0"/>
    <x v="0"/>
    <s v="Hora Real Inicio"/>
    <x v="346"/>
    <s v="0.975|2"/>
  </r>
  <r>
    <x v="0"/>
    <x v="0"/>
    <x v="0"/>
    <x v="0"/>
    <s v="Hora Real Fim"/>
    <x v="346"/>
    <s v="0.975|2"/>
  </r>
  <r>
    <x v="0"/>
    <x v="0"/>
    <x v="9"/>
    <x v="9"/>
    <s v="Hora Real Inicio"/>
    <x v="347"/>
    <s v="0.976388888888889|2"/>
  </r>
  <r>
    <x v="0"/>
    <x v="0"/>
    <x v="9"/>
    <x v="9"/>
    <s v="Hora Real Fim"/>
    <x v="347"/>
    <s v="0.976388888888889|2"/>
  </r>
  <r>
    <x v="0"/>
    <x v="0"/>
    <x v="9"/>
    <x v="9"/>
    <s v="Hora Real Inicio"/>
    <x v="347"/>
    <s v="0.976388888888889|2"/>
  </r>
  <r>
    <x v="1"/>
    <x v="0"/>
    <x v="2"/>
    <x v="2"/>
    <s v="Hora Real Fim"/>
    <x v="348"/>
    <s v="0.977777777777778|3"/>
  </r>
  <r>
    <x v="1"/>
    <x v="0"/>
    <x v="3"/>
    <x v="3"/>
    <s v="Hora Real Inicio"/>
    <x v="349"/>
    <s v="0.98125|3"/>
  </r>
  <r>
    <x v="1"/>
    <x v="0"/>
    <x v="3"/>
    <x v="3"/>
    <s v="Hora Real Fim"/>
    <x v="349"/>
    <s v="0.98125|3"/>
  </r>
  <r>
    <x v="1"/>
    <x v="0"/>
    <x v="1"/>
    <x v="1"/>
    <s v="Hora Real Inicio"/>
    <x v="350"/>
    <s v="0.983333333333333|3"/>
  </r>
  <r>
    <x v="1"/>
    <x v="0"/>
    <x v="1"/>
    <x v="1"/>
    <s v="Hora Real Fim"/>
    <x v="350"/>
    <s v="0.983333333333333|3"/>
  </r>
  <r>
    <x v="1"/>
    <x v="0"/>
    <x v="0"/>
    <x v="0"/>
    <s v="Hora Real Inicio"/>
    <x v="351"/>
    <s v="0.984027777777778|3"/>
  </r>
  <r>
    <x v="1"/>
    <x v="0"/>
    <x v="0"/>
    <x v="0"/>
    <s v="Hora Real Fim"/>
    <x v="351"/>
    <s v="0.984027777777778|3"/>
  </r>
  <r>
    <x v="1"/>
    <x v="0"/>
    <x v="9"/>
    <x v="9"/>
    <s v="Hora Real Inicio"/>
    <x v="352"/>
    <s v="0.985416666666667|3"/>
  </r>
  <r>
    <x v="1"/>
    <x v="0"/>
    <x v="9"/>
    <x v="9"/>
    <s v="Hora Real Fim"/>
    <x v="352"/>
    <s v="0.985416666666667|3"/>
  </r>
  <r>
    <x v="1"/>
    <x v="0"/>
    <x v="9"/>
    <x v="9"/>
    <s v="Hora Real Inicio"/>
    <x v="352"/>
    <s v="0.985416666666667|3"/>
  </r>
  <r>
    <x v="1"/>
    <x v="0"/>
    <x v="9"/>
    <x v="9"/>
    <s v="Hora Real Fim"/>
    <x v="352"/>
    <s v="0.985416666666667|3"/>
  </r>
  <r>
    <x v="1"/>
    <x v="0"/>
    <x v="0"/>
    <x v="0"/>
    <s v="Hora Real Inicio"/>
    <x v="353"/>
    <s v="0.986805555555556|3"/>
  </r>
  <r>
    <x v="1"/>
    <x v="0"/>
    <x v="0"/>
    <x v="0"/>
    <s v="Hora Real Fim"/>
    <x v="353"/>
    <s v="0.986805555555556|3"/>
  </r>
  <r>
    <x v="1"/>
    <x v="0"/>
    <x v="1"/>
    <x v="1"/>
    <s v="Hora Real Inicio"/>
    <x v="354"/>
    <s v="0.9875|3"/>
  </r>
  <r>
    <x v="1"/>
    <x v="0"/>
    <x v="1"/>
    <x v="1"/>
    <s v="Hora Real Fim"/>
    <x v="354"/>
    <s v="0.9875|3"/>
  </r>
  <r>
    <x v="1"/>
    <x v="0"/>
    <x v="3"/>
    <x v="3"/>
    <s v="Hora Real Inicio"/>
    <x v="355"/>
    <s v="0.989583333333333|3"/>
  </r>
  <r>
    <x v="1"/>
    <x v="0"/>
    <x v="3"/>
    <x v="3"/>
    <s v="Hora Real Fim"/>
    <x v="355"/>
    <s v="0.989583333333333|3"/>
  </r>
  <r>
    <x v="1"/>
    <x v="0"/>
    <x v="2"/>
    <x v="2"/>
    <s v="Hora Real Inicio"/>
    <x v="356"/>
    <s v="0.993055555555556|3"/>
  </r>
  <r>
    <x v="1"/>
    <x v="0"/>
    <x v="2"/>
    <x v="2"/>
    <s v="Hora Real Fim"/>
    <x v="356"/>
    <s v="0.993055555555556|3"/>
  </r>
  <r>
    <x v="1"/>
    <x v="0"/>
    <x v="2"/>
    <x v="2"/>
    <s v="Hora Real Inicio"/>
    <x v="356"/>
    <s v="0.993055555555556|3"/>
  </r>
  <r>
    <x v="0"/>
    <x v="0"/>
    <x v="9"/>
    <x v="9"/>
    <s v="Hora Real Fim"/>
    <x v="357"/>
    <s v="0.997222222222222|2"/>
  </r>
  <r>
    <x v="0"/>
    <x v="0"/>
    <x v="9"/>
    <x v="9"/>
    <s v="Hora Real Inicio"/>
    <x v="357"/>
    <s v="0.997222222222222|2"/>
  </r>
  <r>
    <x v="0"/>
    <x v="0"/>
    <x v="9"/>
    <x v="9"/>
    <s v="Hora Real Fim"/>
    <x v="357"/>
    <s v="0.997222222222222|2"/>
  </r>
  <r>
    <x v="0"/>
    <x v="0"/>
    <x v="0"/>
    <x v="0"/>
    <s v="Hora Real Inicio"/>
    <x v="358"/>
    <s v="0.998611111111111|2"/>
  </r>
  <r>
    <x v="0"/>
    <x v="0"/>
    <x v="0"/>
    <x v="0"/>
    <s v="Hora Real Fim"/>
    <x v="358"/>
    <s v="0.998611111111111|2"/>
  </r>
  <r>
    <x v="0"/>
    <x v="0"/>
    <x v="0"/>
    <x v="0"/>
    <s v="Hora Real Inicio"/>
    <x v="358"/>
    <s v="0.99861111111111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65"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5"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11"/>
        <item m="1" x="19"/>
        <item m="1" x="14"/>
        <item m="1" x="23"/>
        <item m="1" x="15"/>
        <item m="1" x="21"/>
        <item m="1" x="24"/>
        <item m="1" x="13"/>
        <item m="1" x="26"/>
        <item m="1" x="18"/>
        <item m="1" x="27"/>
        <item m="1" x="25"/>
        <item m="1" x="20"/>
        <item x="4"/>
        <item x="2"/>
        <item m="1" x="17"/>
        <item m="1" x="16"/>
        <item m="1" x="12"/>
        <item m="1" x="10"/>
        <item m="1" x="22"/>
        <item x="3"/>
        <item x="1"/>
        <item x="0"/>
        <item x="9"/>
        <item x="8"/>
        <item x="7"/>
        <item x="6"/>
        <item x="5"/>
      </items>
      <extLst>
        <ext xmlns:x14="http://schemas.microsoft.com/office/spreadsheetml/2009/9/main" uri="{2946ED86-A175-432a-8AC1-64E0C546D7DE}">
          <x14:pivotField fillDownLabels="1"/>
        </ext>
      </extLst>
    </pivotField>
    <pivotField axis="axisRow" compact="0" outline="0" showAll="0" sortType="descending" defaultSubtotal="0">
      <items count="10">
        <item x="8"/>
        <item x="7"/>
        <item x="6"/>
        <item x="5"/>
        <item x="4"/>
        <item x="2"/>
        <item x="3"/>
        <item x="1"/>
        <item x="0"/>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10">
    <i>
      <x/>
      <x v="24"/>
    </i>
    <i>
      <x v="1"/>
      <x v="25"/>
    </i>
    <i>
      <x v="2"/>
      <x v="26"/>
    </i>
    <i>
      <x v="3"/>
      <x v="27"/>
    </i>
    <i>
      <x v="4"/>
      <x v="13"/>
    </i>
    <i>
      <x v="5"/>
      <x v="14"/>
    </i>
    <i>
      <x v="6"/>
      <x v="20"/>
    </i>
    <i>
      <x v="7"/>
      <x v="21"/>
    </i>
    <i>
      <x v="8"/>
      <x v="22"/>
    </i>
    <i>
      <x v="9"/>
      <x v="23"/>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65"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77" firstHeaderRow="1" firstDataRow="1" firstDataCol="2" rowPageCount="2" colPageCount="1"/>
  <pivotFields count="7">
    <pivotField axis="axisPage" compact="0" outline="0" showAll="0" defaultSubtotal="0">
      <items count="4">
        <item m="1" x="2"/>
        <item x="0"/>
        <item x="1"/>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9"/>
        <item x="0"/>
        <item x="1"/>
        <item x="3"/>
        <item x="2"/>
        <item x="4"/>
        <item x="5"/>
        <item x="6"/>
        <item x="7"/>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28">
        <item m="1" x="1399"/>
        <item m="1" x="469"/>
        <item x="0"/>
        <item x="1"/>
        <item m="1" x="906"/>
        <item m="1" x="1030"/>
        <item m="1" x="1149"/>
        <item m="1" x="1270"/>
        <item m="1" x="1417"/>
        <item m="1" x="487"/>
        <item m="1" x="632"/>
        <item m="1" x="776"/>
        <item m="1" x="925"/>
        <item m="1" x="1045"/>
        <item m="1" x="1167"/>
        <item m="1" x="1292"/>
        <item x="2"/>
        <item m="1" x="504"/>
        <item m="1" x="655"/>
        <item m="1" x="795"/>
        <item m="1" x="943"/>
        <item x="3"/>
        <item m="1" x="1182"/>
        <item m="1" x="1306"/>
        <item x="4"/>
        <item m="1" x="528"/>
        <item m="1" x="670"/>
        <item m="1" x="813"/>
        <item m="1" x="961"/>
        <item x="5"/>
        <item m="1" x="1198"/>
        <item m="1" x="1324"/>
        <item m="1" x="391"/>
        <item m="1" x="549"/>
        <item m="1" x="687"/>
        <item m="1" x="828"/>
        <item m="1" x="981"/>
        <item m="1" x="1097"/>
        <item m="1" x="1214"/>
        <item m="1" x="1345"/>
        <item m="1" x="413"/>
        <item m="1" x="569"/>
        <item x="6"/>
        <item x="7"/>
        <item m="1" x="997"/>
        <item x="8"/>
        <item x="9"/>
        <item m="1" x="1367"/>
        <item m="1" x="431"/>
        <item x="10"/>
        <item x="11"/>
        <item m="1" x="867"/>
        <item x="12"/>
        <item x="13"/>
        <item m="1" x="1249"/>
        <item m="1" x="1383"/>
        <item m="1" x="450"/>
        <item m="1" x="602"/>
        <item x="14"/>
        <item x="15"/>
        <item m="1" x="1400"/>
        <item m="1" x="470"/>
        <item m="1" x="616"/>
        <item m="1" x="756"/>
        <item m="1" x="907"/>
        <item x="16"/>
        <item m="1" x="1150"/>
        <item m="1" x="1271"/>
        <item x="17"/>
        <item m="1" x="488"/>
        <item m="1" x="633"/>
        <item m="1" x="777"/>
        <item m="1" x="926"/>
        <item m="1" x="1046"/>
        <item x="18"/>
        <item x="19"/>
        <item m="1" x="360"/>
        <item m="1" x="505"/>
        <item m="1" x="656"/>
        <item m="1" x="796"/>
        <item x="20"/>
        <item x="21"/>
        <item m="1" x="1183"/>
        <item m="1" x="1307"/>
        <item m="1" x="375"/>
        <item m="1" x="529"/>
        <item m="1" x="671"/>
        <item m="1" x="814"/>
        <item m="1" x="962"/>
        <item m="1" x="1077"/>
        <item m="1" x="1199"/>
        <item m="1" x="1325"/>
        <item m="1" x="392"/>
        <item m="1" x="550"/>
        <item m="1" x="688"/>
        <item m="1" x="829"/>
        <item m="1" x="982"/>
        <item m="1" x="1098"/>
        <item m="1" x="1215"/>
        <item m="1" x="1346"/>
        <item m="1" x="414"/>
        <item m="1" x="570"/>
        <item m="1" x="702"/>
        <item m="1" x="848"/>
        <item m="1" x="998"/>
        <item m="1" x="1114"/>
        <item m="1" x="1233"/>
        <item m="1" x="1368"/>
        <item m="1" x="432"/>
        <item m="1" x="583"/>
        <item m="1" x="723"/>
        <item m="1" x="868"/>
        <item m="1" x="1014"/>
        <item m="1" x="1134"/>
        <item m="1" x="1250"/>
        <item m="1" x="1384"/>
        <item m="1" x="451"/>
        <item m="1" x="603"/>
        <item m="1" x="737"/>
        <item m="1" x="887"/>
        <item m="1" x="1401"/>
        <item m="1" x="471"/>
        <item m="1" x="617"/>
        <item m="1" x="757"/>
        <item m="1" x="908"/>
        <item m="1" x="1031"/>
        <item m="1" x="1151"/>
        <item m="1" x="1272"/>
        <item m="1" x="1418"/>
        <item m="1" x="489"/>
        <item m="1" x="634"/>
        <item m="1" x="778"/>
        <item m="1" x="927"/>
        <item m="1" x="1047"/>
        <item m="1" x="1168"/>
        <item m="1" x="1293"/>
        <item m="1" x="361"/>
        <item m="1" x="506"/>
        <item m="1" x="657"/>
        <item m="1" x="797"/>
        <item x="22"/>
        <item x="23"/>
        <item m="1" x="1184"/>
        <item m="1" x="1308"/>
        <item m="1" x="376"/>
        <item m="1" x="530"/>
        <item m="1" x="672"/>
        <item x="24"/>
        <item m="1" x="963"/>
        <item m="1" x="1078"/>
        <item x="25"/>
        <item m="1" x="1326"/>
        <item m="1" x="393"/>
        <item m="1" x="551"/>
        <item m="1" x="689"/>
        <item m="1" x="830"/>
        <item x="26"/>
        <item x="27"/>
        <item m="1" x="1216"/>
        <item m="1" x="1347"/>
        <item x="28"/>
        <item m="1" x="571"/>
        <item m="1" x="703"/>
        <item m="1" x="849"/>
        <item x="29"/>
        <item m="1" x="1115"/>
        <item x="30"/>
        <item x="31"/>
        <item m="1" x="433"/>
        <item x="32"/>
        <item m="1" x="724"/>
        <item m="1" x="869"/>
        <item x="33"/>
        <item x="34"/>
        <item m="1" x="1251"/>
        <item x="35"/>
        <item x="36"/>
        <item m="1" x="604"/>
        <item m="1" x="738"/>
        <item m="1" x="888"/>
        <item m="1" x="1402"/>
        <item m="1" x="472"/>
        <item m="1" x="618"/>
        <item m="1" x="758"/>
        <item m="1" x="909"/>
        <item m="1" x="1032"/>
        <item m="1" x="1152"/>
        <item m="1" x="1273"/>
        <item m="1" x="1419"/>
        <item x="37"/>
        <item m="1" x="635"/>
        <item m="1" x="779"/>
        <item m="1" x="928"/>
        <item x="38"/>
        <item x="39"/>
        <item m="1" x="1294"/>
        <item x="40"/>
        <item m="1" x="507"/>
        <item x="41"/>
        <item m="1" x="798"/>
        <item m="1" x="944"/>
        <item m="1" x="1062"/>
        <item x="42"/>
        <item x="43"/>
        <item m="1" x="377"/>
        <item m="1" x="531"/>
        <item m="1" x="673"/>
        <item x="44"/>
        <item m="1" x="964"/>
        <item m="1" x="1079"/>
        <item x="45"/>
        <item m="1" x="1327"/>
        <item m="1" x="394"/>
        <item m="1" x="552"/>
        <item m="1" x="690"/>
        <item m="1" x="831"/>
        <item m="1" x="983"/>
        <item m="1" x="1099"/>
        <item m="1" x="1217"/>
        <item m="1" x="1348"/>
        <item m="1" x="415"/>
        <item x="46"/>
        <item m="1" x="704"/>
        <item m="1" x="850"/>
        <item x="47"/>
        <item m="1" x="1116"/>
        <item m="1" x="1234"/>
        <item m="1" x="1369"/>
        <item x="48"/>
        <item x="49"/>
        <item m="1" x="725"/>
        <item m="1" x="870"/>
        <item m="1" x="1015"/>
        <item x="50"/>
        <item m="1" x="1252"/>
        <item x="51"/>
        <item m="1" x="452"/>
        <item x="52"/>
        <item m="1" x="739"/>
        <item m="1" x="889"/>
        <item m="1" x="1403"/>
        <item m="1" x="473"/>
        <item x="53"/>
        <item m="1" x="759"/>
        <item m="1" x="910"/>
        <item m="1" x="1033"/>
        <item m="1" x="1153"/>
        <item m="1" x="1274"/>
        <item m="1" x="1420"/>
        <item m="1" x="490"/>
        <item m="1" x="636"/>
        <item m="1" x="780"/>
        <item m="1" x="929"/>
        <item m="1" x="1048"/>
        <item m="1" x="1169"/>
        <item x="54"/>
        <item m="1" x="362"/>
        <item m="1" x="508"/>
        <item x="55"/>
        <item m="1" x="799"/>
        <item m="1" x="945"/>
        <item m="1" x="1063"/>
        <item x="56"/>
        <item m="1" x="1309"/>
        <item x="57"/>
        <item x="58"/>
        <item m="1" x="674"/>
        <item m="1" x="815"/>
        <item m="1" x="965"/>
        <item m="1" x="1080"/>
        <item m="1" x="1200"/>
        <item m="1" x="1328"/>
        <item m="1" x="395"/>
        <item m="1" x="553"/>
        <item m="1" x="691"/>
        <item x="59"/>
        <item m="1" x="984"/>
        <item m="1" x="1100"/>
        <item m="1" x="1218"/>
        <item m="1" x="1349"/>
        <item m="1" x="416"/>
        <item x="60"/>
        <item m="1" x="705"/>
        <item m="1" x="851"/>
        <item m="1" x="999"/>
        <item m="1" x="1117"/>
        <item m="1" x="1235"/>
        <item m="1" x="1370"/>
        <item m="1" x="434"/>
        <item m="1" x="584"/>
        <item m="1" x="726"/>
        <item x="61"/>
        <item m="1" x="1016"/>
        <item m="1" x="1135"/>
        <item x="62"/>
        <item m="1" x="1385"/>
        <item m="1" x="453"/>
        <item x="63"/>
        <item m="1" x="740"/>
        <item m="1" x="890"/>
        <item m="1" x="1404"/>
        <item m="1" x="474"/>
        <item x="64"/>
        <item x="65"/>
        <item x="66"/>
        <item x="67"/>
        <item m="1" x="1154"/>
        <item m="1" x="1275"/>
        <item x="68"/>
        <item m="1" x="491"/>
        <item m="1" x="637"/>
        <item m="1" x="781"/>
        <item m="1" x="930"/>
        <item x="69"/>
        <item m="1" x="1170"/>
        <item m="1" x="1295"/>
        <item m="1" x="363"/>
        <item m="1" x="509"/>
        <item m="1" x="658"/>
        <item x="70"/>
        <item m="1" x="946"/>
        <item x="71"/>
        <item x="72"/>
        <item m="1" x="1310"/>
        <item m="1" x="378"/>
        <item m="1" x="532"/>
        <item x="73"/>
        <item m="1" x="816"/>
        <item m="1" x="966"/>
        <item x="74"/>
        <item m="1" x="1201"/>
        <item m="1" x="1329"/>
        <item m="1" x="396"/>
        <item x="75"/>
        <item x="76"/>
        <item m="1" x="832"/>
        <item x="77"/>
        <item m="1" x="1101"/>
        <item m="1" x="1219"/>
        <item m="1" x="1350"/>
        <item m="1" x="417"/>
        <item m="1" x="572"/>
        <item m="1" x="706"/>
        <item m="1" x="852"/>
        <item m="1" x="1000"/>
        <item m="1" x="1118"/>
        <item x="78"/>
        <item x="79"/>
        <item m="1" x="435"/>
        <item m="1" x="585"/>
        <item x="80"/>
        <item x="81"/>
        <item x="82"/>
        <item m="1" x="1136"/>
        <item m="1" x="1253"/>
        <item x="83"/>
        <item m="1" x="454"/>
        <item x="84"/>
        <item x="85"/>
        <item m="1" x="891"/>
        <item m="1" x="1405"/>
        <item m="1" x="475"/>
        <item m="1" x="619"/>
        <item m="1" x="760"/>
        <item m="1" x="911"/>
        <item x="86"/>
        <item m="1" x="1155"/>
        <item x="87"/>
        <item x="88"/>
        <item m="1" x="492"/>
        <item m="1" x="638"/>
        <item x="89"/>
        <item m="1" x="931"/>
        <item m="1" x="1049"/>
        <item x="90"/>
        <item m="1" x="1296"/>
        <item x="91"/>
        <item m="1" x="510"/>
        <item m="1" x="659"/>
        <item x="92"/>
        <item x="93"/>
        <item m="1" x="1064"/>
        <item m="1" x="1185"/>
        <item x="94"/>
        <item m="1" x="379"/>
        <item m="1" x="533"/>
        <item x="95"/>
        <item x="96"/>
        <item m="1" x="967"/>
        <item m="1" x="1081"/>
        <item x="97"/>
        <item m="1" x="1330"/>
        <item x="98"/>
        <item m="1" x="554"/>
        <item m="1" x="692"/>
        <item m="1" x="833"/>
        <item m="1" x="1102"/>
        <item x="99"/>
        <item m="1" x="1351"/>
        <item m="1" x="418"/>
        <item m="1" x="573"/>
        <item m="1" x="707"/>
        <item m="1" x="853"/>
        <item x="100"/>
        <item m="1" x="1119"/>
        <item m="1" x="1236"/>
        <item m="1" x="1371"/>
        <item m="1" x="436"/>
        <item m="1" x="586"/>
        <item x="101"/>
        <item m="1" x="871"/>
        <item m="1" x="1017"/>
        <item x="102"/>
        <item m="1" x="1254"/>
        <item m="1" x="1386"/>
        <item m="1" x="455"/>
        <item x="103"/>
        <item m="1" x="741"/>
        <item x="104"/>
        <item m="1" x="620"/>
        <item m="1" x="761"/>
        <item m="1" x="912"/>
        <item x="105"/>
        <item m="1" x="1156"/>
        <item m="1" x="1276"/>
        <item x="106"/>
        <item x="107"/>
        <item m="1" x="639"/>
        <item x="108"/>
        <item m="1" x="932"/>
        <item x="109"/>
        <item m="1" x="1171"/>
        <item m="1" x="1297"/>
        <item m="1" x="364"/>
        <item m="1" x="511"/>
        <item x="110"/>
        <item m="1" x="800"/>
        <item m="1" x="947"/>
        <item x="111"/>
        <item x="112"/>
        <item m="1" x="1311"/>
        <item x="113"/>
        <item m="1" x="534"/>
        <item x="114"/>
        <item x="115"/>
        <item m="1" x="968"/>
        <item m="1" x="1082"/>
        <item x="116"/>
        <item m="1" x="1331"/>
        <item m="1" x="397"/>
        <item m="1" x="555"/>
        <item m="1" x="693"/>
        <item x="117"/>
        <item m="1" x="985"/>
        <item m="1" x="1103"/>
        <item m="1" x="1220"/>
        <item m="1" x="1352"/>
        <item m="1" x="419"/>
        <item x="118"/>
        <item m="1" x="708"/>
        <item x="119"/>
        <item m="1" x="1001"/>
        <item m="1" x="1120"/>
        <item m="1" x="1237"/>
        <item x="120"/>
        <item x="121"/>
        <item m="1" x="587"/>
        <item m="1" x="727"/>
        <item m="1" x="872"/>
        <item m="1" x="1018"/>
        <item m="1" x="1137"/>
        <item m="1" x="1255"/>
        <item m="1" x="1387"/>
        <item m="1" x="456"/>
        <item m="1" x="605"/>
        <item m="1" x="742"/>
        <item m="1" x="892"/>
        <item m="1" x="1406"/>
        <item m="1" x="476"/>
        <item x="122"/>
        <item m="1" x="762"/>
        <item x="123"/>
        <item m="1" x="1034"/>
        <item x="124"/>
        <item m="1" x="1277"/>
        <item x="125"/>
        <item x="126"/>
        <item m="1" x="640"/>
        <item m="1" x="782"/>
        <item x="127"/>
        <item m="1" x="1050"/>
        <item x="128"/>
        <item m="1" x="1298"/>
        <item m="1" x="365"/>
        <item m="1" x="512"/>
        <item x="129"/>
        <item m="1" x="801"/>
        <item m="1" x="948"/>
        <item m="1" x="1065"/>
        <item m="1" x="1186"/>
        <item m="1" x="1312"/>
        <item x="130"/>
        <item m="1" x="535"/>
        <item m="1" x="675"/>
        <item x="131"/>
        <item m="1" x="969"/>
        <item m="1" x="1083"/>
        <item x="132"/>
        <item m="1" x="1332"/>
        <item m="1" x="398"/>
        <item m="1" x="556"/>
        <item x="133"/>
        <item m="1" x="834"/>
        <item x="134"/>
        <item x="135"/>
        <item m="1" x="1221"/>
        <item m="1" x="1353"/>
        <item m="1" x="420"/>
        <item m="1" x="574"/>
        <item m="1" x="709"/>
        <item x="136"/>
        <item m="1" x="1002"/>
        <item m="1" x="1121"/>
        <item x="137"/>
        <item m="1" x="1372"/>
        <item x="138"/>
        <item x="139"/>
        <item m="1" x="728"/>
        <item m="1" x="873"/>
        <item x="140"/>
        <item m="1" x="1138"/>
        <item m="1" x="1256"/>
        <item m="1" x="1388"/>
        <item x="141"/>
        <item m="1" x="606"/>
        <item m="1" x="743"/>
        <item x="142"/>
        <item m="1" x="1407"/>
        <item m="1" x="621"/>
        <item m="1" x="763"/>
        <item m="1" x="913"/>
        <item x="143"/>
        <item m="1" x="1157"/>
        <item m="1" x="1278"/>
        <item m="1" x="1421"/>
        <item m="1" x="493"/>
        <item x="144"/>
        <item m="1" x="783"/>
        <item m="1" x="933"/>
        <item m="1" x="1051"/>
        <item m="1" x="1172"/>
        <item x="145"/>
        <item x="146"/>
        <item m="1" x="513"/>
        <item x="147"/>
        <item m="1" x="802"/>
        <item m="1" x="949"/>
        <item x="148"/>
        <item m="1" x="1187"/>
        <item m="1" x="1313"/>
        <item m="1" x="380"/>
        <item m="1" x="536"/>
        <item m="1" x="676"/>
        <item m="1" x="817"/>
        <item m="1" x="970"/>
        <item m="1" x="1084"/>
        <item m="1" x="1202"/>
        <item x="149"/>
        <item m="1" x="399"/>
        <item m="1" x="557"/>
        <item x="150"/>
        <item m="1" x="835"/>
        <item x="151"/>
        <item m="1" x="1104"/>
        <item x="152"/>
        <item m="1" x="1354"/>
        <item x="153"/>
        <item x="154"/>
        <item m="1" x="710"/>
        <item m="1" x="854"/>
        <item m="1" x="1003"/>
        <item m="1" x="1122"/>
        <item m="1" x="1238"/>
        <item m="1" x="1373"/>
        <item m="1" x="437"/>
        <item m="1" x="588"/>
        <item m="1" x="729"/>
        <item m="1" x="874"/>
        <item m="1" x="1019"/>
        <item m="1" x="1139"/>
        <item m="1" x="1257"/>
        <item m="1" x="1389"/>
        <item x="155"/>
        <item m="1" x="607"/>
        <item m="1" x="744"/>
        <item m="1" x="893"/>
        <item m="1" x="1408"/>
        <item m="1" x="477"/>
        <item m="1" x="622"/>
        <item m="1" x="764"/>
        <item m="1" x="914"/>
        <item m="1" x="1035"/>
        <item x="156"/>
        <item m="1" x="1279"/>
        <item x="157"/>
        <item x="158"/>
        <item m="1" x="641"/>
        <item m="1" x="784"/>
        <item x="159"/>
        <item x="160"/>
        <item x="161"/>
        <item m="1" x="1299"/>
        <item m="1" x="366"/>
        <item m="1" x="514"/>
        <item m="1" x="660"/>
        <item m="1" x="803"/>
        <item m="1" x="950"/>
        <item m="1" x="1066"/>
        <item m="1" x="1188"/>
        <item m="1" x="1314"/>
        <item m="1" x="381"/>
        <item m="1" x="537"/>
        <item m="1" x="677"/>
        <item m="1" x="818"/>
        <item m="1" x="971"/>
        <item m="1" x="1085"/>
        <item m="1" x="1203"/>
        <item x="162"/>
        <item m="1" x="400"/>
        <item m="1" x="558"/>
        <item x="163"/>
        <item m="1" x="836"/>
        <item m="1" x="986"/>
        <item m="1" x="1105"/>
        <item m="1" x="1222"/>
        <item m="1" x="1355"/>
        <item m="1" x="421"/>
        <item m="1" x="575"/>
        <item m="1" x="711"/>
        <item m="1" x="855"/>
        <item m="1" x="1004"/>
        <item m="1" x="1123"/>
        <item m="1" x="1239"/>
        <item m="1" x="1374"/>
        <item m="1" x="438"/>
        <item m="1" x="589"/>
        <item m="1" x="730"/>
        <item m="1" x="875"/>
        <item m="1" x="1020"/>
        <item m="1" x="1140"/>
        <item m="1" x="1258"/>
        <item m="1" x="1390"/>
        <item m="1" x="457"/>
        <item m="1" x="608"/>
        <item m="1" x="745"/>
        <item m="1" x="894"/>
        <item m="1" x="1409"/>
        <item m="1" x="623"/>
        <item m="1" x="765"/>
        <item m="1" x="915"/>
        <item m="1" x="1036"/>
        <item m="1" x="1158"/>
        <item m="1" x="1280"/>
        <item m="1" x="1422"/>
        <item m="1" x="494"/>
        <item m="1" x="642"/>
        <item m="1" x="785"/>
        <item m="1" x="934"/>
        <item m="1" x="1052"/>
        <item x="164"/>
        <item m="1" x="1300"/>
        <item m="1" x="367"/>
        <item m="1" x="515"/>
        <item m="1" x="661"/>
        <item m="1" x="804"/>
        <item m="1" x="951"/>
        <item m="1" x="1067"/>
        <item m="1" x="1189"/>
        <item m="1" x="1315"/>
        <item m="1" x="382"/>
        <item m="1" x="538"/>
        <item m="1" x="678"/>
        <item x="165"/>
        <item m="1" x="972"/>
        <item m="1" x="1086"/>
        <item x="166"/>
        <item m="1" x="1333"/>
        <item m="1" x="401"/>
        <item m="1" x="559"/>
        <item x="167"/>
        <item m="1" x="837"/>
        <item m="1" x="987"/>
        <item m="1" x="1106"/>
        <item m="1" x="1223"/>
        <item m="1" x="1356"/>
        <item m="1" x="422"/>
        <item m="1" x="576"/>
        <item m="1" x="712"/>
        <item m="1" x="856"/>
        <item m="1" x="1005"/>
        <item m="1" x="1124"/>
        <item m="1" x="1240"/>
        <item x="168"/>
        <item x="169"/>
        <item x="170"/>
        <item m="1" x="731"/>
        <item m="1" x="876"/>
        <item x="171"/>
        <item x="172"/>
        <item m="1" x="1259"/>
        <item x="173"/>
        <item m="1" x="458"/>
        <item m="1" x="609"/>
        <item m="1" x="746"/>
        <item m="1" x="895"/>
        <item m="1" x="1410"/>
        <item m="1" x="478"/>
        <item m="1" x="624"/>
        <item m="1" x="766"/>
        <item m="1" x="916"/>
        <item x="174"/>
        <item m="1" x="1159"/>
        <item m="1" x="1281"/>
        <item x="175"/>
        <item m="1" x="495"/>
        <item m="1" x="643"/>
        <item m="1" x="786"/>
        <item x="176"/>
        <item m="1" x="1053"/>
        <item m="1" x="1173"/>
        <item x="177"/>
        <item m="1" x="368"/>
        <item m="1" x="516"/>
        <item m="1" x="662"/>
        <item m="1" x="805"/>
        <item m="1" x="952"/>
        <item m="1" x="1068"/>
        <item m="1" x="1190"/>
        <item m="1" x="1316"/>
        <item x="178"/>
        <item x="179"/>
        <item m="1" x="679"/>
        <item m="1" x="819"/>
        <item m="1" x="973"/>
        <item m="1" x="1087"/>
        <item m="1" x="1204"/>
        <item x="180"/>
        <item m="1" x="402"/>
        <item m="1" x="560"/>
        <item m="1" x="694"/>
        <item m="1" x="838"/>
        <item m="1" x="988"/>
        <item m="1" x="1107"/>
        <item m="1" x="1224"/>
        <item m="1" x="1357"/>
        <item m="1" x="423"/>
        <item x="181"/>
        <item m="1" x="713"/>
        <item m="1" x="857"/>
        <item m="1" x="1006"/>
        <item m="1" x="1125"/>
        <item m="1" x="1241"/>
        <item x="182"/>
        <item m="1" x="439"/>
        <item m="1" x="590"/>
        <item m="1" x="732"/>
        <item m="1" x="877"/>
        <item m="1" x="1021"/>
        <item x="183"/>
        <item x="184"/>
        <item m="1" x="1391"/>
        <item m="1" x="459"/>
        <item m="1" x="610"/>
        <item m="1" x="747"/>
        <item m="1" x="896"/>
        <item m="1" x="1411"/>
        <item m="1" x="479"/>
        <item x="185"/>
        <item x="186"/>
        <item x="187"/>
        <item x="188"/>
        <item m="1" x="1160"/>
        <item m="1" x="1282"/>
        <item x="189"/>
        <item x="190"/>
        <item m="1" x="644"/>
        <item m="1" x="787"/>
        <item x="191"/>
        <item m="1" x="1054"/>
        <item m="1" x="1174"/>
        <item m="1" x="1301"/>
        <item x="192"/>
        <item m="1" x="517"/>
        <item m="1" x="663"/>
        <item x="193"/>
        <item m="1" x="953"/>
        <item x="194"/>
        <item m="1" x="1191"/>
        <item m="1" x="1317"/>
        <item x="195"/>
        <item m="1" x="539"/>
        <item x="196"/>
        <item m="1" x="820"/>
        <item m="1" x="974"/>
        <item x="197"/>
        <item m="1" x="1205"/>
        <item m="1" x="1334"/>
        <item m="1" x="403"/>
        <item x="198"/>
        <item m="1" x="695"/>
        <item m="1" x="839"/>
        <item x="199"/>
        <item x="200"/>
        <item m="1" x="1225"/>
        <item m="1" x="1358"/>
        <item x="201"/>
        <item x="202"/>
        <item m="1" x="714"/>
        <item m="1" x="858"/>
        <item m="1" x="1007"/>
        <item x="203"/>
        <item x="204"/>
        <item x="205"/>
        <item m="1" x="440"/>
        <item m="1" x="591"/>
        <item m="1" x="733"/>
        <item m="1" x="878"/>
        <item x="206"/>
        <item m="1" x="1141"/>
        <item m="1" x="1260"/>
        <item x="207"/>
        <item m="1" x="460"/>
        <item x="208"/>
        <item x="209"/>
        <item m="1" x="897"/>
        <item m="1" x="1412"/>
        <item x="210"/>
        <item x="211"/>
        <item m="1" x="767"/>
        <item m="1" x="917"/>
        <item m="1" x="1037"/>
        <item x="212"/>
        <item m="1" x="1283"/>
        <item x="213"/>
        <item x="214"/>
        <item m="1" x="645"/>
        <item m="1" x="788"/>
        <item m="1" x="935"/>
        <item x="215"/>
        <item x="216"/>
        <item m="1" x="1302"/>
        <item x="217"/>
        <item m="1" x="518"/>
        <item m="1" x="664"/>
        <item m="1" x="806"/>
        <item x="218"/>
        <item m="1" x="1069"/>
        <item x="219"/>
        <item x="220"/>
        <item m="1" x="383"/>
        <item m="1" x="540"/>
        <item m="1" x="680"/>
        <item x="221"/>
        <item x="222"/>
        <item m="1" x="1088"/>
        <item x="223"/>
        <item m="1" x="1335"/>
        <item m="1" x="404"/>
        <item m="1" x="561"/>
        <item m="1" x="696"/>
        <item m="1" x="840"/>
        <item m="1" x="989"/>
        <item m="1" x="1108"/>
        <item x="224"/>
        <item m="1" x="1359"/>
        <item m="1" x="424"/>
        <item m="1" x="577"/>
        <item m="1" x="715"/>
        <item m="1" x="859"/>
        <item x="225"/>
        <item m="1" x="1126"/>
        <item m="1" x="1375"/>
        <item m="1" x="441"/>
        <item m="1" x="592"/>
        <item x="226"/>
        <item m="1" x="879"/>
        <item m="1" x="1022"/>
        <item x="227"/>
        <item m="1" x="1261"/>
        <item m="1" x="1392"/>
        <item m="1" x="461"/>
        <item x="228"/>
        <item m="1" x="748"/>
        <item m="1" x="898"/>
        <item x="229"/>
        <item m="1" x="480"/>
        <item m="1" x="768"/>
        <item m="1" x="918"/>
        <item m="1" x="1038"/>
        <item m="1" x="1161"/>
        <item m="1" x="1284"/>
        <item m="1" x="1423"/>
        <item m="1" x="496"/>
        <item m="1" x="646"/>
        <item m="1" x="789"/>
        <item m="1" x="936"/>
        <item m="1" x="1055"/>
        <item x="230"/>
        <item m="1" x="369"/>
        <item m="1" x="519"/>
        <item m="1" x="665"/>
        <item m="1" x="807"/>
        <item x="231"/>
        <item m="1" x="1070"/>
        <item m="1" x="1192"/>
        <item m="1" x="1318"/>
        <item m="1" x="384"/>
        <item m="1" x="541"/>
        <item m="1" x="681"/>
        <item m="1" x="821"/>
        <item x="232"/>
        <item m="1" x="1089"/>
        <item m="1" x="1206"/>
        <item m="1" x="1336"/>
        <item m="1" x="405"/>
        <item x="233"/>
        <item m="1" x="697"/>
        <item m="1" x="841"/>
        <item x="234"/>
        <item x="235"/>
        <item m="1" x="1226"/>
        <item x="236"/>
        <item m="1" x="425"/>
        <item x="237"/>
        <item x="238"/>
        <item m="1" x="860"/>
        <item m="1" x="1008"/>
        <item x="239"/>
        <item m="1" x="1242"/>
        <item m="1" x="1376"/>
        <item m="1" x="442"/>
        <item m="1" x="593"/>
        <item x="240"/>
        <item m="1" x="880"/>
        <item m="1" x="1023"/>
        <item m="1" x="1142"/>
        <item m="1" x="1262"/>
        <item m="1" x="1393"/>
        <item m="1" x="462"/>
        <item m="1" x="611"/>
        <item m="1" x="749"/>
        <item m="1" x="899"/>
        <item m="1" x="1413"/>
        <item m="1" x="481"/>
        <item m="1" x="625"/>
        <item m="1" x="769"/>
        <item m="1" x="919"/>
        <item m="1" x="1039"/>
        <item m="1" x="1162"/>
        <item m="1" x="1285"/>
        <item m="1" x="1424"/>
        <item x="241"/>
        <item m="1" x="647"/>
        <item x="242"/>
        <item m="1" x="937"/>
        <item m="1" x="1056"/>
        <item m="1" x="1175"/>
        <item x="243"/>
        <item x="244"/>
        <item m="1" x="520"/>
        <item m="1" x="666"/>
        <item m="1" x="808"/>
        <item m="1" x="954"/>
        <item m="1" x="1071"/>
        <item m="1" x="1193"/>
        <item m="1" x="1319"/>
        <item m="1" x="385"/>
        <item m="1" x="542"/>
        <item m="1" x="682"/>
        <item m="1" x="822"/>
        <item m="1" x="975"/>
        <item m="1" x="1090"/>
        <item m="1" x="1207"/>
        <item m="1" x="1337"/>
        <item m="1" x="406"/>
        <item m="1" x="562"/>
        <item x="245"/>
        <item m="1" x="842"/>
        <item m="1" x="990"/>
        <item x="246"/>
        <item m="1" x="1227"/>
        <item m="1" x="1360"/>
        <item m="1" x="426"/>
        <item m="1" x="578"/>
        <item m="1" x="716"/>
        <item x="247"/>
        <item m="1" x="1009"/>
        <item m="1" x="1127"/>
        <item x="248"/>
        <item m="1" x="1377"/>
        <item m="1" x="443"/>
        <item m="1" x="594"/>
        <item x="249"/>
        <item m="1" x="881"/>
        <item m="1" x="1024"/>
        <item x="250"/>
        <item m="1" x="1263"/>
        <item x="251"/>
        <item m="1" x="463"/>
        <item m="1" x="612"/>
        <item m="1" x="750"/>
        <item x="252"/>
        <item m="1" x="1414"/>
        <item m="1" x="482"/>
        <item m="1" x="626"/>
        <item m="1" x="770"/>
        <item m="1" x="920"/>
        <item x="253"/>
        <item m="1" x="1163"/>
        <item m="1" x="1286"/>
        <item x="254"/>
        <item m="1" x="497"/>
        <item m="1" x="648"/>
        <item x="255"/>
        <item m="1" x="938"/>
        <item m="1" x="1057"/>
        <item m="1" x="1176"/>
        <item x="256"/>
        <item m="1" x="370"/>
        <item m="1" x="521"/>
        <item x="257"/>
        <item m="1" x="809"/>
        <item m="1" x="955"/>
        <item x="258"/>
        <item m="1" x="1194"/>
        <item m="1" x="1320"/>
        <item m="1" x="386"/>
        <item m="1" x="543"/>
        <item m="1" x="683"/>
        <item m="1" x="823"/>
        <item x="259"/>
        <item m="1" x="1091"/>
        <item m="1" x="1208"/>
        <item m="1" x="1338"/>
        <item m="1" x="407"/>
        <item m="1" x="563"/>
        <item x="260"/>
        <item m="1" x="843"/>
        <item m="1" x="991"/>
        <item m="1" x="1109"/>
        <item m="1" x="1228"/>
        <item m="1" x="1361"/>
        <item m="1" x="427"/>
        <item m="1" x="579"/>
        <item m="1" x="717"/>
        <item m="1" x="861"/>
        <item m="1" x="1010"/>
        <item m="1" x="1128"/>
        <item m="1" x="1243"/>
        <item m="1" x="1378"/>
        <item m="1" x="444"/>
        <item m="1" x="595"/>
        <item m="1" x="734"/>
        <item m="1" x="882"/>
        <item m="1" x="1025"/>
        <item m="1" x="1143"/>
        <item m="1" x="1264"/>
        <item m="1" x="1394"/>
        <item m="1" x="464"/>
        <item m="1" x="613"/>
        <item m="1" x="751"/>
        <item m="1" x="900"/>
        <item m="1" x="1415"/>
        <item m="1" x="483"/>
        <item m="1" x="627"/>
        <item m="1" x="771"/>
        <item m="1" x="921"/>
        <item m="1" x="1040"/>
        <item m="1" x="1164"/>
        <item m="1" x="1287"/>
        <item m="1" x="1425"/>
        <item m="1" x="498"/>
        <item m="1" x="649"/>
        <item m="1" x="790"/>
        <item m="1" x="939"/>
        <item m="1" x="1058"/>
        <item m="1" x="1177"/>
        <item m="1" x="1303"/>
        <item m="1" x="371"/>
        <item m="1" x="522"/>
        <item m="1" x="667"/>
        <item m="1" x="810"/>
        <item m="1" x="956"/>
        <item x="261"/>
        <item m="1" x="1195"/>
        <item m="1" x="1321"/>
        <item m="1" x="387"/>
        <item m="1" x="544"/>
        <item m="1" x="684"/>
        <item x="262"/>
        <item m="1" x="976"/>
        <item m="1" x="1092"/>
        <item m="1" x="1209"/>
        <item m="1" x="1339"/>
        <item m="1" x="408"/>
        <item m="1" x="564"/>
        <item x="263"/>
        <item m="1" x="844"/>
        <item m="1" x="992"/>
        <item x="264"/>
        <item m="1" x="1229"/>
        <item m="1" x="1362"/>
        <item x="265"/>
        <item m="1" x="580"/>
        <item m="1" x="718"/>
        <item m="1" x="862"/>
        <item x="266"/>
        <item m="1" x="1129"/>
        <item m="1" x="1244"/>
        <item x="267"/>
        <item m="1" x="445"/>
        <item m="1" x="596"/>
        <item x="268"/>
        <item m="1" x="883"/>
        <item x="269"/>
        <item m="1" x="1144"/>
        <item m="1" x="1265"/>
        <item x="270"/>
        <item m="1" x="465"/>
        <item m="1" x="614"/>
        <item m="1" x="752"/>
        <item m="1" x="901"/>
        <item x="271"/>
        <item m="1" x="484"/>
        <item m="1" x="628"/>
        <item m="1" x="772"/>
        <item m="1" x="922"/>
        <item m="1" x="1041"/>
        <item x="272"/>
        <item m="1" x="1288"/>
        <item m="1" x="1426"/>
        <item m="1" x="499"/>
        <item m="1" x="650"/>
        <item m="1" x="791"/>
        <item x="273"/>
        <item x="274"/>
        <item x="275"/>
        <item x="276"/>
        <item x="277"/>
        <item m="1" x="523"/>
        <item x="278"/>
        <item x="279"/>
        <item m="1" x="957"/>
        <item m="1" x="1072"/>
        <item x="280"/>
        <item x="281"/>
        <item m="1" x="388"/>
        <item m="1" x="545"/>
        <item m="1" x="685"/>
        <item m="1" x="977"/>
        <item m="1" x="1093"/>
        <item m="1" x="1210"/>
        <item m="1" x="1340"/>
        <item m="1" x="409"/>
        <item m="1" x="565"/>
        <item m="1" x="698"/>
        <item x="282"/>
        <item m="1" x="993"/>
        <item m="1" x="1110"/>
        <item m="1" x="1230"/>
        <item m="1" x="1363"/>
        <item x="283"/>
        <item x="284"/>
        <item m="1" x="719"/>
        <item x="285"/>
        <item x="286"/>
        <item m="1" x="1130"/>
        <item m="1" x="1245"/>
        <item m="1" x="1379"/>
        <item m="1" x="446"/>
        <item m="1" x="597"/>
        <item m="1" x="735"/>
        <item m="1" x="884"/>
        <item m="1" x="1026"/>
        <item m="1" x="1145"/>
        <item m="1" x="1266"/>
        <item m="1" x="1395"/>
        <item m="1" x="466"/>
        <item x="287"/>
        <item m="1" x="753"/>
        <item m="1" x="902"/>
        <item m="1" x="1416"/>
        <item x="288"/>
        <item x="289"/>
        <item m="1" x="773"/>
        <item m="1" x="923"/>
        <item m="1" x="1042"/>
        <item x="290"/>
        <item m="1" x="1289"/>
        <item x="291"/>
        <item m="1" x="500"/>
        <item m="1" x="651"/>
        <item m="1" x="792"/>
        <item m="1" x="940"/>
        <item m="1" x="1059"/>
        <item m="1" x="1178"/>
        <item x="292"/>
        <item m="1" x="372"/>
        <item m="1" x="524"/>
        <item x="293"/>
        <item m="1" x="811"/>
        <item m="1" x="958"/>
        <item m="1" x="1073"/>
        <item x="294"/>
        <item m="1" x="1322"/>
        <item m="1" x="389"/>
        <item x="295"/>
        <item m="1" x="686"/>
        <item m="1" x="824"/>
        <item m="1" x="978"/>
        <item m="1" x="1094"/>
        <item m="1" x="1211"/>
        <item m="1" x="1341"/>
        <item m="1" x="410"/>
        <item m="1" x="566"/>
        <item m="1" x="699"/>
        <item x="296"/>
        <item m="1" x="994"/>
        <item m="1" x="1111"/>
        <item x="297"/>
        <item m="1" x="1364"/>
        <item m="1" x="428"/>
        <item x="298"/>
        <item m="1" x="720"/>
        <item m="1" x="863"/>
        <item m="1" x="1011"/>
        <item m="1" x="1131"/>
        <item x="299"/>
        <item m="1" x="1380"/>
        <item x="300"/>
        <item m="1" x="598"/>
        <item m="1" x="736"/>
        <item x="301"/>
        <item x="302"/>
        <item m="1" x="1146"/>
        <item m="1" x="1267"/>
        <item m="1" x="1396"/>
        <item x="303"/>
        <item x="304"/>
        <item m="1" x="754"/>
        <item m="1" x="903"/>
        <item x="305"/>
        <item m="1" x="485"/>
        <item m="1" x="629"/>
        <item x="306"/>
        <item x="307"/>
        <item m="1" x="1043"/>
        <item x="308"/>
        <item m="1" x="1290"/>
        <item m="1" x="1427"/>
        <item m="1" x="501"/>
        <item m="1" x="652"/>
        <item m="1" x="793"/>
        <item x="309"/>
        <item x="310"/>
        <item m="1" x="1179"/>
        <item m="1" x="1304"/>
        <item m="1" x="373"/>
        <item m="1" x="525"/>
        <item x="311"/>
        <item x="312"/>
        <item m="1" x="959"/>
        <item m="1" x="1074"/>
        <item x="313"/>
        <item m="1" x="1323"/>
        <item x="314"/>
        <item m="1" x="546"/>
        <item x="315"/>
        <item m="1" x="825"/>
        <item m="1" x="979"/>
        <item x="316"/>
        <item m="1" x="1212"/>
        <item m="1" x="1342"/>
        <item m="1" x="411"/>
        <item m="1" x="567"/>
        <item x="317"/>
        <item m="1" x="845"/>
        <item m="1" x="995"/>
        <item m="1" x="1112"/>
        <item m="1" x="1231"/>
        <item m="1" x="1365"/>
        <item x="318"/>
        <item m="1" x="581"/>
        <item m="1" x="721"/>
        <item m="1" x="864"/>
        <item m="1" x="1012"/>
        <item m="1" x="1132"/>
        <item m="1" x="1246"/>
        <item x="319"/>
        <item m="1" x="447"/>
        <item m="1" x="599"/>
        <item x="320"/>
        <item x="321"/>
        <item m="1" x="1027"/>
        <item m="1" x="1147"/>
        <item x="322"/>
        <item x="323"/>
        <item m="1" x="467"/>
        <item x="324"/>
        <item x="325"/>
        <item m="1" x="904"/>
        <item x="326"/>
        <item m="1" x="486"/>
        <item m="1" x="630"/>
        <item m="1" x="774"/>
        <item m="1" x="924"/>
        <item x="327"/>
        <item m="1" x="1165"/>
        <item x="328"/>
        <item x="329"/>
        <item m="1" x="502"/>
        <item m="1" x="653"/>
        <item x="330"/>
        <item m="1" x="941"/>
        <item m="1" x="1060"/>
        <item m="1" x="1180"/>
        <item m="1" x="1305"/>
        <item x="331"/>
        <item m="1" x="526"/>
        <item m="1" x="668"/>
        <item x="332"/>
        <item m="1" x="960"/>
        <item m="1" x="1075"/>
        <item m="1" x="1196"/>
        <item x="333"/>
        <item m="1" x="390"/>
        <item m="1" x="547"/>
        <item x="334"/>
        <item m="1" x="826"/>
        <item m="1" x="980"/>
        <item m="1" x="1095"/>
        <item x="335"/>
        <item m="1" x="1343"/>
        <item x="336"/>
        <item m="1" x="568"/>
        <item m="1" x="700"/>
        <item m="1" x="846"/>
        <item m="1" x="996"/>
        <item m="1" x="1113"/>
        <item x="337"/>
        <item m="1" x="1366"/>
        <item m="1" x="429"/>
        <item m="1" x="582"/>
        <item m="1" x="722"/>
        <item m="1" x="865"/>
        <item x="338"/>
        <item m="1" x="1133"/>
        <item m="1" x="1247"/>
        <item m="1" x="1381"/>
        <item m="1" x="448"/>
        <item m="1" x="600"/>
        <item x="339"/>
        <item m="1" x="885"/>
        <item m="1" x="1028"/>
        <item x="340"/>
        <item m="1" x="1268"/>
        <item m="1" x="1397"/>
        <item m="1" x="468"/>
        <item x="341"/>
        <item m="1" x="755"/>
        <item x="342"/>
        <item m="1" x="631"/>
        <item m="1" x="775"/>
        <item m="1" x="1044"/>
        <item m="1" x="1166"/>
        <item m="1" x="1291"/>
        <item m="1" x="359"/>
        <item m="1" x="503"/>
        <item m="1" x="654"/>
        <item m="1" x="794"/>
        <item m="1" x="942"/>
        <item m="1" x="1061"/>
        <item m="1" x="1181"/>
        <item x="343"/>
        <item m="1" x="374"/>
        <item m="1" x="527"/>
        <item m="1" x="669"/>
        <item m="1" x="812"/>
        <item x="344"/>
        <item m="1" x="1076"/>
        <item m="1" x="1197"/>
        <item x="345"/>
        <item x="346"/>
        <item m="1" x="548"/>
        <item x="347"/>
        <item m="1" x="827"/>
        <item x="348"/>
        <item m="1" x="1096"/>
        <item m="1" x="1213"/>
        <item m="1" x="1344"/>
        <item m="1" x="412"/>
        <item x="349"/>
        <item m="1" x="701"/>
        <item m="1" x="847"/>
        <item x="350"/>
        <item x="351"/>
        <item m="1" x="1232"/>
        <item x="352"/>
        <item m="1" x="430"/>
        <item x="353"/>
        <item x="354"/>
        <item m="1" x="866"/>
        <item m="1" x="1013"/>
        <item x="355"/>
        <item m="1" x="1248"/>
        <item m="1" x="1382"/>
        <item m="1" x="449"/>
        <item m="1" x="601"/>
        <item x="356"/>
        <item m="1" x="886"/>
        <item m="1" x="1029"/>
        <item m="1" x="1148"/>
        <item m="1" x="1269"/>
        <item m="1" x="1398"/>
        <item x="357"/>
        <item m="1" x="615"/>
        <item x="358"/>
        <item m="1" x="90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68">
    <i>
      <x v="2"/>
      <x v="1"/>
    </i>
    <i>
      <x v="3"/>
      <x v="2"/>
    </i>
    <i>
      <x v="21"/>
      <x v="2"/>
    </i>
    <i>
      <x v="24"/>
      <x v="3"/>
    </i>
    <i>
      <x v="29"/>
      <x v="4"/>
    </i>
    <i>
      <x v="42"/>
      <x v="4"/>
    </i>
    <i>
      <x v="45"/>
      <x v="5"/>
    </i>
    <i>
      <x v="49"/>
      <x v="6"/>
    </i>
    <i>
      <x v="52"/>
      <x v="7"/>
    </i>
    <i>
      <x v="58"/>
      <x v="8"/>
    </i>
    <i>
      <x v="68"/>
      <x v="8"/>
    </i>
    <i>
      <x v="74"/>
      <x v="9"/>
    </i>
    <i>
      <x v="80"/>
      <x v="8"/>
    </i>
    <i>
      <x v="140"/>
      <x v="8"/>
    </i>
    <i>
      <x v="150"/>
      <x v="8"/>
    </i>
    <i>
      <x v="156"/>
      <x v="7"/>
    </i>
    <i>
      <x v="166"/>
      <x v="7"/>
    </i>
    <i>
      <x v="169"/>
      <x v="6"/>
    </i>
    <i>
      <x v="173"/>
      <x v="5"/>
    </i>
    <i>
      <x v="176"/>
      <x v="4"/>
    </i>
    <i>
      <x v="189"/>
      <x v="4"/>
    </i>
    <i>
      <x v="194"/>
      <x v="3"/>
    </i>
    <i>
      <x v="207"/>
      <x v="3"/>
    </i>
    <i>
      <x v="210"/>
      <x v="2"/>
    </i>
    <i>
      <x v="228"/>
      <x v="2"/>
    </i>
    <i>
      <x v="229"/>
      <x v="1"/>
    </i>
    <i>
      <x v="233"/>
      <x v="1"/>
    </i>
    <i>
      <x v="235"/>
      <x/>
    </i>
    <i>
      <x v="264"/>
      <x/>
    </i>
    <i>
      <x v="294"/>
      <x/>
    </i>
    <i>
      <x v="302"/>
      <x/>
    </i>
    <i>
      <x v="304"/>
      <x v="1"/>
    </i>
    <i>
      <x v="305"/>
      <x v="2"/>
    </i>
    <i>
      <x v="308"/>
      <x v="3"/>
    </i>
    <i>
      <x v="321"/>
      <x v="3"/>
    </i>
    <i>
      <x v="326"/>
      <x v="4"/>
    </i>
    <i>
      <x v="329"/>
      <x v="5"/>
    </i>
    <i>
      <x v="333"/>
      <x v="6"/>
    </i>
    <i>
      <x v="336"/>
      <x v="7"/>
    </i>
    <i>
      <x v="346"/>
      <x v="7"/>
    </i>
    <i>
      <x v="352"/>
      <x v="8"/>
    </i>
    <i>
      <x v="358"/>
      <x v="9"/>
    </i>
    <i>
      <x v="368"/>
      <x v="9"/>
    </i>
    <i>
      <x v="374"/>
      <x v="8"/>
    </i>
    <i>
      <x v="380"/>
      <x v="7"/>
    </i>
    <i>
      <x v="383"/>
      <x v="6"/>
    </i>
    <i>
      <x v="387"/>
      <x v="5"/>
    </i>
    <i>
      <x v="390"/>
      <x v="4"/>
    </i>
    <i>
      <x v="418"/>
      <x v="4"/>
    </i>
    <i>
      <x v="422"/>
      <x v="3"/>
    </i>
    <i>
      <x v="425"/>
      <x v="2"/>
    </i>
    <i>
      <x v="426"/>
      <x v="1"/>
    </i>
    <i>
      <x v="428"/>
      <x/>
    </i>
    <i>
      <x v="458"/>
      <x/>
    </i>
    <i>
      <x v="460"/>
      <x v="1"/>
    </i>
    <i>
      <x v="464"/>
      <x v="1"/>
    </i>
    <i>
      <x v="465"/>
      <x v="2"/>
    </i>
    <i>
      <x v="483"/>
      <x v="2"/>
    </i>
    <i>
      <x v="486"/>
      <x v="3"/>
    </i>
    <i>
      <x v="491"/>
      <x v="4"/>
    </i>
    <i>
      <x v="504"/>
      <x v="4"/>
    </i>
    <i>
      <x v="507"/>
      <x v="5"/>
    </i>
    <i>
      <x v="511"/>
      <x v="6"/>
    </i>
    <i>
      <x v="514"/>
      <x v="7"/>
    </i>
    <i>
      <x v="520"/>
      <x v="8"/>
    </i>
    <i>
      <x v="526"/>
      <x v="9"/>
    </i>
    <i>
      <x v="536"/>
      <x v="9"/>
    </i>
    <i>
      <x v="541"/>
      <x v="8"/>
    </i>
    <i>
      <x v="551"/>
      <x v="8"/>
    </i>
    <i>
      <x v="557"/>
      <x v="7"/>
    </i>
    <i>
      <x v="567"/>
      <x v="7"/>
    </i>
    <i>
      <x v="570"/>
      <x v="6"/>
    </i>
    <i>
      <x v="574"/>
      <x v="5"/>
    </i>
    <i>
      <x v="577"/>
      <x v="4"/>
    </i>
    <i>
      <x v="592"/>
      <x v="4"/>
    </i>
    <i>
      <x v="605"/>
      <x v="4"/>
    </i>
    <i>
      <x v="610"/>
      <x v="3"/>
    </i>
    <i>
      <x v="669"/>
      <x v="3"/>
    </i>
    <i>
      <x v="682"/>
      <x v="3"/>
    </i>
    <i>
      <x v="685"/>
      <x v="2"/>
    </i>
    <i>
      <x v="703"/>
      <x v="2"/>
    </i>
    <i>
      <x v="704"/>
      <x v="1"/>
    </i>
    <i>
      <x v="708"/>
      <x v="1"/>
    </i>
    <i>
      <x v="710"/>
      <x/>
    </i>
    <i>
      <x v="739"/>
      <x/>
    </i>
    <i>
      <x v="769"/>
      <x/>
    </i>
    <i>
      <x v="777"/>
      <x/>
    </i>
    <i>
      <x v="779"/>
      <x v="1"/>
    </i>
    <i>
      <x v="780"/>
      <x v="2"/>
    </i>
    <i>
      <x v="783"/>
      <x v="3"/>
    </i>
    <i>
      <x v="796"/>
      <x v="3"/>
    </i>
    <i>
      <x v="801"/>
      <x v="4"/>
    </i>
    <i>
      <x v="804"/>
      <x v="5"/>
    </i>
    <i>
      <x v="808"/>
      <x v="6"/>
    </i>
    <i>
      <x v="811"/>
      <x v="7"/>
    </i>
    <i>
      <x v="821"/>
      <x v="7"/>
    </i>
    <i>
      <x v="827"/>
      <x v="8"/>
    </i>
    <i>
      <x v="837"/>
      <x v="8"/>
    </i>
    <i>
      <x v="843"/>
      <x v="9"/>
    </i>
    <i>
      <x v="849"/>
      <x v="8"/>
    </i>
    <i>
      <x v="855"/>
      <x v="7"/>
    </i>
    <i>
      <x v="858"/>
      <x v="6"/>
    </i>
    <i>
      <x v="862"/>
      <x v="5"/>
    </i>
    <i>
      <x v="865"/>
      <x v="4"/>
    </i>
    <i>
      <x v="894"/>
      <x v="4"/>
    </i>
    <i>
      <x v="907"/>
      <x v="4"/>
    </i>
    <i>
      <x v="912"/>
      <x v="3"/>
    </i>
    <i>
      <x v="925"/>
      <x v="3"/>
    </i>
    <i>
      <x v="928"/>
      <x v="2"/>
    </i>
    <i>
      <x v="929"/>
      <x v="1"/>
    </i>
    <i>
      <x v="931"/>
      <x/>
    </i>
    <i>
      <x v="961"/>
      <x/>
    </i>
    <i>
      <x v="963"/>
      <x v="1"/>
    </i>
    <i>
      <x v="967"/>
      <x v="1"/>
    </i>
    <i>
      <x v="968"/>
      <x v="2"/>
    </i>
    <i>
      <x v="986"/>
      <x v="2"/>
    </i>
    <i>
      <x v="989"/>
      <x v="3"/>
    </i>
    <i>
      <x v="1002"/>
      <x v="3"/>
    </i>
    <i>
      <x v="1007"/>
      <x v="4"/>
    </i>
    <i>
      <x v="1020"/>
      <x v="4"/>
    </i>
    <i>
      <x v="1023"/>
      <x v="5"/>
    </i>
    <i>
      <x v="1027"/>
      <x v="6"/>
    </i>
    <i>
      <x v="1030"/>
      <x v="7"/>
    </i>
    <i>
      <x v="1040"/>
      <x v="7"/>
    </i>
    <i>
      <x v="1046"/>
      <x v="8"/>
    </i>
    <i>
      <x v="1106"/>
      <x v="8"/>
    </i>
    <i>
      <x v="1116"/>
      <x v="8"/>
    </i>
    <i>
      <x v="1122"/>
      <x v="9"/>
    </i>
    <i>
      <x v="1132"/>
      <x v="9"/>
    </i>
    <i>
      <x v="1138"/>
      <x v="8"/>
    </i>
    <i>
      <x v="1144"/>
      <x v="7"/>
    </i>
    <i>
      <x v="1147"/>
      <x v="6"/>
    </i>
    <i>
      <x v="1151"/>
      <x v="5"/>
    </i>
    <i>
      <x v="1154"/>
      <x v="4"/>
    </i>
    <i>
      <x v="1166"/>
      <x v="4"/>
    </i>
    <i>
      <x v="1171"/>
      <x v="3"/>
    </i>
    <i>
      <x v="1174"/>
      <x v="2"/>
    </i>
    <i>
      <x v="1192"/>
      <x v="2"/>
    </i>
    <i>
      <x v="1193"/>
      <x v="1"/>
    </i>
    <i>
      <x v="1197"/>
      <x v="1"/>
    </i>
    <i>
      <x v="1199"/>
      <x/>
    </i>
    <i>
      <x v="1229"/>
      <x/>
    </i>
    <i>
      <x v="1237"/>
      <x/>
    </i>
    <i>
      <x v="1239"/>
      <x v="1"/>
    </i>
    <i r="1">
      <x v="2"/>
    </i>
    <i>
      <x v="1243"/>
      <x v="3"/>
    </i>
    <i>
      <x v="1247"/>
      <x v="4"/>
    </i>
    <i>
      <x v="1251"/>
      <x v="5"/>
    </i>
    <i>
      <x v="1255"/>
      <x v="6"/>
    </i>
    <i>
      <x v="1257"/>
      <x v="7"/>
    </i>
    <i>
      <x v="1263"/>
      <x v="8"/>
    </i>
    <i>
      <x v="1269"/>
      <x v="9"/>
    </i>
    <i>
      <x v="1275"/>
      <x v="8"/>
    </i>
    <i>
      <x v="1285"/>
      <x v="8"/>
    </i>
    <i>
      <x v="1291"/>
      <x v="7"/>
    </i>
    <i>
      <x v="1301"/>
      <x v="7"/>
    </i>
    <i>
      <x v="1305"/>
      <x v="6"/>
    </i>
    <i>
      <x v="1309"/>
      <x v="5"/>
    </i>
    <i>
      <x v="1311"/>
      <x v="4"/>
    </i>
    <i>
      <x v="1341"/>
      <x v="4"/>
    </i>
    <i>
      <x v="1370"/>
      <x v="4"/>
    </i>
    <i>
      <x v="1383"/>
      <x v="4"/>
    </i>
    <i>
      <x v="1388"/>
      <x v="3"/>
    </i>
    <i>
      <x v="1391"/>
      <x v="2"/>
    </i>
    <i>
      <x v="1392"/>
      <x v="1"/>
    </i>
    <i>
      <x v="1394"/>
      <x/>
    </i>
    <i>
      <x v="1424"/>
      <x/>
    </i>
    <i>
      <x v="1426"/>
      <x v="1"/>
    </i>
  </rowItems>
  <colItems count="1">
    <i/>
  </colItems>
  <pageFields count="2">
    <pageField fld="1" hier="-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11">
    <queryTableFields count="8">
      <queryTableField id="2" name="No.Voltas" tableColumnId="2"/>
      <queryTableField id="3" name="Turno" tableColumnId="3"/>
      <queryTableField id="4" name="Carro" tableColumnId="4"/>
      <queryTableField id="5" name="C.O." tableColumnId="5"/>
      <queryTableField id="6" name="Nó" tableColumnId="6"/>
      <queryTableField id="7" name="Sublanço" tableColumnId="1"/>
      <queryTableField id="8" name="Kms" tableColumnId="7"/>
      <queryTableField id="10" name="Incidências (h)"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16">
    <queryTableFields count="10">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10" name="Tempo_Total" tableColumnId="10"/>
      <queryTableField id="12" name="Tempo_Abertura"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0" s="1"/>
        <i x="1"/>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52" headerRowBorderDxfId="151" tableBorderDxfId="150" totalsRowBorderDxfId="149">
  <autoFilter ref="F6:G9" xr:uid="{0F0FFAE8-FEC4-45C6-88F4-F63AD8F96E51}"/>
  <tableColumns count="2">
    <tableColumn id="1" xr3:uid="{33C6840B-D9CA-432D-AA83-EA16F14FA57D}" name="Tempo médio Ponderado Incidências" dataDxfId="148"/>
    <tableColumn id="2" xr3:uid="{E7A658B3-4D78-4CCA-85FB-0B875B79C8F7}" name="Tempo">
      <calculatedColumnFormula>ROUND(20/60,2)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M62" totalsRowShown="0" headerRowDxfId="147" dataDxfId="146">
  <autoFilter ref="B5:M62" xr:uid="{09F66C12-61BF-44DA-952D-15EF095A3B5E}">
    <filterColumn colId="1">
      <filters>
        <filter val="1"/>
      </filters>
    </filterColumn>
  </autoFilter>
  <tableColumns count="12">
    <tableColumn id="13" xr3:uid="{A26BC8F0-5C18-4D3B-936A-801439BC2628}" name="Testar Macro" dataDxfId="145"/>
    <tableColumn id="6" xr3:uid="{5263EFCF-6B65-465C-89C4-4CEFBA730779}" name="Testar Micro" dataDxfId="144"/>
    <tableColumn id="1" xr3:uid="{E47E9457-D464-4E33-989D-D111D9B3823B}" name="Auto-Estrada"/>
    <tableColumn id="2" xr3:uid="{459E4BC6-4548-424C-BFDD-89E67A3AF135}" name="CO"/>
    <tableColumn id="3" xr3:uid="{57D2A011-CE94-4141-80C0-2C7AA64AC7D7}" name="Nó"/>
    <tableColumn id="9" xr3:uid="{EEB058A4-4158-4AD3-93ED-75F915A6E824}" name="Sequência AE" dataDxfId="143"/>
    <tableColumn id="5" xr3:uid="{E438C018-C932-4235-AE4E-A4F98D4DB9C8}" name="CO?" dataDxfId="142"/>
    <tableColumn id="7" xr3:uid="{FE7A6C6C-161C-47EE-954C-DD360BA86427}" name="pausa" dataDxfId="141"/>
    <tableColumn id="8" xr3:uid="{7AB2A5FB-7AA2-40C7-B343-83DD411DDC69}" name="almoco" dataDxfId="140"/>
    <tableColumn id="10" xr3:uid="{B5AC2DAD-8B2A-4EAF-9F90-E96009142415}" name="norte-sul" dataDxfId="139"/>
    <tableColumn id="11" xr3:uid="{D03C95EA-C3CF-40BA-9646-1C3B64B28C3A}" name="sul-norte" dataDxfId="138"/>
    <tableColumn id="12" xr3:uid="{3CCF53ED-7E53-4811-A730-29588A5DBEB2}" name="espera" dataDxfId="13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65" totalsRowShown="0" headerRowDxfId="135" dataDxfId="134">
  <autoFilter ref="B5:H65" xr:uid="{A7A6BEFB-6E95-44A6-BDC5-580721B8BAF8}"/>
  <tableColumns count="7">
    <tableColumn id="13" xr3:uid="{10E30AD4-59A1-4B79-8608-7A8BA89A90F1}" name="Testar" dataDxfId="133"/>
    <tableColumn id="2" xr3:uid="{F8D7AA9D-FCB8-4B4A-B94F-717381460081}" name="CO" dataDxfId="132"/>
    <tableColumn id="3" xr3:uid="{B5EB0559-D827-4399-98A9-9CEA303038DC}" name="Sublanço" dataDxfId="131"/>
    <tableColumn id="4" xr3:uid="{CD1D97D6-3CBB-498D-8946-77B599FEFFA5}" name="kms" dataDxfId="130"/>
    <tableColumn id="6" xr3:uid="{8CD52E60-AB36-4EAA-85DC-EDC5F9B9AF33}" name="Nó 1" dataDxfId="129"/>
    <tableColumn id="5" xr3:uid="{C8A2BD08-9F5A-4659-87D4-8034DCE70F80}" name="Nó 2" dataDxfId="128"/>
    <tableColumn id="1" xr3:uid="{28C05884-2E6C-4D5A-989E-225F0C541D6F}" name="Check Nós Existe?" dataDxfId="127">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0477B6E-22D7-4E1B-A492-9E5A62C1362C}" name="tb_aux_sequencia" displayName="tb_aux_sequencia" ref="J5:N76" totalsRowShown="0" headerRowDxfId="126">
  <autoFilter ref="J5:N76" xr:uid="{30477B6E-22D7-4E1B-A492-9E5A62C1362C}">
    <filterColumn colId="0">
      <filters>
        <filter val="1"/>
      </filters>
    </filterColumn>
  </autoFilter>
  <tableColumns count="5">
    <tableColumn id="6" xr3:uid="{4DE9192C-C808-4F67-A4B8-01D19146D689}" name="Testar"/>
    <tableColumn id="1" xr3:uid="{4FAF498B-2F00-4642-95E6-B45E5B17F3DF}" name="Auto-Estrada"/>
    <tableColumn id="2" xr3:uid="{41B52796-A8A2-4233-A39F-8DE4DA920120}" name="CO"/>
    <tableColumn id="3" xr3:uid="{2E90C867-E6C6-4FD0-8AA6-5DE16180CE10}" name="Nó"/>
    <tableColumn id="5" xr3:uid="{28341748-BD78-4132-963F-6A27DB2848BE}" name="Sequência" dataDxfId="12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23">
  <autoFilter ref="L5:T11" xr:uid="{0CD1ED83-D8ED-464B-9DC4-26CB730BCA36}"/>
  <tableColumns count="9">
    <tableColumn id="6" xr3:uid="{A822BFB3-462C-4B0C-B5F1-3526334F79A1}" name="Testar" dataDxfId="122"/>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21">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20">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19">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18">
      <calculatedColumnFormula>(tb_turnos[[#This Row],[Hora Inicio]]-TIME(hora_inicio,0,0))*24*60</calculatedColumnFormula>
    </tableColumn>
    <tableColumn id="3" xr3:uid="{98D4F749-04F4-42C4-8BAE-4F6894DD94CC}" name="pausa" dataDxfId="117"/>
    <tableColumn id="4" xr3:uid="{DF044417-1769-462B-9134-C699537E47E3}" name="almoco" dataDxfId="116"/>
    <tableColumn id="5" xr3:uid="{B63DF221-AE33-40C1-BECC-D1B061BF9499}" name="fim" dataDxfId="115">
      <calculatedColumnFormula>(tb_turnos[[#This Row],[Hora Fim]]-TIME(hora_inicio,0,0))*24*60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G14" totalsRowShown="0" headerRowDxfId="114">
  <autoFilter ref="V5:AG14" xr:uid="{6AD960EF-C72C-4421-9653-C650AA1A6F4D}">
    <filterColumn colId="0">
      <filters>
        <filter val="1"/>
      </filters>
    </filterColumn>
  </autoFilter>
  <tableColumns count="12">
    <tableColumn id="5" xr3:uid="{8B611F36-6239-4E2A-A7D3-E7900991D5A8}" name="Testar"/>
    <tableColumn id="1" xr3:uid="{AD0254F0-BE4D-4074-803F-4AC9C5313327}" name="Auto-Estrada"/>
    <tableColumn id="2" xr3:uid="{3BC70A0A-FFD5-4490-B3CC-F0A93FDF545A}" name="Tipo" dataDxfId="113"/>
    <tableColumn id="3" xr3:uid="{6642969C-8844-4D2E-A906-266BDF318169}" name="Área de Serviço" dataDxfId="112"/>
    <tableColumn id="4" xr3:uid="{48EB1E87-38D0-4826-AD6F-FE0DDD6B1B2C}" name="Nó Início" dataDxfId="111"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 id="12" xr3:uid="{1F342895-9E72-4A87-98E5-F7BC8E18AEB2}" name="Check Nós Existe?" dataDxfId="110">
      <calculatedColumnFormula>IF(AND(COUNTIF(tb_nos[Nó],tb_areas_servico[[#This Row],[Nó Início]])&gt;0,COUNTIF(tb_nos[Nó],tb_areas_servico[[#This Row],[Nó Fim]])),"OK","NOK")</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1384" totalsRowShown="0" headerRowDxfId="109">
  <autoFilter ref="B6:F1384"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08" dataCellStyle="Percent"/>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H6:M1384" totalsRowShown="0" headerRowDxfId="107">
  <autoFilter ref="H6:M1384" xr:uid="{5E9C060F-2D88-4EEF-8500-1E4698AD1647}"/>
  <tableColumns count="6">
    <tableColumn id="5" xr3:uid="{1FC6F5EC-AC4F-44BB-81C7-740840BDCBE7}" name="Testar" dataDxfId="106"/>
    <tableColumn id="1" xr3:uid="{637FC540-2094-47D3-AC27-46D46FB0E7F7}" name="CO"/>
    <tableColumn id="2" xr3:uid="{4195568D-9F9E-4614-8C1F-E4CA52C7155D}" name="Sublanço"/>
    <tableColumn id="3" xr3:uid="{A9BAB31B-0236-4A26-8CB6-118504B21ADD}" name="Hora"/>
    <tableColumn id="4" xr3:uid="{3CB00250-6D39-4796-B628-663F5F2DEAB3}" name="Probabilidade" dataDxfId="105" dataCellStyle="Percent"/>
    <tableColumn id="6" xr3:uid="{9184EFED-56D9-4F1E-98F0-CEF51EB0A5F6}" name="Total Incidências Ano"/>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P6:T186" totalsRowShown="0" headerRowDxfId="104">
  <autoFilter ref="P6:T186" xr:uid="{E87F2FC9-55A2-453E-A92F-12F29618DBDD}"/>
  <tableColumns count="5">
    <tableColumn id="1" xr3:uid="{978F1F3F-CFC6-4E87-B18F-80664838B863}" name="CO" dataDxfId="103">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W6:Y66" tableType="queryTable" totalsRowShown="0">
  <autoFilter ref="W6:Y66" xr:uid="{73DDEB68-86CE-489E-8221-8C7BBA5D7C63}"/>
  <sortState xmlns:xlrd2="http://schemas.microsoft.com/office/spreadsheetml/2017/richdata2" ref="W7:Y66">
    <sortCondition ref="W6:W66"/>
  </sortState>
  <tableColumns count="3">
    <tableColumn id="1" xr3:uid="{BD84DAD6-DB62-4555-8578-32DED1440821}" uniqueName="1" name="CO" queryTableFieldId="1" dataDxfId="53"/>
    <tableColumn id="2" xr3:uid="{76E1A43E-AFCE-4541-A86E-5355C12E3158}" uniqueName="2" name="Sublanço" queryTableFieldId="2" dataDxfId="52"/>
    <tableColumn id="3" xr3:uid="{ABA2E777-A555-4D18-9082-F166F2D3D238}" uniqueName="3" name="Tempo Ponderado" queryTableFieldId="3"/>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I629" tableType="queryTable" totalsRowShown="0" headerRowDxfId="102" dataDxfId="101">
  <tableColumns count="8">
    <tableColumn id="2" xr3:uid="{4A4E9BAB-D815-4D1B-9F79-5834AFF885BD}" uniqueName="2" name="No.Voltas" queryTableFieldId="2" dataDxfId="100"/>
    <tableColumn id="3" xr3:uid="{2242F96D-5A5F-4347-88A6-337E4F8DB69A}" uniqueName="3" name="Turno" queryTableFieldId="3" dataDxfId="99"/>
    <tableColumn id="4" xr3:uid="{29583009-297E-4CEA-A8D1-2083ABB8741E}" uniqueName="4" name="Carro" queryTableFieldId="4" dataDxfId="98"/>
    <tableColumn id="5" xr3:uid="{824A07DE-44FE-438E-A6F6-9CB880E2CC79}" uniqueName="5" name="C.O." queryTableFieldId="5" dataDxfId="97"/>
    <tableColumn id="6" xr3:uid="{1EADE2F7-4306-4CBD-864B-397AB46B98E3}" uniqueName="6" name="Nó" queryTableFieldId="6" dataDxfId="96"/>
    <tableColumn id="1" xr3:uid="{F9A030C1-C296-438F-ACF3-C2D808E4D0EF}" uniqueName="1" name="Sublanço" queryTableFieldId="7" dataDxfId="95"/>
    <tableColumn id="7" xr3:uid="{AF41D670-C7F5-45B0-9CA5-30554869E728}" uniqueName="7" name="Kms" queryTableFieldId="8" dataDxfId="94"/>
    <tableColumn id="9" xr3:uid="{B8771FA3-0F60-4542-9CF3-2733B8B9ACBA}" uniqueName="9" name="Incidências (h)" queryTableFieldId="10" dataDxfId="93"/>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M6:V137" tableType="queryTable" totalsRowShown="0" headerRowDxfId="92" dataDxfId="91">
  <autoFilter ref="M6:V137" xr:uid="{F503E841-02D9-43F6-B7E5-669F11A69B69}">
    <filterColumn colId="0">
      <filters>
        <filter val="3"/>
      </filters>
    </filterColumn>
  </autoFilter>
  <tableColumns count="10">
    <tableColumn id="2" xr3:uid="{337BFFBE-8341-4596-90F3-FCA900738FAB}" uniqueName="2" name="No.Voltas" queryTableFieldId="2" dataDxfId="90"/>
    <tableColumn id="3" xr3:uid="{5F09EFCA-B87D-4516-9148-F2F2ED4BA1A8}" uniqueName="3" name="Turno" queryTableFieldId="3" dataDxfId="89"/>
    <tableColumn id="4" xr3:uid="{49C3AD71-9D38-464E-BFB4-5D559684A6A8}" uniqueName="4" name="Carro" queryTableFieldId="4" dataDxfId="88"/>
    <tableColumn id="5" xr3:uid="{E59698AC-B6BA-4E80-A8F5-03C56FCD5BD2}" uniqueName="5" name="C.O." queryTableFieldId="5" dataDxfId="87"/>
    <tableColumn id="6" xr3:uid="{143D371E-8E8B-4BD7-9896-042DDEB5135B}" uniqueName="6" name="Tempo_Resolucao_Incid" queryTableFieldId="6" dataDxfId="86"/>
    <tableColumn id="7" xr3:uid="{B469631E-9742-4BEC-B006-70D7A518F44A}" uniqueName="7" name="Tempo_Desloc_Incid" queryTableFieldId="7" dataDxfId="85"/>
    <tableColumn id="8" xr3:uid="{E634663A-A608-4C32-9271-7969A16214C8}" uniqueName="8" name="Tempo_Nos" queryTableFieldId="8" dataDxfId="84"/>
    <tableColumn id="9" xr3:uid="{32CE6D88-E59E-45A1-AE88-96304477DE5D}" uniqueName="9" name="Tempo_Patrulha" queryTableFieldId="9" dataDxfId="83"/>
    <tableColumn id="10" xr3:uid="{FAA3F424-E8C7-4283-8EB0-68EBD57A8847}" uniqueName="10" name="Tempo_Total" queryTableFieldId="10" dataDxfId="82"/>
    <tableColumn id="1" xr3:uid="{C4D263A1-1944-4459-9DDA-8B178D52A526}" uniqueName="1" name="Tempo_Abertura" queryTableFieldId="12" dataDxfId="81"/>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462" tableType="queryTable" totalsRowShown="0" headerRowDxfId="80" dataDxfId="79">
  <autoFilter ref="B6:Q462" xr:uid="{69D735F2-27BA-4C4E-A0A3-B1FE51EBB68B}">
    <filterColumn colId="6">
      <filters>
        <filter val="Espera"/>
      </filters>
    </filterColumn>
  </autoFilter>
  <tableColumns count="16">
    <tableColumn id="2" xr3:uid="{919CC729-8B54-4C1D-86D0-F66B2A01B7AC}" uniqueName="2" name="Numero Voltas" queryTableFieldId="2" dataDxfId="36"/>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35"/>
    <tableColumn id="4" xr3:uid="{CBA1345C-2759-42B4-BDE6-40EE468C0210}" uniqueName="4" name="Hora Inicio" queryTableFieldId="4" dataDxfId="34"/>
    <tableColumn id="5" xr3:uid="{105B54A0-D00F-42F3-85E5-DEF660525469}" uniqueName="5" name="Hora Fim" queryTableFieldId="5" dataDxfId="33"/>
    <tableColumn id="6" xr3:uid="{40962CFA-6007-4FC3-9E61-EEE034AF126A}" uniqueName="6" name="Tipo" queryTableFieldId="6" dataDxfId="32"/>
    <tableColumn id="14" xr3:uid="{42B4A929-88A7-4142-BD44-33CE29DAF1FF}" uniqueName="14" name="kms" queryTableFieldId="19" dataDxfId="31"/>
    <tableColumn id="12" xr3:uid="{62F5EB11-072E-4096-A9EE-291325287747}" uniqueName="12" name="Hora Real Inicio" queryTableFieldId="17" dataDxfId="30"/>
    <tableColumn id="13" xr3:uid="{162177C7-DCBB-4CE8-BDFA-C9BB91E18E19}" uniqueName="13" name="Hora Real Fim" queryTableFieldId="18" dataDxfId="29"/>
    <tableColumn id="1" xr3:uid="{FEB3F1DD-4815-4693-A132-FA87A551B6EF}" uniqueName="1" name="SAIDA" queryTableFieldId="9" dataDxfId="28">
      <calculatedColumnFormula>IF(E7&lt;&gt;E8,1,0)</calculatedColumnFormula>
    </tableColumn>
    <tableColumn id="7" xr3:uid="{C980C690-AB6B-48B9-8AC1-4E68332335C3}" uniqueName="7" name="Chegada" queryTableFieldId="10" dataDxfId="27">
      <calculatedColumnFormula>IF(E7&lt;&gt;E6,1,0)</calculatedColumnFormula>
    </tableColumn>
    <tableColumn id="8" xr3:uid="{A4D05997-97A3-427B-BFF9-E2BF2C855429}" uniqueName="8" name="Ultima Chegada" queryTableFieldId="11" dataDxfId="26">
      <calculatedColumnFormula>_xlfn.MAXIFS($G6:G$7,$E6:E$7,detalhe_carro1[[#This Row],[Nó]],$B6:B$7,detalhe_carro1[[#This Row],[Numero Voltas]],$L6:L$7,1)</calculatedColumnFormula>
    </tableColumn>
    <tableColumn id="9" xr3:uid="{396E17CB-B390-4186-96B9-04412F70E619}" uniqueName="9" name="Tempo" queryTableFieldId="12" dataDxfId="25">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24">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23">
      <calculatedColumnFormula>detalhe_carro1[[#This Row],[Kms Nós]]+detalhe_carro1[[#This Row],[kms]]</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2" tableType="queryTable" totalsRowShown="0" headerRowDxfId="78" dataDxfId="77">
  <tableColumns count="3">
    <tableColumn id="1" xr3:uid="{3C65673F-7135-4B24-ACA9-6F59C9D42375}" uniqueName="1" name="Número de Voltas" queryTableFieldId="1" dataDxfId="8"/>
    <tableColumn id="3" xr3:uid="{E249D0DC-A56C-446F-ABBA-FD8E85549BDF}" uniqueName="3" name="Turno" queryTableFieldId="3" dataDxfId="7"/>
    <tableColumn id="2" xr3:uid="{4049AE53-6CC8-4BCB-9E82-C825A93FEC26}" uniqueName="2" name="Tempo Médio de Resposta" queryTableFieldId="2" dataDxfId="6"/>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282" tableType="queryTable" totalsRowShown="0" headerRowDxfId="76">
  <autoFilter ref="S6:AC282" xr:uid="{212C94D5-35E5-41D9-AB90-BA44FE717215}"/>
  <tableColumns count="11">
    <tableColumn id="2" xr3:uid="{47F33BF8-F30D-46CE-BF2F-2A9FC71F159C}" uniqueName="2" name="Numero Voltas" queryTableFieldId="2" dataDxfId="19"/>
    <tableColumn id="3" xr3:uid="{B120DE4E-A8B5-4653-A02A-7C72A2EFA5BA}" uniqueName="3" name="Turno" queryTableFieldId="3" dataDxfId="18"/>
    <tableColumn id="4" xr3:uid="{9AE37A9C-369D-404F-9184-0C0238E15DBF}" uniqueName="4" name="Sequência" queryTableFieldId="4" dataDxfId="17"/>
    <tableColumn id="5" xr3:uid="{E861815C-620F-4796-B338-488464B8F89E}" uniqueName="5" name="Nó" queryTableFieldId="5" dataDxfId="16"/>
    <tableColumn id="6" xr3:uid="{E01B1BA8-0DF6-4E15-B2C2-4257D05777CE}" uniqueName="6" name="Hora Inicio" queryTableFieldId="6" dataDxfId="15"/>
    <tableColumn id="7" xr3:uid="{8B352A5E-5384-46C7-BC6A-FC5357DA641F}" uniqueName="7" name="Hora Fim" queryTableFieldId="7" dataDxfId="14"/>
    <tableColumn id="8" xr3:uid="{ADE8C52E-2139-4532-BAC0-00EF39800E7B}" uniqueName="8" name="Última Passagem" queryTableFieldId="8" dataDxfId="13"/>
    <tableColumn id="10" xr3:uid="{48A0E118-168A-41BF-9F5B-F7547D0C6568}" uniqueName="10" name="Hora Real Início" queryTableFieldId="10" dataDxfId="12"/>
    <tableColumn id="11" xr3:uid="{026E5BA4-B80E-487D-B15C-C5794E441A91}" uniqueName="11" name="Hora Real Fim" queryTableFieldId="11" dataDxfId="11"/>
    <tableColumn id="12" xr3:uid="{E1F1E3FE-50FC-4A68-BC99-6F7D80BCBE24}" uniqueName="12" name="Hora Real Última Passagem (Hora Fim)" queryTableFieldId="12" dataDxfId="10"/>
    <tableColumn id="13" xr3:uid="{F1EF22D0-63EC-4FBB-899F-FB9BBAF6CCD2}" uniqueName="13" name="Tempo Passagem (h)" queryTableFieldId="13" dataDxfId="9">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26" tableType="queryTable" totalsRowShown="0" headerRowDxfId="75" dataDxfId="74">
  <tableColumns count="3">
    <tableColumn id="1" xr3:uid="{335A95A3-DC06-4564-93E5-911754118D43}" uniqueName="1" name="Numero Voltas" queryTableFieldId="1" dataDxfId="22"/>
    <tableColumn id="2" xr3:uid="{8436EDE1-CA5B-42DB-83FF-B918013F1F39}" uniqueName="2" name="Nó" queryTableFieldId="2" dataDxfId="21"/>
    <tableColumn id="3" xr3:uid="{5DD28A83-5BC5-4211-8848-723BC638C7EF}" uniqueName="3" name="Tempo Médio de Passagem (Novo)" queryTableFieldId="3" dataDxfId="20">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918" tableType="queryTable" totalsRowShown="0">
  <autoFilter ref="U6:AA918" xr:uid="{7D58D757-8636-4113-B009-01B2B8A7D879}"/>
  <sortState xmlns:xlrd2="http://schemas.microsoft.com/office/spreadsheetml/2017/richdata2" ref="U7:AA918">
    <sortCondition ref="Z6:Z918"/>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3"/>
    <tableColumn id="4" xr3:uid="{9D8EC9DB-2996-4254-BF8F-B0FFCAEF9912}" uniqueName="4" name="Sequência" queryTableFieldId="4"/>
    <tableColumn id="5" xr3:uid="{3DC55FD9-2300-4F69-9229-409BE3DB1FF3}" uniqueName="5" name="Attribute" queryTableFieldId="5" dataDxfId="2"/>
    <tableColumn id="6" xr3:uid="{1DF90954-7ED5-430B-B541-9F1FA82C8A18}" uniqueName="6" name="Value" queryTableFieldId="6" dataDxfId="1"/>
    <tableColumn id="8" xr3:uid="{55046E33-9417-4794-9739-16C6990D9329}" uniqueName="8" name="Key" queryTableFieldId="8" dataDxfId="0">
      <calculatedColumnFormula>grafico_sol1[[#This Row],[Value]]&amp;"|"&amp;grafico_sol1[[#This Row],[Numero Voltas]]</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202" tableType="queryTable" totalsRowShown="0">
  <tableColumns count="15">
    <tableColumn id="12" xr3:uid="{FAE7F243-AB94-48F8-866D-47733337254A}" uniqueName="12" name="Turno" queryTableFieldId="13" dataDxfId="51"/>
    <tableColumn id="13" xr3:uid="{BE849289-B852-4AC2-8D4B-AFCF8865D793}" uniqueName="13" name="Sequência" queryTableFieldId="14" dataDxfId="50"/>
    <tableColumn id="1" xr3:uid="{FFC40EBE-67BB-4345-8039-0FA5DB4BD845}" uniqueName="1" name="Nó" queryTableFieldId="1" dataDxfId="49"/>
    <tableColumn id="2" xr3:uid="{21B31406-F6E1-4D36-AF85-9954D586503D}" uniqueName="2" name="Hora Início" queryTableFieldId="2" dataDxfId="48"/>
    <tableColumn id="3" xr3:uid="{4874FF3B-710B-4273-A1FA-B797B6FA8BFF}" uniqueName="3" name="Hora Fim" queryTableFieldId="3" dataDxfId="47"/>
    <tableColumn id="4" xr3:uid="{C0A84385-C12F-4E34-AC0E-A39960E37C19}" uniqueName="4" name="Tipo" queryTableFieldId="4" dataDxfId="46"/>
    <tableColumn id="5" xr3:uid="{0BB7C422-B6C7-47EC-BB62-D5EA75FF7347}" uniqueName="5" name="Tempo" queryTableFieldId="5" dataDxfId="45">
      <calculatedColumnFormula>+TEXT(Carro1[[#This Row],[Column1]],"hh:mm")&amp;" | " &amp;TEXT(Carro1[[#This Row],[Hora Fim]],"hh:mm")</calculatedColumnFormula>
    </tableColumn>
    <tableColumn id="6" xr3:uid="{6F9E6946-027E-444C-9EC8-5E50B608B82D}" uniqueName="6" name="ID" queryTableFieldId="6" dataDxfId="44">
      <calculatedColumnFormula>INDEX($E$3:$AA$3,MATCH(Carro1[[#This Row],[Nó]],$E$1:$AA$1,0))</calculatedColumnFormula>
    </tableColumn>
    <tableColumn id="11" xr3:uid="{35996397-B6A6-4721-80CD-A808CF018D8D}" uniqueName="11" name="Column1" queryTableFieldId="12" dataDxfId="43">
      <calculatedColumnFormula>+IF(AND(Carro1[[#This Row],[Nó]]=AI1,Carro1[[#This Row],[Nó]]=AI3),AO1,Carro1[[#This Row],[Hora Início]])</calculatedColumnFormula>
    </tableColumn>
    <tableColumn id="7" xr3:uid="{78596255-2A67-4B63-811F-3EB80B46D2EB}" uniqueName="7" name="1-Descer;2-Subir" queryTableFieldId="7" dataDxfId="42">
      <calculatedColumnFormula>IF(AN2=AN1,IF(AN2&lt;&gt;AN3,IF(AN3&gt;=AN1,1,2),AP1),IF(AN2&gt;=AN1,1,2))</calculatedColumnFormula>
    </tableColumn>
    <tableColumn id="8" xr3:uid="{107B503D-ED50-4356-A226-1AAAB133B806}" uniqueName="8" name="Ramo" queryTableFieldId="8" dataDxfId="41">
      <calculatedColumnFormula array="1">IFERROR(_xlfn.IFS(AP2=AP1,AQ1,AQ1="Ramo",1),AQ1+1)</calculatedColumnFormula>
    </tableColumn>
    <tableColumn id="9" xr3:uid="{21E241D2-AEB0-49E0-AFA4-B34D60D258C2}" uniqueName="9" name="Altera" queryTableFieldId="9" dataDxfId="40">
      <calculatedColumnFormula>IF(AQ2&lt;&gt;AQ1,1,0)</calculatedColumnFormula>
    </tableColumn>
    <tableColumn id="10" xr3:uid="{7DCE859A-B0F0-4E55-B996-B6FA9EC493C4}" uniqueName="10" name="Key" queryTableFieldId="10" dataDxfId="39">
      <calculatedColumnFormula>IF(AND(Carro1[[#This Row],[Nó]]=AI3,Carro1[[#This Row],[Nó]]=AI4),"",AQ2&amp;"|"&amp;AN2)</calculatedColumnFormula>
    </tableColumn>
    <tableColumn id="15" xr3:uid="{CE7239E8-A3C1-4C37-B30B-C9E6ACD221B5}" uniqueName="15" name="Key Formatação" queryTableFieldId="18" dataDxfId="38">
      <calculatedColumnFormula>IF(Carro1[[#This Row],[Tipo]]&lt;&gt;"Deslocação",AQ2&amp;"|"&amp;AN2,"")</calculatedColumnFormula>
    </tableColumn>
    <tableColumn id="14" xr3:uid="{6C107471-E77F-4F66-A4FF-D44DE92C52F3}" uniqueName="14" name="Inicio" queryTableFieldId="17" dataDxfId="37">
      <calculatedColumnFormula>IF(Carro1[[#This Row],[Tipo]]="Início",AQ2&amp;"|"&amp;AN2,"")</calculatedColumnFormula>
    </tableColumn>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11" tableType="queryTable" totalsRowShown="0">
  <autoFilter ref="AZ1:BA11" xr:uid="{DF2D5CDD-799C-4D95-8628-B83296FE7585}"/>
  <tableColumns count="2">
    <tableColumn id="1" xr3:uid="{1A539D35-56F2-434D-B85D-160FEE9916F3}" uniqueName="1" name="Sequência" queryTableFieldId="1" dataDxfId="5"/>
    <tableColumn id="2" xr3:uid="{5C3AD759-7FF4-453D-AFC3-0F8C4763C632}" uniqueName="2" name="Nó" queryTableFieldId="2" dataDxf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73">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72"/>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71"/>
    <tableColumn id="1" xr3:uid="{D7F70B5D-CF47-4A95-812C-1F40F5134E0D}" uniqueName="1" name="SAIDA" queryTableFieldId="9" dataDxfId="70">
      <calculatedColumnFormula>IF(C6&lt;&gt;C7,1,0)</calculatedColumnFormula>
    </tableColumn>
    <tableColumn id="7" xr3:uid="{CE627314-3981-4AB0-A6F7-9C23CAA5B722}" uniqueName="7" name="Chegada" queryTableFieldId="10" dataDxfId="69">
      <calculatedColumnFormula>IF(C6&lt;&gt;C5,1,0)</calculatedColumnFormula>
    </tableColumn>
    <tableColumn id="8" xr3:uid="{6B8D2248-3D22-4C1F-B83F-B4A440890673}" uniqueName="8" name="Ultima Chegada" queryTableFieldId="11" dataDxfId="68"/>
    <tableColumn id="9" xr3:uid="{A42FF85A-2518-449A-BD84-5E54AE890FD6}" uniqueName="9" name="Tempo" queryTableFieldId="12" dataDxfId="67">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66">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65"/>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64"/>
    <tableColumn id="2" xr3:uid="{33A9A2C4-4E55-4D59-AB3D-82C072C8FDA6}" uniqueName="2" name="Hora Início" queryTableFieldId="2" dataDxfId="63"/>
    <tableColumn id="3" xr3:uid="{44B5FD6F-9A55-4DA0-A233-77A3B3DDEB3C}" uniqueName="3" name="Hora Fim" queryTableFieldId="3" dataDxfId="62"/>
    <tableColumn id="4" xr3:uid="{F56CA6B6-E120-482C-A057-97125D900E73}" uniqueName="4" name="Tipo" queryTableFieldId="4" dataDxfId="61"/>
    <tableColumn id="5" xr3:uid="{D808C074-69ED-4327-8C1E-FCB735905F0A}" uniqueName="5" name="Tempo" queryTableFieldId="5" dataDxfId="60">
      <calculatedColumnFormula>+TEXT(Carro2[[#This Row],[Column1]],"hh:mm")&amp;" | " &amp;TEXT(Carro2[[#This Row],[Hora Fim]],"hh:mm")</calculatedColumnFormula>
    </tableColumn>
    <tableColumn id="6" xr3:uid="{D319FBC6-D22C-4C12-B95D-D75C4E135C9A}" uniqueName="6" name="ID" queryTableFieldId="6" dataDxfId="59">
      <calculatedColumnFormula>INDEX($N$3:$AJ$3,MATCH(Carro2[[#This Row],[Nó]],$N$1:$AJ$1,0))</calculatedColumnFormula>
    </tableColumn>
    <tableColumn id="11" xr3:uid="{F7D94162-221D-427F-90B0-F4FBCAC93E5C}" uniqueName="11" name="Column1" queryTableFieldId="12" dataDxfId="58">
      <calculatedColumnFormula>+IF(AND(Carro2[[#This Row],[Nó]]=A1,Carro2[[#This Row],[Nó]]=A3),G1,Carro2[[#This Row],[Hora Início]])</calculatedColumnFormula>
    </tableColumn>
    <tableColumn id="7" xr3:uid="{49915A73-6312-4076-ABAC-075948700382}" uniqueName="7" name="1-Descer;2-Subir" queryTableFieldId="7" dataDxfId="57">
      <calculatedColumnFormula>IF(F2=F1,IF(F2&lt;&gt;F3,IF(F3&gt;=F1,1,2),H1),IF(F2&gt;=F1,1,2))</calculatedColumnFormula>
    </tableColumn>
    <tableColumn id="8" xr3:uid="{82D61EB2-87A8-4232-9420-760958D72A1D}" uniqueName="8" name="Ramo" queryTableFieldId="8" dataDxfId="56">
      <calculatedColumnFormula array="1">IFERROR(_xlfn.IFS(H2=H1,I1,I1="Ramo",1),I1+1)</calculatedColumnFormula>
    </tableColumn>
    <tableColumn id="9" xr3:uid="{2687AD48-C4BD-4467-A493-59E52417ED23}" uniqueName="9" name="Altera" queryTableFieldId="9" dataDxfId="55">
      <calculatedColumnFormula>IF(I2&lt;&gt;I1,1,0)</calculatedColumnFormula>
    </tableColumn>
    <tableColumn id="10" xr3:uid="{71D3123C-2024-4015-B0D3-33B892EC7130}" uniqueName="10" name="Key" queryTableFieldId="10" dataDxfId="54">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8.xml"/><Relationship Id="rId5" Type="http://schemas.openxmlformats.org/officeDocument/2006/relationships/table" Target="../tables/table17.xml"/><Relationship Id="rId4"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M10" sqref="M10"/>
    </sheetView>
  </sheetViews>
  <sheetFormatPr defaultRowHeight="15" x14ac:dyDescent="0.25"/>
  <cols>
    <col min="3" max="3" width="11.140625" bestFit="1" customWidth="1"/>
    <col min="12" max="12" width="23.140625" bestFit="1" customWidth="1"/>
  </cols>
  <sheetData>
    <row r="1" spans="1:37" x14ac:dyDescent="0.25">
      <c r="A1" s="86" t="s">
        <v>4</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row>
    <row r="2" spans="1:37"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37"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5" spans="1:37" x14ac:dyDescent="0.25">
      <c r="F5" s="69"/>
    </row>
    <row r="6" spans="1:37" x14ac:dyDescent="0.25">
      <c r="F6" s="69"/>
      <c r="G6" s="66"/>
      <c r="H6" s="66"/>
      <c r="P6" s="1"/>
    </row>
    <row r="7" spans="1:37" x14ac:dyDescent="0.25">
      <c r="F7" s="69"/>
      <c r="G7" s="66"/>
      <c r="H7" s="66"/>
    </row>
    <row r="8" spans="1:37" x14ac:dyDescent="0.25">
      <c r="F8" s="69"/>
      <c r="G8" s="66"/>
      <c r="H8" s="66"/>
    </row>
    <row r="9" spans="1:37" x14ac:dyDescent="0.25">
      <c r="F9" s="69"/>
      <c r="G9" s="66"/>
      <c r="H9" s="66"/>
      <c r="L9" s="1" t="s">
        <v>96</v>
      </c>
    </row>
    <row r="10" spans="1:37" x14ac:dyDescent="0.25">
      <c r="F10" s="69"/>
      <c r="G10" s="66"/>
      <c r="H10" s="66"/>
      <c r="L10" t="s">
        <v>97</v>
      </c>
      <c r="M10" s="31" t="str" cm="1">
        <f t="array" aca="1" ref="M10" ca="1">LEFT(CELL("filename",$A$1),FIND("[",CELL("filename",$A$1),1)-2)</f>
        <v>C:\Users\Liliana Ramalho\PycharmProjects\Rotas Brisa</v>
      </c>
    </row>
    <row r="11" spans="1:37" x14ac:dyDescent="0.25">
      <c r="F11" s="69"/>
      <c r="G11" s="66"/>
      <c r="H11" s="66"/>
    </row>
    <row r="12" spans="1:37" x14ac:dyDescent="0.25">
      <c r="F12" s="69"/>
      <c r="G12" s="66"/>
      <c r="H12" s="66"/>
      <c r="L12" s="1" t="s">
        <v>100</v>
      </c>
    </row>
    <row r="13" spans="1:37" x14ac:dyDescent="0.25">
      <c r="F13" s="69"/>
      <c r="G13" s="66"/>
      <c r="H13" s="66"/>
      <c r="L13" t="s">
        <v>97</v>
      </c>
      <c r="M13" t="s">
        <v>392</v>
      </c>
    </row>
    <row r="14" spans="1:37" x14ac:dyDescent="0.25">
      <c r="C14" s="1"/>
      <c r="F14" s="69"/>
      <c r="G14" s="66"/>
      <c r="H14" s="66"/>
      <c r="L14" t="s">
        <v>101</v>
      </c>
      <c r="M14" t="str">
        <f>sol1_filepath&amp;"\99. dados_solucao_detalhe.csv"</f>
        <v>C:\Users\Liliana Ramalho\PycharmProjects\Rotas Brisa\dados\99. dados_solucao_detalhe.csv</v>
      </c>
    </row>
    <row r="15" spans="1:37" x14ac:dyDescent="0.25">
      <c r="D15" s="2"/>
      <c r="F15" s="69"/>
      <c r="G15" s="66"/>
      <c r="H15" s="66"/>
      <c r="L15" t="s">
        <v>102</v>
      </c>
      <c r="M15" t="str">
        <f>sol1_filepath&amp;"\99. dados_solucao_tempo_resposta.csv"</f>
        <v>C:\Users\Liliana Ramalho\PycharmProjects\Rotas Brisa\dados\99. dados_solucao_tempo_resposta.csv</v>
      </c>
    </row>
    <row r="16" spans="1:37" x14ac:dyDescent="0.25">
      <c r="D16" s="2"/>
      <c r="F16" s="69"/>
      <c r="G16" s="66"/>
      <c r="H16" s="66"/>
      <c r="L16" t="s">
        <v>128</v>
      </c>
      <c r="M16" t="str">
        <f>sol1_filepath&amp;"\99. dados_solucao_tempo_entre_passagens.csv"</f>
        <v>C:\Users\Liliana Ramalho\PycharmProjects\Rotas Brisa\dados\99. dados_solucao_tempo_entre_passagens.csv</v>
      </c>
    </row>
    <row r="17" spans="6:13" x14ac:dyDescent="0.25">
      <c r="F17" s="69"/>
      <c r="G17" s="66"/>
      <c r="H17" s="66"/>
      <c r="L17" t="s">
        <v>163</v>
      </c>
      <c r="M17" t="str">
        <f>sol1_filepath&amp;"\99. output_agregado.csv"</f>
        <v>C:\Users\Liliana Ramalho\PycharmProjects\Rotas Brisa\dados\99. output_agregado.csv</v>
      </c>
    </row>
    <row r="18" spans="6:13" x14ac:dyDescent="0.25">
      <c r="F18" s="69"/>
      <c r="G18" s="66"/>
      <c r="H18" s="66"/>
      <c r="L18" t="s">
        <v>164</v>
      </c>
      <c r="M18" t="str">
        <f>sol1_filepath&amp;"\99. output_macro.csv"</f>
        <v>C:\Users\Liliana Ramalho\PycharmProjects\Rotas Brisa\dados\99. output_macro.csv</v>
      </c>
    </row>
    <row r="19" spans="6:13" x14ac:dyDescent="0.25">
      <c r="F19" s="69"/>
      <c r="G19" s="66"/>
      <c r="H19" s="66"/>
    </row>
    <row r="20" spans="6:13" x14ac:dyDescent="0.25">
      <c r="F20" s="69"/>
      <c r="G20" s="66"/>
      <c r="H20" s="66"/>
    </row>
    <row r="21" spans="6:13" x14ac:dyDescent="0.25">
      <c r="F21" s="69"/>
      <c r="G21" s="66"/>
      <c r="H21" s="66"/>
    </row>
    <row r="22" spans="6:13" x14ac:dyDescent="0.25">
      <c r="F22" s="69"/>
      <c r="G22" s="66"/>
      <c r="H22" s="66"/>
    </row>
    <row r="23" spans="6:13" x14ac:dyDescent="0.25">
      <c r="F23" s="69"/>
      <c r="G23" s="66"/>
      <c r="H23" s="66"/>
    </row>
    <row r="24" spans="6:13" x14ac:dyDescent="0.25">
      <c r="F24" s="69"/>
      <c r="G24" s="66"/>
      <c r="H24" s="66"/>
    </row>
    <row r="25" spans="6:13" x14ac:dyDescent="0.25">
      <c r="F25" s="69"/>
      <c r="G25" s="66"/>
      <c r="H25" s="66"/>
    </row>
    <row r="26" spans="6:13" x14ac:dyDescent="0.25">
      <c r="F26" s="69"/>
    </row>
    <row r="27" spans="6:13" x14ac:dyDescent="0.25">
      <c r="F27" s="69"/>
    </row>
    <row r="28" spans="6:13" x14ac:dyDescent="0.25">
      <c r="F28" s="69"/>
    </row>
    <row r="29" spans="6:13" x14ac:dyDescent="0.25">
      <c r="F29" s="69"/>
    </row>
    <row r="30" spans="6:13" x14ac:dyDescent="0.25">
      <c r="F30" s="69"/>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B36" sqref="B36"/>
    </sheetView>
  </sheetViews>
  <sheetFormatPr defaultRowHeight="15" x14ac:dyDescent="0.25"/>
  <cols>
    <col min="2" max="2" width="32.140625" bestFit="1" customWidth="1"/>
    <col min="3" max="3" width="14.7109375" customWidth="1"/>
    <col min="4" max="4" width="16" bestFit="1" customWidth="1"/>
    <col min="5" max="5" width="4.140625" customWidth="1"/>
    <col min="6" max="6" width="33.140625" customWidth="1"/>
    <col min="7"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86" t="s">
        <v>110</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row>
    <row r="2" spans="1:34"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row>
    <row r="3" spans="1:34"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row>
    <row r="6" spans="1:34" x14ac:dyDescent="0.25">
      <c r="B6" s="35" t="s">
        <v>140</v>
      </c>
      <c r="C6" s="43">
        <v>70</v>
      </c>
      <c r="D6" t="s">
        <v>117</v>
      </c>
      <c r="F6" s="73" t="s">
        <v>111</v>
      </c>
      <c r="G6" s="74" t="s">
        <v>81</v>
      </c>
    </row>
    <row r="7" spans="1:34" x14ac:dyDescent="0.25">
      <c r="B7" s="35" t="s">
        <v>116</v>
      </c>
      <c r="C7" s="43">
        <v>30</v>
      </c>
      <c r="D7" t="s">
        <v>117</v>
      </c>
      <c r="F7" s="70" t="s">
        <v>180</v>
      </c>
      <c r="G7" s="71">
        <f>ROUND(20/60,2)</f>
        <v>0.33</v>
      </c>
      <c r="H7" t="s">
        <v>119</v>
      </c>
    </row>
    <row r="8" spans="1:34" x14ac:dyDescent="0.25">
      <c r="B8" s="35" t="s">
        <v>111</v>
      </c>
      <c r="C8" s="43">
        <v>30.8</v>
      </c>
      <c r="D8" t="s">
        <v>118</v>
      </c>
      <c r="F8" s="70" t="s">
        <v>181</v>
      </c>
      <c r="G8" s="72">
        <f>90/60</f>
        <v>1.5</v>
      </c>
      <c r="H8" t="s">
        <v>119</v>
      </c>
    </row>
    <row r="9" spans="1:34" x14ac:dyDescent="0.25">
      <c r="B9" s="35" t="s">
        <v>112</v>
      </c>
      <c r="C9" s="43">
        <v>4000</v>
      </c>
      <c r="F9" s="75" t="s">
        <v>182</v>
      </c>
      <c r="G9" s="76">
        <f>ROUND(20/60,2)</f>
        <v>0.33</v>
      </c>
      <c r="H9" t="s">
        <v>119</v>
      </c>
    </row>
    <row r="10" spans="1:34" ht="13.5" customHeight="1" x14ac:dyDescent="0.25">
      <c r="B10" s="35" t="s">
        <v>113</v>
      </c>
      <c r="C10" s="62">
        <v>1</v>
      </c>
    </row>
    <row r="11" spans="1:34" x14ac:dyDescent="0.25">
      <c r="B11" s="35" t="s">
        <v>114</v>
      </c>
      <c r="C11" s="43">
        <v>30</v>
      </c>
      <c r="D11" t="s">
        <v>118</v>
      </c>
    </row>
    <row r="12" spans="1:34" x14ac:dyDescent="0.25">
      <c r="B12" s="35" t="s">
        <v>115</v>
      </c>
      <c r="C12" s="62">
        <f>'Inputs - 3. Turnos e Paragens'!C6*24</f>
        <v>7</v>
      </c>
      <c r="D12" t="s">
        <v>158</v>
      </c>
    </row>
    <row r="13" spans="1:34" x14ac:dyDescent="0.25">
      <c r="B13" s="56" t="s">
        <v>152</v>
      </c>
      <c r="C13" s="57">
        <v>3.5</v>
      </c>
      <c r="D13" t="s">
        <v>119</v>
      </c>
    </row>
    <row r="14" spans="1:34" x14ac:dyDescent="0.25">
      <c r="B14" s="35" t="s">
        <v>161</v>
      </c>
      <c r="C14" s="65">
        <f>'Inputs - 3. Turnos e Paragens'!C6</f>
        <v>0.29166666666666669</v>
      </c>
      <c r="D14" t="s">
        <v>158</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Z62"/>
  <sheetViews>
    <sheetView showGridLines="0" zoomScale="115" zoomScaleNormal="50" workbookViewId="0">
      <pane ySplit="5" topLeftCell="A12" activePane="bottomLeft" state="frozen"/>
      <selection pane="bottomLeft" activeCell="D6" sqref="D6:M62"/>
    </sheetView>
  </sheetViews>
  <sheetFormatPr defaultRowHeight="15" x14ac:dyDescent="0.25"/>
  <cols>
    <col min="2" max="2" width="14.7109375" bestFit="1" customWidth="1"/>
    <col min="3" max="4" width="14.7109375" customWidth="1"/>
    <col min="5" max="5" width="11.5703125" bestFit="1" customWidth="1"/>
    <col min="6" max="6" width="28.42578125" bestFit="1" customWidth="1"/>
    <col min="7" max="7" width="11.85546875" style="3" bestFit="1" customWidth="1"/>
    <col min="8" max="8" width="6.85546875" customWidth="1"/>
    <col min="9" max="9" width="8.42578125" customWidth="1"/>
    <col min="10" max="10" width="9.7109375" customWidth="1"/>
    <col min="11" max="12" width="11.140625" customWidth="1"/>
    <col min="13" max="13" width="9.140625" customWidth="1"/>
    <col min="14" max="14" width="13.42578125" customWidth="1"/>
    <col min="15" max="15" width="14.140625" customWidth="1"/>
  </cols>
  <sheetData>
    <row r="1" spans="1:26" x14ac:dyDescent="0.25">
      <c r="A1" s="86" t="s">
        <v>49</v>
      </c>
      <c r="B1" s="86"/>
      <c r="C1" s="86"/>
      <c r="D1" s="86"/>
      <c r="E1" s="86"/>
      <c r="F1" s="86"/>
      <c r="G1" s="86"/>
      <c r="H1" s="86"/>
      <c r="I1" s="86"/>
      <c r="J1" s="86"/>
      <c r="K1" s="86"/>
      <c r="L1" s="86"/>
      <c r="M1" s="86"/>
      <c r="N1" s="86"/>
      <c r="O1" s="86"/>
      <c r="P1" s="86"/>
      <c r="Q1" s="86"/>
      <c r="R1" s="86"/>
      <c r="S1" s="86"/>
      <c r="T1" s="86"/>
      <c r="U1" s="86"/>
      <c r="V1" s="86"/>
      <c r="W1" s="86"/>
      <c r="X1" s="86"/>
      <c r="Y1" s="86"/>
      <c r="Z1" s="86"/>
    </row>
    <row r="2" spans="1:26" x14ac:dyDescent="0.25">
      <c r="A2" s="86"/>
      <c r="B2" s="86"/>
      <c r="C2" s="86"/>
      <c r="D2" s="86"/>
      <c r="E2" s="86"/>
      <c r="F2" s="86"/>
      <c r="G2" s="86"/>
      <c r="H2" s="86"/>
      <c r="I2" s="86"/>
      <c r="J2" s="86"/>
      <c r="K2" s="86"/>
      <c r="L2" s="86"/>
      <c r="M2" s="86"/>
      <c r="N2" s="86"/>
      <c r="O2" s="86"/>
      <c r="P2" s="86"/>
      <c r="Q2" s="86"/>
      <c r="R2" s="86"/>
      <c r="S2" s="86"/>
      <c r="T2" s="86"/>
      <c r="U2" s="86"/>
      <c r="V2" s="86"/>
      <c r="W2" s="86"/>
      <c r="X2" s="86"/>
      <c r="Y2" s="86"/>
      <c r="Z2" s="86"/>
    </row>
    <row r="3" spans="1:26" x14ac:dyDescent="0.25">
      <c r="A3" s="86"/>
      <c r="B3" s="86"/>
      <c r="C3" s="86"/>
      <c r="D3" s="86"/>
      <c r="E3" s="86"/>
      <c r="F3" s="86"/>
      <c r="G3" s="86"/>
      <c r="H3" s="86"/>
      <c r="I3" s="86"/>
      <c r="J3" s="86"/>
      <c r="K3" s="86"/>
      <c r="L3" s="86"/>
      <c r="M3" s="86"/>
      <c r="N3" s="86"/>
      <c r="O3" s="86"/>
      <c r="P3" s="86"/>
      <c r="Q3" s="86"/>
      <c r="R3" s="86"/>
      <c r="S3" s="86"/>
      <c r="T3" s="86"/>
      <c r="U3" s="86"/>
      <c r="V3" s="86"/>
      <c r="W3" s="86"/>
      <c r="X3" s="86"/>
      <c r="Y3" s="86"/>
      <c r="Z3" s="86"/>
    </row>
    <row r="4" spans="1:26" x14ac:dyDescent="0.25">
      <c r="K4" s="87" t="s">
        <v>151</v>
      </c>
      <c r="L4" s="87"/>
    </row>
    <row r="5" spans="1:26" x14ac:dyDescent="0.25">
      <c r="B5" s="32" t="s">
        <v>195</v>
      </c>
      <c r="C5" s="32" t="s">
        <v>196</v>
      </c>
      <c r="D5" s="4" t="s">
        <v>5</v>
      </c>
      <c r="E5" s="4" t="s">
        <v>6</v>
      </c>
      <c r="F5" s="4" t="s">
        <v>7</v>
      </c>
      <c r="G5" s="5" t="s">
        <v>315</v>
      </c>
      <c r="H5" s="5" t="s">
        <v>10</v>
      </c>
      <c r="I5" s="5" t="s">
        <v>11</v>
      </c>
      <c r="J5" s="5" t="s">
        <v>12</v>
      </c>
      <c r="K5" s="5" t="s">
        <v>13</v>
      </c>
      <c r="L5" s="5" t="s">
        <v>14</v>
      </c>
      <c r="M5" s="5" t="s">
        <v>52</v>
      </c>
    </row>
    <row r="6" spans="1:26" hidden="1" x14ac:dyDescent="0.25">
      <c r="B6" s="33">
        <v>0</v>
      </c>
      <c r="C6" s="33">
        <v>0</v>
      </c>
      <c r="D6" t="s">
        <v>15</v>
      </c>
      <c r="E6" t="s">
        <v>2</v>
      </c>
      <c r="F6" t="s">
        <v>226</v>
      </c>
      <c r="G6" s="3">
        <v>0</v>
      </c>
      <c r="H6" s="3">
        <v>0</v>
      </c>
      <c r="I6" s="3">
        <v>0</v>
      </c>
      <c r="J6" s="3">
        <v>0</v>
      </c>
      <c r="K6" s="3">
        <v>15</v>
      </c>
      <c r="L6" s="3">
        <v>15</v>
      </c>
      <c r="M6" s="3">
        <v>0</v>
      </c>
    </row>
    <row r="7" spans="1:26" hidden="1" x14ac:dyDescent="0.25">
      <c r="B7" s="33">
        <v>0</v>
      </c>
      <c r="C7" s="33">
        <v>0</v>
      </c>
      <c r="D7" t="s">
        <v>15</v>
      </c>
      <c r="E7" t="s">
        <v>2</v>
      </c>
      <c r="F7" t="s">
        <v>212</v>
      </c>
      <c r="G7" s="3">
        <v>1</v>
      </c>
      <c r="H7" s="3">
        <v>0</v>
      </c>
      <c r="I7" s="3">
        <v>1</v>
      </c>
      <c r="J7" s="3">
        <v>0</v>
      </c>
      <c r="K7" s="3">
        <v>5</v>
      </c>
      <c r="L7" s="3">
        <v>5</v>
      </c>
      <c r="M7" s="3">
        <v>1</v>
      </c>
    </row>
    <row r="8" spans="1:26" hidden="1" x14ac:dyDescent="0.25">
      <c r="B8" s="33">
        <v>0</v>
      </c>
      <c r="C8" s="33">
        <v>0</v>
      </c>
      <c r="D8" t="s">
        <v>15</v>
      </c>
      <c r="E8" t="s">
        <v>2</v>
      </c>
      <c r="F8" t="s">
        <v>213</v>
      </c>
      <c r="G8" s="3">
        <v>2</v>
      </c>
      <c r="H8" s="3">
        <v>0</v>
      </c>
      <c r="I8" s="3">
        <v>0</v>
      </c>
      <c r="J8" s="3">
        <v>0</v>
      </c>
      <c r="K8" s="3">
        <v>14</v>
      </c>
      <c r="L8" s="3">
        <v>14</v>
      </c>
      <c r="M8" s="3">
        <v>0</v>
      </c>
    </row>
    <row r="9" spans="1:26" ht="13.5" hidden="1" customHeight="1" x14ac:dyDescent="0.25">
      <c r="B9" s="33">
        <v>0</v>
      </c>
      <c r="C9" s="33">
        <v>0</v>
      </c>
      <c r="D9" t="s">
        <v>15</v>
      </c>
      <c r="E9" t="s">
        <v>2</v>
      </c>
      <c r="F9" t="s">
        <v>221</v>
      </c>
      <c r="G9" s="3">
        <v>3</v>
      </c>
      <c r="H9" s="3">
        <v>0</v>
      </c>
      <c r="I9" s="3">
        <v>0</v>
      </c>
      <c r="J9" s="3">
        <v>0</v>
      </c>
      <c r="K9" s="3">
        <v>10</v>
      </c>
      <c r="L9" s="3">
        <v>10</v>
      </c>
      <c r="M9" s="3">
        <v>0</v>
      </c>
    </row>
    <row r="10" spans="1:26" hidden="1" x14ac:dyDescent="0.25">
      <c r="B10" s="33">
        <v>0</v>
      </c>
      <c r="C10" s="33">
        <v>0</v>
      </c>
      <c r="D10" t="s">
        <v>15</v>
      </c>
      <c r="E10" t="s">
        <v>2</v>
      </c>
      <c r="F10" t="s">
        <v>220</v>
      </c>
      <c r="G10" s="3">
        <v>4</v>
      </c>
      <c r="H10" s="3">
        <v>0</v>
      </c>
      <c r="I10" s="3">
        <v>0</v>
      </c>
      <c r="J10" s="3">
        <v>0</v>
      </c>
      <c r="K10" s="3">
        <v>13</v>
      </c>
      <c r="L10" s="3">
        <v>13</v>
      </c>
      <c r="M10" s="3">
        <v>0</v>
      </c>
    </row>
    <row r="11" spans="1:26" x14ac:dyDescent="0.25">
      <c r="B11" s="33">
        <v>0</v>
      </c>
      <c r="C11" s="33">
        <v>1</v>
      </c>
      <c r="D11" t="s">
        <v>15</v>
      </c>
      <c r="E11" t="s">
        <v>2</v>
      </c>
      <c r="F11" t="s">
        <v>300</v>
      </c>
      <c r="G11" s="3">
        <v>7</v>
      </c>
      <c r="H11" s="3">
        <v>0</v>
      </c>
      <c r="I11" s="3">
        <v>0</v>
      </c>
      <c r="J11" s="3">
        <v>0</v>
      </c>
      <c r="K11" s="3">
        <v>0</v>
      </c>
      <c r="L11" s="3">
        <v>0</v>
      </c>
      <c r="M11" s="3">
        <v>0</v>
      </c>
    </row>
    <row r="12" spans="1:26" x14ac:dyDescent="0.25">
      <c r="B12" s="81">
        <v>0</v>
      </c>
      <c r="C12" s="81">
        <v>1</v>
      </c>
      <c r="D12" s="21" t="s">
        <v>307</v>
      </c>
      <c r="E12" s="21" t="s">
        <v>307</v>
      </c>
      <c r="F12" s="21" t="s">
        <v>301</v>
      </c>
      <c r="G12" s="81">
        <v>8</v>
      </c>
      <c r="H12" s="81">
        <v>0</v>
      </c>
      <c r="I12" s="81">
        <v>0</v>
      </c>
      <c r="J12" s="81">
        <v>0</v>
      </c>
      <c r="K12" s="81">
        <v>10</v>
      </c>
      <c r="L12" s="81">
        <v>10</v>
      </c>
      <c r="M12" s="81">
        <v>0</v>
      </c>
    </row>
    <row r="13" spans="1:26" x14ac:dyDescent="0.25">
      <c r="B13" s="81">
        <v>0</v>
      </c>
      <c r="C13" s="81">
        <v>1</v>
      </c>
      <c r="D13" s="21" t="s">
        <v>307</v>
      </c>
      <c r="E13" s="21" t="s">
        <v>307</v>
      </c>
      <c r="F13" s="21" t="s">
        <v>302</v>
      </c>
      <c r="G13" s="81">
        <v>9</v>
      </c>
      <c r="H13" s="81">
        <v>0</v>
      </c>
      <c r="I13" s="81">
        <v>0</v>
      </c>
      <c r="J13" s="81">
        <v>1</v>
      </c>
      <c r="K13" s="81">
        <v>10</v>
      </c>
      <c r="L13" s="81">
        <v>10</v>
      </c>
      <c r="M13" s="81">
        <v>0</v>
      </c>
    </row>
    <row r="14" spans="1:26" x14ac:dyDescent="0.25">
      <c r="B14" s="81">
        <v>0</v>
      </c>
      <c r="C14" s="81">
        <v>1</v>
      </c>
      <c r="D14" s="21" t="s">
        <v>307</v>
      </c>
      <c r="E14" s="21" t="s">
        <v>307</v>
      </c>
      <c r="F14" s="21" t="s">
        <v>303</v>
      </c>
      <c r="G14" s="81">
        <v>10</v>
      </c>
      <c r="H14" s="81">
        <v>0</v>
      </c>
      <c r="I14" s="81">
        <v>0</v>
      </c>
      <c r="J14" s="81">
        <v>0</v>
      </c>
      <c r="K14" s="81">
        <v>10</v>
      </c>
      <c r="L14" s="81">
        <v>10</v>
      </c>
      <c r="M14" s="81">
        <v>0</v>
      </c>
    </row>
    <row r="15" spans="1:26" x14ac:dyDescent="0.25">
      <c r="B15" s="33">
        <v>0</v>
      </c>
      <c r="C15" s="33">
        <v>1</v>
      </c>
      <c r="D15" t="s">
        <v>15</v>
      </c>
      <c r="E15" t="s">
        <v>2</v>
      </c>
      <c r="F15" t="s">
        <v>215</v>
      </c>
      <c r="G15" s="3">
        <v>6</v>
      </c>
      <c r="H15" s="3">
        <v>0</v>
      </c>
      <c r="I15" s="3">
        <v>0</v>
      </c>
      <c r="J15" s="3">
        <v>0</v>
      </c>
      <c r="K15" s="3">
        <v>0</v>
      </c>
      <c r="L15" s="3">
        <v>0</v>
      </c>
      <c r="M15" s="3">
        <v>0</v>
      </c>
    </row>
    <row r="16" spans="1:26" x14ac:dyDescent="0.25">
      <c r="B16" s="33">
        <v>0</v>
      </c>
      <c r="C16" s="33">
        <v>1</v>
      </c>
      <c r="D16" t="s">
        <v>15</v>
      </c>
      <c r="E16" t="s">
        <v>2</v>
      </c>
      <c r="F16" t="s">
        <v>2</v>
      </c>
      <c r="G16" s="3">
        <v>5</v>
      </c>
      <c r="H16" s="3">
        <v>1</v>
      </c>
      <c r="I16" s="3">
        <v>1</v>
      </c>
      <c r="J16" s="3">
        <v>1</v>
      </c>
      <c r="K16" s="3">
        <v>13</v>
      </c>
      <c r="L16" s="3">
        <v>13</v>
      </c>
      <c r="M16" s="3">
        <v>1</v>
      </c>
    </row>
    <row r="17" spans="2:13" x14ac:dyDescent="0.25">
      <c r="B17" s="33">
        <v>0</v>
      </c>
      <c r="C17" s="33">
        <v>1</v>
      </c>
      <c r="D17" t="s">
        <v>15</v>
      </c>
      <c r="E17" t="s">
        <v>2</v>
      </c>
      <c r="F17" t="s">
        <v>208</v>
      </c>
      <c r="G17" s="3">
        <v>4</v>
      </c>
      <c r="H17" s="3">
        <v>0</v>
      </c>
      <c r="I17" s="3">
        <v>1</v>
      </c>
      <c r="J17" s="3">
        <v>1</v>
      </c>
      <c r="K17" s="3">
        <v>13</v>
      </c>
      <c r="L17" s="3">
        <v>13</v>
      </c>
      <c r="M17" s="3">
        <v>1</v>
      </c>
    </row>
    <row r="18" spans="2:13" x14ac:dyDescent="0.25">
      <c r="B18" s="33">
        <v>0</v>
      </c>
      <c r="C18" s="33">
        <v>1</v>
      </c>
      <c r="D18" t="s">
        <v>15</v>
      </c>
      <c r="E18" t="s">
        <v>2</v>
      </c>
      <c r="F18" t="s">
        <v>228</v>
      </c>
      <c r="G18" s="3">
        <v>3</v>
      </c>
      <c r="H18" s="3">
        <v>0</v>
      </c>
      <c r="I18" s="3">
        <v>0</v>
      </c>
      <c r="J18" s="3">
        <v>0</v>
      </c>
      <c r="K18" s="3">
        <v>18</v>
      </c>
      <c r="L18" s="3">
        <v>18</v>
      </c>
      <c r="M18" s="3">
        <v>0</v>
      </c>
    </row>
    <row r="19" spans="2:13" x14ac:dyDescent="0.25">
      <c r="B19" s="33">
        <v>0</v>
      </c>
      <c r="C19" s="33">
        <v>1</v>
      </c>
      <c r="D19" t="s">
        <v>15</v>
      </c>
      <c r="E19" t="s">
        <v>2</v>
      </c>
      <c r="F19" t="s">
        <v>200</v>
      </c>
      <c r="G19" s="3">
        <v>2</v>
      </c>
      <c r="H19" s="3">
        <v>0</v>
      </c>
      <c r="I19" s="3">
        <v>0</v>
      </c>
      <c r="J19" s="3">
        <v>0</v>
      </c>
      <c r="K19" s="3">
        <v>4</v>
      </c>
      <c r="L19" s="3">
        <v>4</v>
      </c>
      <c r="M19" s="3">
        <v>0</v>
      </c>
    </row>
    <row r="20" spans="2:13" x14ac:dyDescent="0.25">
      <c r="B20" s="33">
        <v>0</v>
      </c>
      <c r="C20" s="33">
        <v>1</v>
      </c>
      <c r="D20" t="s">
        <v>15</v>
      </c>
      <c r="E20" t="s">
        <v>2</v>
      </c>
      <c r="F20" t="s">
        <v>203</v>
      </c>
      <c r="G20" s="3">
        <v>1</v>
      </c>
      <c r="H20" s="3">
        <v>0</v>
      </c>
      <c r="I20" s="3">
        <v>0</v>
      </c>
      <c r="J20" s="3">
        <v>0</v>
      </c>
      <c r="K20" s="3">
        <v>8</v>
      </c>
      <c r="L20" s="3">
        <v>8</v>
      </c>
      <c r="M20" s="3">
        <v>1</v>
      </c>
    </row>
    <row r="21" spans="2:13" hidden="1" x14ac:dyDescent="0.25">
      <c r="B21" s="33">
        <v>1</v>
      </c>
      <c r="C21" s="33">
        <v>0</v>
      </c>
      <c r="D21" t="s">
        <v>236</v>
      </c>
      <c r="E21" t="s">
        <v>0</v>
      </c>
      <c r="F21" t="s">
        <v>223</v>
      </c>
      <c r="G21" s="3">
        <v>1</v>
      </c>
      <c r="H21" s="3">
        <v>0</v>
      </c>
      <c r="I21" s="3">
        <v>0</v>
      </c>
      <c r="J21" s="3">
        <v>0</v>
      </c>
      <c r="K21" s="3">
        <v>10</v>
      </c>
      <c r="L21" s="3">
        <v>10</v>
      </c>
      <c r="M21" s="3">
        <v>0</v>
      </c>
    </row>
    <row r="22" spans="2:13" hidden="1" x14ac:dyDescent="0.25">
      <c r="B22" s="33">
        <v>1</v>
      </c>
      <c r="C22" s="33">
        <v>0</v>
      </c>
      <c r="D22" t="s">
        <v>236</v>
      </c>
      <c r="E22" t="s">
        <v>0</v>
      </c>
      <c r="F22" t="s">
        <v>224</v>
      </c>
      <c r="G22" s="3">
        <v>2</v>
      </c>
      <c r="H22" s="3">
        <v>0</v>
      </c>
      <c r="I22" s="3">
        <v>0</v>
      </c>
      <c r="J22" s="3">
        <v>0</v>
      </c>
      <c r="K22" s="3">
        <v>10</v>
      </c>
      <c r="L22" s="3">
        <v>10</v>
      </c>
      <c r="M22" s="3">
        <v>0</v>
      </c>
    </row>
    <row r="23" spans="2:13" hidden="1" x14ac:dyDescent="0.25">
      <c r="B23" s="33">
        <v>1</v>
      </c>
      <c r="C23" s="33">
        <v>0</v>
      </c>
      <c r="D23" t="s">
        <v>236</v>
      </c>
      <c r="E23" t="s">
        <v>0</v>
      </c>
      <c r="F23" t="s">
        <v>225</v>
      </c>
      <c r="G23" s="3">
        <v>3</v>
      </c>
      <c r="H23" s="3">
        <v>0</v>
      </c>
      <c r="I23" s="3">
        <v>0</v>
      </c>
      <c r="J23" s="3">
        <v>0</v>
      </c>
      <c r="K23" s="3">
        <v>10</v>
      </c>
      <c r="L23" s="3">
        <v>10</v>
      </c>
      <c r="M23" s="3">
        <v>0</v>
      </c>
    </row>
    <row r="24" spans="2:13" hidden="1" x14ac:dyDescent="0.25">
      <c r="B24" s="33">
        <v>1</v>
      </c>
      <c r="C24" s="33">
        <v>0</v>
      </c>
      <c r="D24" t="s">
        <v>236</v>
      </c>
      <c r="E24" t="s">
        <v>0</v>
      </c>
      <c r="F24" t="s">
        <v>201</v>
      </c>
      <c r="G24" s="3">
        <v>4</v>
      </c>
      <c r="H24" s="3">
        <v>0</v>
      </c>
      <c r="I24" s="3">
        <v>1</v>
      </c>
      <c r="J24" s="3">
        <v>1</v>
      </c>
      <c r="K24" s="3">
        <v>10</v>
      </c>
      <c r="L24" s="3">
        <v>10</v>
      </c>
      <c r="M24" s="3">
        <v>0</v>
      </c>
    </row>
    <row r="25" spans="2:13" hidden="1" x14ac:dyDescent="0.25">
      <c r="B25" s="33">
        <v>1</v>
      </c>
      <c r="C25" s="33">
        <v>0</v>
      </c>
      <c r="D25" t="s">
        <v>236</v>
      </c>
      <c r="E25" t="s">
        <v>0</v>
      </c>
      <c r="F25" t="s">
        <v>202</v>
      </c>
      <c r="G25" s="3">
        <v>5</v>
      </c>
      <c r="H25" s="3">
        <v>0</v>
      </c>
      <c r="I25" s="3">
        <v>0</v>
      </c>
      <c r="J25" s="3">
        <v>1</v>
      </c>
      <c r="K25" s="3">
        <v>10</v>
      </c>
      <c r="L25" s="3">
        <v>10</v>
      </c>
      <c r="M25" s="3">
        <v>0</v>
      </c>
    </row>
    <row r="26" spans="2:13" hidden="1" x14ac:dyDescent="0.25">
      <c r="B26" s="33">
        <v>1</v>
      </c>
      <c r="C26" s="33">
        <v>0</v>
      </c>
      <c r="D26" t="s">
        <v>236</v>
      </c>
      <c r="E26" t="s">
        <v>0</v>
      </c>
      <c r="F26" t="s">
        <v>227</v>
      </c>
      <c r="G26" s="3">
        <v>6</v>
      </c>
      <c r="H26" s="3">
        <v>0</v>
      </c>
      <c r="I26" s="3">
        <v>0</v>
      </c>
      <c r="J26" s="3">
        <v>1</v>
      </c>
      <c r="K26" s="3">
        <v>20</v>
      </c>
      <c r="L26" s="3">
        <v>20</v>
      </c>
      <c r="M26" s="3">
        <v>0</v>
      </c>
    </row>
    <row r="27" spans="2:13" hidden="1" x14ac:dyDescent="0.25">
      <c r="B27" s="33">
        <v>1</v>
      </c>
      <c r="C27" s="33">
        <v>0</v>
      </c>
      <c r="D27" t="s">
        <v>236</v>
      </c>
      <c r="E27" t="s">
        <v>0</v>
      </c>
      <c r="F27" t="s">
        <v>222</v>
      </c>
      <c r="G27" s="3">
        <v>7</v>
      </c>
      <c r="H27" s="3">
        <v>0</v>
      </c>
      <c r="I27" s="3">
        <v>0</v>
      </c>
      <c r="J27" s="3">
        <v>0</v>
      </c>
      <c r="K27" s="3">
        <v>10</v>
      </c>
      <c r="L27" s="3">
        <v>10</v>
      </c>
      <c r="M27" s="3">
        <v>0</v>
      </c>
    </row>
    <row r="28" spans="2:13" hidden="1" x14ac:dyDescent="0.25">
      <c r="B28" s="33">
        <v>1</v>
      </c>
      <c r="C28" s="33">
        <v>0</v>
      </c>
      <c r="D28" t="s">
        <v>236</v>
      </c>
      <c r="E28" t="s">
        <v>0</v>
      </c>
      <c r="F28" t="s">
        <v>197</v>
      </c>
      <c r="G28" s="3">
        <v>8</v>
      </c>
      <c r="H28" s="3">
        <v>0</v>
      </c>
      <c r="I28" s="3">
        <v>0</v>
      </c>
      <c r="J28" s="3">
        <v>0</v>
      </c>
      <c r="K28" s="3">
        <v>50</v>
      </c>
      <c r="L28" s="3">
        <v>50</v>
      </c>
      <c r="M28" s="3">
        <v>0</v>
      </c>
    </row>
    <row r="29" spans="2:13" hidden="1" x14ac:dyDescent="0.25">
      <c r="B29" s="81">
        <v>1</v>
      </c>
      <c r="C29" s="81">
        <v>0</v>
      </c>
      <c r="D29" s="21" t="s">
        <v>292</v>
      </c>
      <c r="E29" s="21" t="s">
        <v>292</v>
      </c>
      <c r="F29" s="21" t="s">
        <v>293</v>
      </c>
      <c r="G29" s="81">
        <v>9</v>
      </c>
      <c r="H29" s="81">
        <v>0</v>
      </c>
      <c r="I29" s="81">
        <v>0</v>
      </c>
      <c r="J29" s="81">
        <v>0</v>
      </c>
      <c r="K29" s="81">
        <v>10</v>
      </c>
      <c r="L29" s="81">
        <v>10</v>
      </c>
      <c r="M29" s="81">
        <v>0</v>
      </c>
    </row>
    <row r="30" spans="2:13" hidden="1" x14ac:dyDescent="0.25">
      <c r="B30" s="81">
        <v>1</v>
      </c>
      <c r="C30" s="81">
        <v>0</v>
      </c>
      <c r="D30" s="21" t="s">
        <v>292</v>
      </c>
      <c r="E30" s="21" t="s">
        <v>292</v>
      </c>
      <c r="F30" s="21" t="s">
        <v>298</v>
      </c>
      <c r="G30" s="81">
        <v>10</v>
      </c>
      <c r="H30" s="81">
        <v>0</v>
      </c>
      <c r="I30" s="81">
        <v>0</v>
      </c>
      <c r="J30" s="81">
        <v>0</v>
      </c>
      <c r="K30" s="81">
        <v>20</v>
      </c>
      <c r="L30" s="81">
        <v>20</v>
      </c>
      <c r="M30" s="81">
        <v>0</v>
      </c>
    </row>
    <row r="31" spans="2:13" hidden="1" x14ac:dyDescent="0.25">
      <c r="B31" s="81">
        <v>1</v>
      </c>
      <c r="C31" s="81">
        <v>0</v>
      </c>
      <c r="D31" s="21" t="s">
        <v>292</v>
      </c>
      <c r="E31" s="21" t="s">
        <v>292</v>
      </c>
      <c r="F31" s="21" t="s">
        <v>294</v>
      </c>
      <c r="G31" s="81">
        <v>11</v>
      </c>
      <c r="H31" s="81">
        <v>0</v>
      </c>
      <c r="I31" s="81">
        <v>0</v>
      </c>
      <c r="J31" s="81">
        <v>0</v>
      </c>
      <c r="K31" s="81">
        <v>20</v>
      </c>
      <c r="L31" s="81">
        <v>20</v>
      </c>
      <c r="M31" s="81">
        <v>0</v>
      </c>
    </row>
    <row r="32" spans="2:13" hidden="1" x14ac:dyDescent="0.25">
      <c r="B32" s="33">
        <v>1</v>
      </c>
      <c r="C32" s="33">
        <v>0</v>
      </c>
      <c r="D32" t="s">
        <v>236</v>
      </c>
      <c r="E32" t="s">
        <v>0</v>
      </c>
      <c r="F32" t="s">
        <v>0</v>
      </c>
      <c r="G32" s="3">
        <v>12</v>
      </c>
      <c r="H32" s="3">
        <v>1</v>
      </c>
      <c r="I32" s="3">
        <v>1</v>
      </c>
      <c r="J32" s="3">
        <v>1</v>
      </c>
      <c r="K32" s="3">
        <v>15</v>
      </c>
      <c r="L32" s="3">
        <v>15</v>
      </c>
      <c r="M32" s="3">
        <v>0</v>
      </c>
    </row>
    <row r="33" spans="2:13" hidden="1" x14ac:dyDescent="0.25">
      <c r="B33" s="33">
        <v>1</v>
      </c>
      <c r="C33" s="33">
        <v>0</v>
      </c>
      <c r="D33" t="s">
        <v>236</v>
      </c>
      <c r="E33" t="s">
        <v>0</v>
      </c>
      <c r="F33" t="s">
        <v>204</v>
      </c>
      <c r="G33" s="3">
        <v>13</v>
      </c>
      <c r="H33" s="3">
        <v>0</v>
      </c>
      <c r="I33" s="3">
        <v>0</v>
      </c>
      <c r="J33" s="3">
        <v>0</v>
      </c>
      <c r="K33" s="3">
        <v>10</v>
      </c>
      <c r="L33" s="3">
        <v>10</v>
      </c>
      <c r="M33" s="3">
        <v>0</v>
      </c>
    </row>
    <row r="34" spans="2:13" hidden="1" x14ac:dyDescent="0.25">
      <c r="B34" s="33">
        <v>1</v>
      </c>
      <c r="C34" s="33">
        <v>0</v>
      </c>
      <c r="D34" t="s">
        <v>236</v>
      </c>
      <c r="E34" t="s">
        <v>231</v>
      </c>
      <c r="F34" t="s">
        <v>205</v>
      </c>
      <c r="G34" s="3">
        <v>14</v>
      </c>
      <c r="H34" s="3">
        <v>1</v>
      </c>
      <c r="I34" s="3">
        <v>1</v>
      </c>
      <c r="J34" s="3">
        <v>1</v>
      </c>
      <c r="K34" s="3">
        <v>10</v>
      </c>
      <c r="L34" s="3">
        <v>10</v>
      </c>
      <c r="M34" s="3">
        <v>0</v>
      </c>
    </row>
    <row r="35" spans="2:13" hidden="1" x14ac:dyDescent="0.25">
      <c r="B35" s="33">
        <v>1</v>
      </c>
      <c r="C35" s="33">
        <v>0</v>
      </c>
      <c r="D35" t="s">
        <v>236</v>
      </c>
      <c r="E35" t="s">
        <v>231</v>
      </c>
      <c r="F35" t="s">
        <v>209</v>
      </c>
      <c r="G35" s="3">
        <v>15</v>
      </c>
      <c r="H35" s="3">
        <v>0</v>
      </c>
      <c r="I35" s="3">
        <v>0</v>
      </c>
      <c r="J35" s="3">
        <v>0</v>
      </c>
      <c r="K35" s="3">
        <v>10</v>
      </c>
      <c r="L35" s="3">
        <v>10</v>
      </c>
      <c r="M35" s="3">
        <v>0</v>
      </c>
    </row>
    <row r="36" spans="2:13" hidden="1" x14ac:dyDescent="0.25">
      <c r="B36" s="33">
        <v>1</v>
      </c>
      <c r="C36" s="33">
        <v>0</v>
      </c>
      <c r="D36" t="s">
        <v>236</v>
      </c>
      <c r="E36" t="s">
        <v>231</v>
      </c>
      <c r="F36" t="s">
        <v>232</v>
      </c>
      <c r="G36" s="3">
        <v>16</v>
      </c>
      <c r="H36" s="3">
        <v>0</v>
      </c>
      <c r="I36" s="3">
        <v>0</v>
      </c>
      <c r="J36" s="3">
        <v>0</v>
      </c>
      <c r="K36" s="3">
        <v>10</v>
      </c>
      <c r="L36" s="3">
        <v>10</v>
      </c>
      <c r="M36" s="3">
        <v>0</v>
      </c>
    </row>
    <row r="37" spans="2:13" hidden="1" x14ac:dyDescent="0.25">
      <c r="B37" s="33">
        <v>1</v>
      </c>
      <c r="C37" s="33">
        <v>0</v>
      </c>
      <c r="D37" t="s">
        <v>236</v>
      </c>
      <c r="E37" t="s">
        <v>231</v>
      </c>
      <c r="F37" t="s">
        <v>233</v>
      </c>
      <c r="G37" s="3">
        <v>17</v>
      </c>
      <c r="H37" s="3">
        <v>0</v>
      </c>
      <c r="I37" s="3">
        <v>0</v>
      </c>
      <c r="J37" s="3">
        <v>0</v>
      </c>
      <c r="K37" s="3">
        <v>10</v>
      </c>
      <c r="L37" s="3">
        <v>10</v>
      </c>
      <c r="M37" s="3">
        <v>0</v>
      </c>
    </row>
    <row r="38" spans="2:13" hidden="1" x14ac:dyDescent="0.25">
      <c r="B38" s="33">
        <v>1</v>
      </c>
      <c r="C38" s="33">
        <v>0</v>
      </c>
      <c r="D38" t="s">
        <v>236</v>
      </c>
      <c r="E38" t="s">
        <v>231</v>
      </c>
      <c r="F38" t="s">
        <v>234</v>
      </c>
      <c r="G38" s="3">
        <v>18</v>
      </c>
      <c r="H38" s="3">
        <v>0</v>
      </c>
      <c r="I38" s="3">
        <v>0</v>
      </c>
      <c r="J38" s="3">
        <v>0</v>
      </c>
      <c r="K38" s="3">
        <v>10</v>
      </c>
      <c r="L38" s="3">
        <v>10</v>
      </c>
      <c r="M38" s="3">
        <v>0</v>
      </c>
    </row>
    <row r="39" spans="2:13" hidden="1" x14ac:dyDescent="0.25">
      <c r="B39" s="33">
        <v>1</v>
      </c>
      <c r="C39" s="33">
        <v>0</v>
      </c>
      <c r="D39" t="s">
        <v>236</v>
      </c>
      <c r="E39" t="s">
        <v>231</v>
      </c>
      <c r="F39" t="s">
        <v>231</v>
      </c>
      <c r="G39" s="3">
        <v>19</v>
      </c>
      <c r="H39" s="3">
        <v>1</v>
      </c>
      <c r="I39" s="3">
        <v>0</v>
      </c>
      <c r="J39" s="3">
        <v>1</v>
      </c>
      <c r="K39" s="3">
        <v>15</v>
      </c>
      <c r="L39" s="3">
        <v>15</v>
      </c>
      <c r="M39" s="3">
        <v>0</v>
      </c>
    </row>
    <row r="40" spans="2:13" hidden="1" x14ac:dyDescent="0.25">
      <c r="B40" s="33">
        <v>1</v>
      </c>
      <c r="C40" s="33">
        <v>0</v>
      </c>
      <c r="D40" t="s">
        <v>236</v>
      </c>
      <c r="E40" t="s">
        <v>231</v>
      </c>
      <c r="F40" t="s">
        <v>235</v>
      </c>
      <c r="G40" s="3">
        <v>20</v>
      </c>
      <c r="H40" s="3">
        <v>0</v>
      </c>
      <c r="I40" s="3">
        <v>0</v>
      </c>
      <c r="J40" s="3">
        <v>0</v>
      </c>
      <c r="K40" s="3">
        <v>10</v>
      </c>
      <c r="L40" s="3">
        <v>10</v>
      </c>
      <c r="M40" s="3">
        <v>0</v>
      </c>
    </row>
    <row r="41" spans="2:13" hidden="1" x14ac:dyDescent="0.25">
      <c r="B41" s="33">
        <v>1</v>
      </c>
      <c r="C41" s="33">
        <v>0</v>
      </c>
      <c r="D41" t="s">
        <v>236</v>
      </c>
      <c r="E41" t="s">
        <v>231</v>
      </c>
      <c r="F41" t="s">
        <v>230</v>
      </c>
      <c r="G41" s="3">
        <v>21</v>
      </c>
      <c r="H41" s="3">
        <v>0</v>
      </c>
      <c r="I41" s="3">
        <v>0</v>
      </c>
      <c r="J41" s="3">
        <v>1</v>
      </c>
      <c r="K41" s="3">
        <v>10</v>
      </c>
      <c r="L41" s="3">
        <v>10</v>
      </c>
      <c r="M41" s="3">
        <v>0</v>
      </c>
    </row>
    <row r="42" spans="2:13" hidden="1" x14ac:dyDescent="0.25">
      <c r="B42" s="33">
        <v>1</v>
      </c>
      <c r="C42" s="33">
        <v>0</v>
      </c>
      <c r="D42" t="s">
        <v>236</v>
      </c>
      <c r="E42" t="s">
        <v>231</v>
      </c>
      <c r="F42" t="s">
        <v>229</v>
      </c>
      <c r="G42" s="3">
        <v>22</v>
      </c>
      <c r="H42" s="3">
        <v>0</v>
      </c>
      <c r="I42" s="3">
        <v>0</v>
      </c>
      <c r="J42" s="3">
        <v>1</v>
      </c>
      <c r="K42" s="3">
        <v>15</v>
      </c>
      <c r="L42" s="3">
        <v>15</v>
      </c>
      <c r="M42" s="3">
        <v>0</v>
      </c>
    </row>
    <row r="43" spans="2:13" hidden="1" x14ac:dyDescent="0.25">
      <c r="B43" s="33">
        <v>1</v>
      </c>
      <c r="C43" s="33">
        <v>0</v>
      </c>
      <c r="D43" t="s">
        <v>236</v>
      </c>
      <c r="E43" t="s">
        <v>59</v>
      </c>
      <c r="F43" t="s">
        <v>219</v>
      </c>
      <c r="G43" s="3">
        <v>23</v>
      </c>
      <c r="H43" s="3">
        <v>0</v>
      </c>
      <c r="I43" s="3">
        <v>0</v>
      </c>
      <c r="J43" s="3">
        <v>0</v>
      </c>
      <c r="K43" s="3">
        <v>10</v>
      </c>
      <c r="L43" s="3">
        <v>10</v>
      </c>
      <c r="M43" s="3">
        <v>0</v>
      </c>
    </row>
    <row r="44" spans="2:13" hidden="1" x14ac:dyDescent="0.25">
      <c r="B44" s="33">
        <v>1</v>
      </c>
      <c r="C44" s="33">
        <v>0</v>
      </c>
      <c r="D44" t="s">
        <v>236</v>
      </c>
      <c r="E44" t="s">
        <v>59</v>
      </c>
      <c r="F44" t="s">
        <v>218</v>
      </c>
      <c r="G44" s="3">
        <v>24</v>
      </c>
      <c r="H44" s="3">
        <v>0</v>
      </c>
      <c r="I44" s="3">
        <v>0</v>
      </c>
      <c r="J44" s="3">
        <v>0</v>
      </c>
      <c r="K44" s="3">
        <v>10</v>
      </c>
      <c r="L44" s="3">
        <v>10</v>
      </c>
      <c r="M44" s="3">
        <v>0</v>
      </c>
    </row>
    <row r="45" spans="2:13" hidden="1" x14ac:dyDescent="0.25">
      <c r="B45" s="33">
        <v>1</v>
      </c>
      <c r="C45" s="33">
        <v>0</v>
      </c>
      <c r="D45" s="21" t="s">
        <v>276</v>
      </c>
      <c r="E45" s="21" t="s">
        <v>276</v>
      </c>
      <c r="F45" s="21" t="s">
        <v>285</v>
      </c>
      <c r="G45" s="81">
        <v>25</v>
      </c>
      <c r="H45" s="81">
        <v>0</v>
      </c>
      <c r="I45" s="81">
        <v>0</v>
      </c>
      <c r="J45" s="81">
        <v>0</v>
      </c>
      <c r="K45" s="81">
        <v>10</v>
      </c>
      <c r="L45" s="81">
        <v>10</v>
      </c>
      <c r="M45" s="81">
        <v>0</v>
      </c>
    </row>
    <row r="46" spans="2:13" hidden="1" x14ac:dyDescent="0.25">
      <c r="B46" s="33">
        <v>1</v>
      </c>
      <c r="C46" s="33">
        <v>0</v>
      </c>
      <c r="D46" s="21" t="s">
        <v>276</v>
      </c>
      <c r="E46" s="21" t="s">
        <v>276</v>
      </c>
      <c r="F46" s="21" t="s">
        <v>283</v>
      </c>
      <c r="G46" s="81">
        <v>26</v>
      </c>
      <c r="H46" s="81">
        <v>0</v>
      </c>
      <c r="I46" s="81">
        <v>0</v>
      </c>
      <c r="J46" s="81">
        <v>0</v>
      </c>
      <c r="K46" s="81">
        <v>10</v>
      </c>
      <c r="L46" s="81">
        <v>10</v>
      </c>
      <c r="M46" s="81">
        <v>0</v>
      </c>
    </row>
    <row r="47" spans="2:13" hidden="1" x14ac:dyDescent="0.25">
      <c r="B47" s="33">
        <v>1</v>
      </c>
      <c r="C47" s="33">
        <v>0</v>
      </c>
      <c r="D47" s="21" t="s">
        <v>276</v>
      </c>
      <c r="E47" s="21" t="s">
        <v>276</v>
      </c>
      <c r="F47" s="21" t="s">
        <v>282</v>
      </c>
      <c r="G47" s="81">
        <v>27</v>
      </c>
      <c r="H47" s="81">
        <v>0</v>
      </c>
      <c r="I47" s="81">
        <v>0</v>
      </c>
      <c r="J47" s="81">
        <v>0</v>
      </c>
      <c r="K47" s="81">
        <v>10</v>
      </c>
      <c r="L47" s="81">
        <v>10</v>
      </c>
      <c r="M47" s="81">
        <v>0</v>
      </c>
    </row>
    <row r="48" spans="2:13" hidden="1" x14ac:dyDescent="0.25">
      <c r="B48" s="33">
        <v>1</v>
      </c>
      <c r="C48" s="33">
        <v>0</v>
      </c>
      <c r="D48" s="21" t="s">
        <v>276</v>
      </c>
      <c r="E48" s="21" t="s">
        <v>276</v>
      </c>
      <c r="F48" s="21" t="s">
        <v>281</v>
      </c>
      <c r="G48" s="81">
        <v>28</v>
      </c>
      <c r="H48" s="81">
        <v>0</v>
      </c>
      <c r="I48" s="81">
        <v>0</v>
      </c>
      <c r="J48" s="81">
        <v>0</v>
      </c>
      <c r="K48" s="81">
        <v>10</v>
      </c>
      <c r="L48" s="81">
        <v>10</v>
      </c>
      <c r="M48" s="81">
        <v>0</v>
      </c>
    </row>
    <row r="49" spans="2:13" hidden="1" x14ac:dyDescent="0.25">
      <c r="B49" s="33">
        <v>1</v>
      </c>
      <c r="C49" s="33">
        <v>0</v>
      </c>
      <c r="D49" s="21" t="s">
        <v>276</v>
      </c>
      <c r="E49" s="21" t="s">
        <v>276</v>
      </c>
      <c r="F49" s="21" t="s">
        <v>280</v>
      </c>
      <c r="G49" s="81">
        <v>29</v>
      </c>
      <c r="H49" s="81">
        <v>0</v>
      </c>
      <c r="I49" s="81">
        <v>0</v>
      </c>
      <c r="J49" s="81">
        <v>0</v>
      </c>
      <c r="K49" s="81">
        <v>10</v>
      </c>
      <c r="L49" s="81">
        <v>10</v>
      </c>
      <c r="M49" s="81">
        <v>0</v>
      </c>
    </row>
    <row r="50" spans="2:13" hidden="1" x14ac:dyDescent="0.25">
      <c r="B50" s="33">
        <v>1</v>
      </c>
      <c r="C50" s="33">
        <v>0</v>
      </c>
      <c r="D50" s="21" t="s">
        <v>276</v>
      </c>
      <c r="E50" s="21" t="s">
        <v>276</v>
      </c>
      <c r="F50" s="21" t="s">
        <v>279</v>
      </c>
      <c r="G50" s="81">
        <v>30</v>
      </c>
      <c r="H50" s="81">
        <v>0</v>
      </c>
      <c r="I50" s="81">
        <v>0</v>
      </c>
      <c r="J50" s="81">
        <v>0</v>
      </c>
      <c r="K50" s="81">
        <v>10</v>
      </c>
      <c r="L50" s="81">
        <v>10</v>
      </c>
      <c r="M50" s="81">
        <v>0</v>
      </c>
    </row>
    <row r="51" spans="2:13" hidden="1" x14ac:dyDescent="0.25">
      <c r="B51" s="33">
        <v>1</v>
      </c>
      <c r="C51" s="33">
        <v>0</v>
      </c>
      <c r="D51" s="21" t="s">
        <v>276</v>
      </c>
      <c r="E51" s="21" t="s">
        <v>276</v>
      </c>
      <c r="F51" s="21" t="s">
        <v>278</v>
      </c>
      <c r="G51" s="81">
        <v>31</v>
      </c>
      <c r="H51" s="81">
        <v>0</v>
      </c>
      <c r="I51" s="81">
        <v>0</v>
      </c>
      <c r="J51" s="81">
        <v>0</v>
      </c>
      <c r="K51" s="81">
        <v>10</v>
      </c>
      <c r="L51" s="81">
        <v>10</v>
      </c>
      <c r="M51" s="81">
        <v>0</v>
      </c>
    </row>
    <row r="52" spans="2:13" hidden="1" x14ac:dyDescent="0.25">
      <c r="B52" s="33">
        <v>1</v>
      </c>
      <c r="C52" s="33">
        <v>0</v>
      </c>
      <c r="D52" s="21" t="s">
        <v>276</v>
      </c>
      <c r="E52" s="21" t="s">
        <v>276</v>
      </c>
      <c r="F52" s="21" t="s">
        <v>277</v>
      </c>
      <c r="G52" s="81">
        <v>32</v>
      </c>
      <c r="H52" s="81">
        <v>0</v>
      </c>
      <c r="I52" s="81">
        <v>0</v>
      </c>
      <c r="J52" s="81">
        <v>0</v>
      </c>
      <c r="K52" s="81">
        <v>15</v>
      </c>
      <c r="L52" s="81">
        <v>15</v>
      </c>
      <c r="M52" s="81">
        <v>0</v>
      </c>
    </row>
    <row r="53" spans="2:13" hidden="1" x14ac:dyDescent="0.25">
      <c r="B53" s="33">
        <v>1</v>
      </c>
      <c r="C53" s="33">
        <v>0</v>
      </c>
      <c r="D53" t="s">
        <v>236</v>
      </c>
      <c r="E53" t="s">
        <v>59</v>
      </c>
      <c r="F53" t="s">
        <v>59</v>
      </c>
      <c r="G53" s="3">
        <v>33</v>
      </c>
      <c r="H53" s="3">
        <v>1</v>
      </c>
      <c r="I53" s="3">
        <v>0</v>
      </c>
      <c r="J53" s="3">
        <v>1</v>
      </c>
      <c r="K53" s="3">
        <v>10</v>
      </c>
      <c r="L53" s="3">
        <v>10</v>
      </c>
      <c r="M53" s="3">
        <v>0</v>
      </c>
    </row>
    <row r="54" spans="2:13" hidden="1" x14ac:dyDescent="0.25">
      <c r="B54" s="33">
        <v>1</v>
      </c>
      <c r="C54" s="33">
        <v>0</v>
      </c>
      <c r="D54" t="s">
        <v>236</v>
      </c>
      <c r="E54" t="s">
        <v>59</v>
      </c>
      <c r="F54" t="s">
        <v>217</v>
      </c>
      <c r="G54" s="3">
        <v>34</v>
      </c>
      <c r="H54" s="3">
        <v>0</v>
      </c>
      <c r="I54" s="3">
        <v>0</v>
      </c>
      <c r="J54" s="3">
        <v>0</v>
      </c>
      <c r="K54" s="3">
        <v>10</v>
      </c>
      <c r="L54" s="3">
        <v>10</v>
      </c>
      <c r="M54" s="3">
        <v>0</v>
      </c>
    </row>
    <row r="55" spans="2:13" hidden="1" x14ac:dyDescent="0.25">
      <c r="B55" s="33">
        <v>1</v>
      </c>
      <c r="C55" s="33">
        <v>0</v>
      </c>
      <c r="D55" t="s">
        <v>236</v>
      </c>
      <c r="E55" t="s">
        <v>59</v>
      </c>
      <c r="F55" t="s">
        <v>198</v>
      </c>
      <c r="G55" s="3">
        <v>35</v>
      </c>
      <c r="H55" s="3">
        <v>0</v>
      </c>
      <c r="I55" s="3">
        <v>0</v>
      </c>
      <c r="J55" s="3">
        <v>0</v>
      </c>
      <c r="K55" s="3">
        <v>10</v>
      </c>
      <c r="L55" s="3">
        <v>10</v>
      </c>
      <c r="M55" s="3">
        <v>0</v>
      </c>
    </row>
    <row r="56" spans="2:13" hidden="1" x14ac:dyDescent="0.25">
      <c r="B56" s="33">
        <v>1</v>
      </c>
      <c r="C56" s="33">
        <v>0</v>
      </c>
      <c r="D56" t="s">
        <v>236</v>
      </c>
      <c r="E56" t="s">
        <v>57</v>
      </c>
      <c r="F56" t="s">
        <v>199</v>
      </c>
      <c r="G56" s="3">
        <v>36</v>
      </c>
      <c r="H56" s="3">
        <v>0</v>
      </c>
      <c r="I56" s="3">
        <v>0</v>
      </c>
      <c r="J56" s="3">
        <v>1</v>
      </c>
      <c r="K56" s="3">
        <v>10</v>
      </c>
      <c r="L56" s="3">
        <v>10</v>
      </c>
      <c r="M56" s="3">
        <v>0</v>
      </c>
    </row>
    <row r="57" spans="2:13" hidden="1" x14ac:dyDescent="0.25">
      <c r="B57" s="33">
        <v>1</v>
      </c>
      <c r="C57" s="33">
        <v>0</v>
      </c>
      <c r="D57" t="s">
        <v>236</v>
      </c>
      <c r="E57" t="s">
        <v>57</v>
      </c>
      <c r="F57" t="s">
        <v>57</v>
      </c>
      <c r="G57" s="3">
        <v>37</v>
      </c>
      <c r="H57" s="3">
        <v>1</v>
      </c>
      <c r="I57" s="3">
        <v>1</v>
      </c>
      <c r="J57" s="3">
        <v>1</v>
      </c>
      <c r="K57" s="3">
        <v>10</v>
      </c>
      <c r="L57" s="3">
        <v>10</v>
      </c>
      <c r="M57" s="3">
        <v>0</v>
      </c>
    </row>
    <row r="58" spans="2:13" hidden="1" x14ac:dyDescent="0.25">
      <c r="B58" s="33">
        <v>1</v>
      </c>
      <c r="C58" s="33">
        <v>0</v>
      </c>
      <c r="D58" t="s">
        <v>236</v>
      </c>
      <c r="E58" t="s">
        <v>57</v>
      </c>
      <c r="F58" t="s">
        <v>210</v>
      </c>
      <c r="G58" s="3">
        <v>38</v>
      </c>
      <c r="H58" s="3">
        <v>0</v>
      </c>
      <c r="I58" s="3">
        <v>0</v>
      </c>
      <c r="J58" s="3">
        <v>0</v>
      </c>
      <c r="K58" s="3">
        <v>10</v>
      </c>
      <c r="L58" s="3">
        <v>10</v>
      </c>
      <c r="M58" s="3">
        <v>0</v>
      </c>
    </row>
    <row r="59" spans="2:13" hidden="1" x14ac:dyDescent="0.25">
      <c r="B59" s="33">
        <v>1</v>
      </c>
      <c r="C59" s="33">
        <v>0</v>
      </c>
      <c r="D59" t="s">
        <v>236</v>
      </c>
      <c r="E59" t="s">
        <v>57</v>
      </c>
      <c r="F59" t="s">
        <v>211</v>
      </c>
      <c r="G59" s="3">
        <v>39</v>
      </c>
      <c r="H59" s="3">
        <v>0</v>
      </c>
      <c r="I59" s="3">
        <v>0</v>
      </c>
      <c r="J59" s="3">
        <v>0</v>
      </c>
      <c r="K59" s="3">
        <v>10</v>
      </c>
      <c r="L59" s="3">
        <v>10</v>
      </c>
      <c r="M59" s="3">
        <v>0</v>
      </c>
    </row>
    <row r="60" spans="2:13" hidden="1" x14ac:dyDescent="0.25">
      <c r="B60" s="33">
        <v>1</v>
      </c>
      <c r="C60" s="33">
        <v>0</v>
      </c>
      <c r="D60" t="s">
        <v>236</v>
      </c>
      <c r="E60" t="s">
        <v>57</v>
      </c>
      <c r="F60" t="s">
        <v>206</v>
      </c>
      <c r="G60" s="3">
        <v>40</v>
      </c>
      <c r="H60" s="3">
        <v>0</v>
      </c>
      <c r="I60" s="3">
        <v>0</v>
      </c>
      <c r="J60" s="3">
        <v>0</v>
      </c>
      <c r="K60" s="3">
        <v>10</v>
      </c>
      <c r="L60" s="3">
        <v>10</v>
      </c>
      <c r="M60" s="3">
        <v>0</v>
      </c>
    </row>
    <row r="61" spans="2:13" hidden="1" x14ac:dyDescent="0.25">
      <c r="B61" s="33">
        <v>1</v>
      </c>
      <c r="C61" s="33">
        <v>0</v>
      </c>
      <c r="D61" t="s">
        <v>236</v>
      </c>
      <c r="E61" t="s">
        <v>57</v>
      </c>
      <c r="F61" t="s">
        <v>207</v>
      </c>
      <c r="G61" s="3">
        <v>41</v>
      </c>
      <c r="H61" s="3">
        <v>0</v>
      </c>
      <c r="I61" s="3">
        <v>0</v>
      </c>
      <c r="J61" s="3">
        <v>0</v>
      </c>
      <c r="K61" s="3">
        <v>10</v>
      </c>
      <c r="L61" s="3">
        <v>10</v>
      </c>
      <c r="M61" s="3">
        <v>0</v>
      </c>
    </row>
    <row r="62" spans="2:13" hidden="1" x14ac:dyDescent="0.25">
      <c r="B62" s="33">
        <v>1</v>
      </c>
      <c r="C62" s="33">
        <v>0</v>
      </c>
      <c r="D62" t="s">
        <v>236</v>
      </c>
      <c r="E62" t="s">
        <v>57</v>
      </c>
      <c r="F62" t="s">
        <v>216</v>
      </c>
      <c r="G62" s="3">
        <v>42</v>
      </c>
      <c r="H62" s="3">
        <v>0</v>
      </c>
      <c r="I62" s="3">
        <v>0</v>
      </c>
      <c r="J62" s="3">
        <v>0</v>
      </c>
      <c r="K62" s="3">
        <v>10</v>
      </c>
      <c r="L62" s="3">
        <v>10</v>
      </c>
      <c r="M62" s="3">
        <v>0</v>
      </c>
    </row>
  </sheetData>
  <mergeCells count="2">
    <mergeCell ref="A1:Z3"/>
    <mergeCell ref="K4:L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C87E6-85B5-4089-804E-7F7D7E2D7372}">
  <sheetPr codeName="Sheet9">
    <tabColor theme="8" tint="0.79998168889431442"/>
  </sheetPr>
  <dimension ref="A1:L66"/>
  <sheetViews>
    <sheetView workbookViewId="0">
      <selection activeCell="F1" sqref="F1:F1048576"/>
    </sheetView>
  </sheetViews>
  <sheetFormatPr defaultRowHeight="15" x14ac:dyDescent="0.25"/>
  <cols>
    <col min="2" max="2" width="9.7109375" bestFit="1" customWidth="1"/>
    <col min="3" max="3" width="21.7109375" bestFit="1" customWidth="1"/>
  </cols>
  <sheetData>
    <row r="1" spans="1:12" x14ac:dyDescent="0.25">
      <c r="A1" s="32" t="s">
        <v>195</v>
      </c>
      <c r="B1" s="32" t="s">
        <v>196</v>
      </c>
      <c r="C1" s="4" t="s">
        <v>5</v>
      </c>
      <c r="D1" s="4" t="s">
        <v>6</v>
      </c>
      <c r="E1" s="4" t="s">
        <v>7</v>
      </c>
      <c r="F1" s="5" t="s">
        <v>9</v>
      </c>
      <c r="G1" s="5" t="s">
        <v>10</v>
      </c>
      <c r="H1" s="5" t="s">
        <v>11</v>
      </c>
      <c r="I1" s="5" t="s">
        <v>12</v>
      </c>
      <c r="J1" s="5" t="s">
        <v>13</v>
      </c>
      <c r="K1" s="5" t="s">
        <v>14</v>
      </c>
      <c r="L1" s="5" t="s">
        <v>52</v>
      </c>
    </row>
    <row r="2" spans="1:12" x14ac:dyDescent="0.25">
      <c r="A2" s="33">
        <v>0</v>
      </c>
      <c r="B2" s="33">
        <v>0</v>
      </c>
      <c r="C2" t="s">
        <v>15</v>
      </c>
      <c r="D2" t="s">
        <v>2</v>
      </c>
      <c r="E2" t="s">
        <v>226</v>
      </c>
      <c r="F2" s="3">
        <v>0</v>
      </c>
      <c r="G2" s="3">
        <v>0</v>
      </c>
      <c r="H2" s="3">
        <v>0</v>
      </c>
      <c r="I2" s="3">
        <v>0</v>
      </c>
      <c r="J2" s="3">
        <v>15</v>
      </c>
      <c r="K2" s="3">
        <v>15</v>
      </c>
      <c r="L2" s="3">
        <v>0</v>
      </c>
    </row>
    <row r="3" spans="1:12" x14ac:dyDescent="0.25">
      <c r="A3" s="33">
        <v>0</v>
      </c>
      <c r="B3" s="33">
        <v>0</v>
      </c>
      <c r="C3" t="s">
        <v>15</v>
      </c>
      <c r="D3" t="s">
        <v>2</v>
      </c>
      <c r="E3" t="s">
        <v>212</v>
      </c>
      <c r="F3" s="3">
        <v>1</v>
      </c>
      <c r="G3" s="3">
        <v>0</v>
      </c>
      <c r="H3" s="3">
        <v>1</v>
      </c>
      <c r="I3" s="3">
        <v>0</v>
      </c>
      <c r="J3" s="3">
        <v>5</v>
      </c>
      <c r="K3" s="3">
        <v>5</v>
      </c>
      <c r="L3" s="3">
        <v>1</v>
      </c>
    </row>
    <row r="4" spans="1:12" x14ac:dyDescent="0.25">
      <c r="A4" s="33">
        <v>0</v>
      </c>
      <c r="B4" s="33">
        <v>0</v>
      </c>
      <c r="C4" t="s">
        <v>15</v>
      </c>
      <c r="D4" t="s">
        <v>2</v>
      </c>
      <c r="E4" t="s">
        <v>213</v>
      </c>
      <c r="F4" s="3">
        <v>2</v>
      </c>
      <c r="G4" s="3">
        <v>0</v>
      </c>
      <c r="H4" s="3">
        <v>0</v>
      </c>
      <c r="I4" s="3">
        <v>0</v>
      </c>
      <c r="J4" s="3">
        <v>14</v>
      </c>
      <c r="K4" s="3">
        <v>14</v>
      </c>
      <c r="L4" s="3">
        <v>0</v>
      </c>
    </row>
    <row r="5" spans="1:12" x14ac:dyDescent="0.25">
      <c r="A5" s="33">
        <v>0</v>
      </c>
      <c r="B5" s="33">
        <v>0</v>
      </c>
      <c r="C5" t="s">
        <v>15</v>
      </c>
      <c r="D5" t="s">
        <v>2</v>
      </c>
      <c r="E5" t="s">
        <v>221</v>
      </c>
      <c r="F5" s="3">
        <v>3</v>
      </c>
      <c r="G5" s="3">
        <v>0</v>
      </c>
      <c r="H5" s="3">
        <v>0</v>
      </c>
      <c r="I5" s="3">
        <v>0</v>
      </c>
      <c r="J5" s="3">
        <v>10</v>
      </c>
      <c r="K5" s="3">
        <v>10</v>
      </c>
      <c r="L5" s="3">
        <v>0</v>
      </c>
    </row>
    <row r="6" spans="1:12" x14ac:dyDescent="0.25">
      <c r="A6" s="33">
        <v>0</v>
      </c>
      <c r="B6" s="33">
        <v>0</v>
      </c>
      <c r="C6" t="s">
        <v>15</v>
      </c>
      <c r="D6" t="s">
        <v>2</v>
      </c>
      <c r="E6" t="s">
        <v>220</v>
      </c>
      <c r="F6" s="3">
        <v>4</v>
      </c>
      <c r="G6" s="3">
        <v>0</v>
      </c>
      <c r="H6" s="3">
        <v>0</v>
      </c>
      <c r="I6" s="3">
        <v>0</v>
      </c>
      <c r="J6" s="3">
        <v>13</v>
      </c>
      <c r="K6" s="3">
        <v>13</v>
      </c>
      <c r="L6" s="3">
        <v>0</v>
      </c>
    </row>
    <row r="7" spans="1:12" x14ac:dyDescent="0.25">
      <c r="A7" s="33">
        <v>0</v>
      </c>
      <c r="B7" s="33">
        <v>0</v>
      </c>
      <c r="C7" t="s">
        <v>15</v>
      </c>
      <c r="D7" t="s">
        <v>2</v>
      </c>
      <c r="E7" t="s">
        <v>214</v>
      </c>
      <c r="F7" s="3">
        <v>5</v>
      </c>
      <c r="G7" s="3">
        <v>0</v>
      </c>
      <c r="H7" s="3">
        <v>0</v>
      </c>
      <c r="I7" s="3">
        <v>0</v>
      </c>
      <c r="J7" s="3">
        <v>28</v>
      </c>
      <c r="K7" s="3">
        <v>28</v>
      </c>
      <c r="L7" s="3">
        <v>0</v>
      </c>
    </row>
    <row r="8" spans="1:12" x14ac:dyDescent="0.25">
      <c r="A8" s="81">
        <v>0</v>
      </c>
      <c r="B8" s="81">
        <v>0</v>
      </c>
      <c r="C8" s="21" t="s">
        <v>307</v>
      </c>
      <c r="D8" s="21" t="s">
        <v>307</v>
      </c>
      <c r="E8" s="21" t="s">
        <v>300</v>
      </c>
      <c r="F8" s="81">
        <v>1</v>
      </c>
      <c r="G8" s="81">
        <v>0</v>
      </c>
      <c r="H8" s="81">
        <v>0</v>
      </c>
      <c r="I8" s="81">
        <v>0</v>
      </c>
      <c r="J8" s="81">
        <v>10</v>
      </c>
      <c r="K8" s="81">
        <v>10</v>
      </c>
      <c r="L8" s="81">
        <v>0</v>
      </c>
    </row>
    <row r="9" spans="1:12" x14ac:dyDescent="0.25">
      <c r="A9" s="81">
        <v>0</v>
      </c>
      <c r="B9" s="81">
        <v>0</v>
      </c>
      <c r="C9" s="21" t="s">
        <v>307</v>
      </c>
      <c r="D9" s="21" t="s">
        <v>307</v>
      </c>
      <c r="E9" s="21" t="s">
        <v>301</v>
      </c>
      <c r="F9" s="81">
        <v>2</v>
      </c>
      <c r="G9" s="81">
        <v>0</v>
      </c>
      <c r="H9" s="81">
        <v>0</v>
      </c>
      <c r="I9" s="81">
        <v>0</v>
      </c>
      <c r="J9" s="81">
        <v>10</v>
      </c>
      <c r="K9" s="81">
        <v>10</v>
      </c>
      <c r="L9" s="81">
        <v>0</v>
      </c>
    </row>
    <row r="10" spans="1:12" x14ac:dyDescent="0.25">
      <c r="A10" s="81">
        <v>0</v>
      </c>
      <c r="B10" s="81">
        <v>0</v>
      </c>
      <c r="C10" s="21" t="s">
        <v>307</v>
      </c>
      <c r="D10" s="21" t="s">
        <v>307</v>
      </c>
      <c r="E10" s="21" t="s">
        <v>302</v>
      </c>
      <c r="F10" s="81">
        <v>3</v>
      </c>
      <c r="G10" s="81">
        <v>0</v>
      </c>
      <c r="H10" s="81">
        <v>0</v>
      </c>
      <c r="I10" s="81">
        <v>0</v>
      </c>
      <c r="J10" s="81">
        <v>10</v>
      </c>
      <c r="K10" s="81">
        <v>10</v>
      </c>
      <c r="L10" s="81">
        <v>0</v>
      </c>
    </row>
    <row r="11" spans="1:12" x14ac:dyDescent="0.25">
      <c r="A11" s="81">
        <v>0</v>
      </c>
      <c r="B11" s="81">
        <v>0</v>
      </c>
      <c r="C11" s="21" t="s">
        <v>307</v>
      </c>
      <c r="D11" s="21" t="s">
        <v>307</v>
      </c>
      <c r="E11" s="21" t="s">
        <v>303</v>
      </c>
      <c r="F11" s="81">
        <v>4</v>
      </c>
      <c r="G11" s="81">
        <v>0</v>
      </c>
      <c r="H11" s="81">
        <v>0</v>
      </c>
      <c r="I11" s="81">
        <v>0</v>
      </c>
      <c r="J11" s="81">
        <v>10</v>
      </c>
      <c r="K11" s="81">
        <v>10</v>
      </c>
      <c r="L11" s="81">
        <v>0</v>
      </c>
    </row>
    <row r="12" spans="1:12" x14ac:dyDescent="0.25">
      <c r="A12" s="81">
        <v>0</v>
      </c>
      <c r="B12" s="81">
        <v>0</v>
      </c>
      <c r="C12" s="21" t="s">
        <v>307</v>
      </c>
      <c r="D12" s="21" t="s">
        <v>307</v>
      </c>
      <c r="E12" s="21" t="s">
        <v>304</v>
      </c>
      <c r="F12" s="81">
        <v>5</v>
      </c>
      <c r="G12" s="81">
        <v>0</v>
      </c>
      <c r="H12" s="81">
        <v>0</v>
      </c>
      <c r="I12" s="81">
        <v>0</v>
      </c>
      <c r="J12" s="81">
        <v>10</v>
      </c>
      <c r="K12" s="81">
        <v>10</v>
      </c>
      <c r="L12" s="81">
        <v>0</v>
      </c>
    </row>
    <row r="13" spans="1:12" x14ac:dyDescent="0.25">
      <c r="A13" s="81">
        <v>0</v>
      </c>
      <c r="B13" s="81">
        <v>0</v>
      </c>
      <c r="C13" s="21" t="s">
        <v>307</v>
      </c>
      <c r="D13" s="21" t="s">
        <v>307</v>
      </c>
      <c r="E13" s="21" t="s">
        <v>305</v>
      </c>
      <c r="F13" s="81">
        <v>6</v>
      </c>
      <c r="G13" s="81">
        <v>0</v>
      </c>
      <c r="H13" s="81">
        <v>0</v>
      </c>
      <c r="I13" s="81">
        <v>0</v>
      </c>
      <c r="J13" s="81">
        <v>10</v>
      </c>
      <c r="K13" s="81">
        <v>10</v>
      </c>
      <c r="L13" s="81">
        <v>0</v>
      </c>
    </row>
    <row r="14" spans="1:12" x14ac:dyDescent="0.25">
      <c r="A14" s="81">
        <v>0</v>
      </c>
      <c r="B14" s="81">
        <v>0</v>
      </c>
      <c r="C14" s="21" t="s">
        <v>307</v>
      </c>
      <c r="D14" s="21" t="s">
        <v>307</v>
      </c>
      <c r="E14" s="21" t="s">
        <v>298</v>
      </c>
      <c r="F14" s="81">
        <v>7</v>
      </c>
      <c r="G14" s="81">
        <v>0</v>
      </c>
      <c r="H14" s="81">
        <v>0</v>
      </c>
      <c r="I14" s="81">
        <v>0</v>
      </c>
      <c r="J14" s="81">
        <v>10</v>
      </c>
      <c r="K14" s="81">
        <v>10</v>
      </c>
      <c r="L14" s="81">
        <v>0</v>
      </c>
    </row>
    <row r="15" spans="1:12" x14ac:dyDescent="0.25">
      <c r="A15" s="81">
        <v>0</v>
      </c>
      <c r="B15" s="81">
        <v>0</v>
      </c>
      <c r="C15" s="21" t="s">
        <v>307</v>
      </c>
      <c r="D15" s="21" t="s">
        <v>307</v>
      </c>
      <c r="E15" s="21" t="s">
        <v>306</v>
      </c>
      <c r="F15" s="81">
        <v>8</v>
      </c>
      <c r="G15" s="81">
        <v>0</v>
      </c>
      <c r="H15" s="81">
        <v>0</v>
      </c>
      <c r="I15" s="81">
        <v>0</v>
      </c>
      <c r="J15" s="81">
        <v>10</v>
      </c>
      <c r="K15" s="81">
        <v>10</v>
      </c>
      <c r="L15" s="81">
        <v>0</v>
      </c>
    </row>
    <row r="16" spans="1:12" x14ac:dyDescent="0.25">
      <c r="A16" s="33">
        <v>0</v>
      </c>
      <c r="B16" s="33">
        <v>0</v>
      </c>
      <c r="C16" t="s">
        <v>15</v>
      </c>
      <c r="D16" t="s">
        <v>2</v>
      </c>
      <c r="E16" t="s">
        <v>215</v>
      </c>
      <c r="F16" s="3">
        <v>6</v>
      </c>
      <c r="G16" s="3">
        <v>0</v>
      </c>
      <c r="H16" s="3">
        <v>1</v>
      </c>
      <c r="I16" s="3">
        <v>0</v>
      </c>
      <c r="J16" s="3">
        <v>9</v>
      </c>
      <c r="K16" s="3">
        <v>9</v>
      </c>
      <c r="L16" s="3">
        <v>1</v>
      </c>
    </row>
    <row r="17" spans="1:12" x14ac:dyDescent="0.25">
      <c r="A17" s="33">
        <v>0</v>
      </c>
      <c r="B17" s="33">
        <v>1</v>
      </c>
      <c r="C17" t="s">
        <v>15</v>
      </c>
      <c r="D17" t="s">
        <v>2</v>
      </c>
      <c r="E17" t="s">
        <v>2</v>
      </c>
      <c r="F17" s="3">
        <v>7</v>
      </c>
      <c r="G17" s="3">
        <v>1</v>
      </c>
      <c r="H17" s="3">
        <v>1</v>
      </c>
      <c r="I17" s="3">
        <v>1</v>
      </c>
      <c r="J17" s="3">
        <v>13</v>
      </c>
      <c r="K17" s="3">
        <v>13</v>
      </c>
      <c r="L17" s="3">
        <v>1</v>
      </c>
    </row>
    <row r="18" spans="1:12" x14ac:dyDescent="0.25">
      <c r="A18" s="33">
        <v>0</v>
      </c>
      <c r="B18" s="33">
        <v>1</v>
      </c>
      <c r="C18" t="s">
        <v>15</v>
      </c>
      <c r="D18" t="s">
        <v>2</v>
      </c>
      <c r="E18" t="s">
        <v>208</v>
      </c>
      <c r="F18" s="3">
        <v>8</v>
      </c>
      <c r="G18" s="3">
        <v>0</v>
      </c>
      <c r="H18" s="3">
        <v>1</v>
      </c>
      <c r="I18" s="3">
        <v>1</v>
      </c>
      <c r="J18" s="3">
        <v>13</v>
      </c>
      <c r="K18" s="3">
        <v>13</v>
      </c>
      <c r="L18" s="3">
        <v>1</v>
      </c>
    </row>
    <row r="19" spans="1:12" x14ac:dyDescent="0.25">
      <c r="A19" s="33">
        <v>0</v>
      </c>
      <c r="B19" s="33">
        <v>1</v>
      </c>
      <c r="C19" t="s">
        <v>15</v>
      </c>
      <c r="D19" t="s">
        <v>2</v>
      </c>
      <c r="E19" t="s">
        <v>228</v>
      </c>
      <c r="F19" s="3">
        <v>9</v>
      </c>
      <c r="G19" s="3">
        <v>0</v>
      </c>
      <c r="H19" s="3">
        <v>0</v>
      </c>
      <c r="I19" s="3">
        <v>0</v>
      </c>
      <c r="J19" s="3">
        <v>18</v>
      </c>
      <c r="K19" s="3">
        <v>18</v>
      </c>
      <c r="L19" s="3">
        <v>0</v>
      </c>
    </row>
    <row r="20" spans="1:12" x14ac:dyDescent="0.25">
      <c r="A20" s="33">
        <v>0</v>
      </c>
      <c r="B20" s="33">
        <v>1</v>
      </c>
      <c r="C20" t="s">
        <v>15</v>
      </c>
      <c r="D20" t="s">
        <v>2</v>
      </c>
      <c r="E20" t="s">
        <v>200</v>
      </c>
      <c r="F20" s="3">
        <v>10</v>
      </c>
      <c r="G20" s="3">
        <v>0</v>
      </c>
      <c r="H20" s="3">
        <v>0</v>
      </c>
      <c r="I20" s="3">
        <v>0</v>
      </c>
      <c r="J20" s="3">
        <v>4</v>
      </c>
      <c r="K20" s="3">
        <v>4</v>
      </c>
      <c r="L20" s="3">
        <v>0</v>
      </c>
    </row>
    <row r="21" spans="1:12" x14ac:dyDescent="0.25">
      <c r="A21" s="33">
        <v>0</v>
      </c>
      <c r="B21" s="33">
        <v>1</v>
      </c>
      <c r="C21" t="s">
        <v>15</v>
      </c>
      <c r="D21" t="s">
        <v>2</v>
      </c>
      <c r="E21" t="s">
        <v>203</v>
      </c>
      <c r="F21" s="3">
        <v>11</v>
      </c>
      <c r="G21" s="3">
        <v>0</v>
      </c>
      <c r="H21" s="3">
        <v>0</v>
      </c>
      <c r="I21" s="3">
        <v>0</v>
      </c>
      <c r="J21" s="3">
        <v>8</v>
      </c>
      <c r="K21" s="3">
        <v>8</v>
      </c>
      <c r="L21" s="3">
        <v>1</v>
      </c>
    </row>
    <row r="22" spans="1:12" x14ac:dyDescent="0.25">
      <c r="A22" s="33">
        <v>1</v>
      </c>
      <c r="B22" s="33">
        <v>0</v>
      </c>
      <c r="C22" t="s">
        <v>236</v>
      </c>
      <c r="D22" t="s">
        <v>0</v>
      </c>
      <c r="E22" t="s">
        <v>223</v>
      </c>
      <c r="F22" s="3">
        <v>1</v>
      </c>
      <c r="G22" s="3">
        <v>0</v>
      </c>
      <c r="H22" s="3">
        <v>0</v>
      </c>
      <c r="I22" s="3">
        <v>0</v>
      </c>
      <c r="J22" s="3">
        <v>10</v>
      </c>
      <c r="K22" s="3">
        <v>10</v>
      </c>
      <c r="L22" s="3">
        <v>0</v>
      </c>
    </row>
    <row r="23" spans="1:12" x14ac:dyDescent="0.25">
      <c r="A23" s="33">
        <v>1</v>
      </c>
      <c r="B23" s="33">
        <v>0</v>
      </c>
      <c r="C23" t="s">
        <v>236</v>
      </c>
      <c r="D23" t="s">
        <v>0</v>
      </c>
      <c r="E23" t="s">
        <v>224</v>
      </c>
      <c r="F23" s="3">
        <v>2</v>
      </c>
      <c r="G23" s="3">
        <v>0</v>
      </c>
      <c r="H23" s="3">
        <v>0</v>
      </c>
      <c r="I23" s="3">
        <v>0</v>
      </c>
      <c r="J23" s="3">
        <v>10</v>
      </c>
      <c r="K23" s="3">
        <v>10</v>
      </c>
      <c r="L23" s="3">
        <v>0</v>
      </c>
    </row>
    <row r="24" spans="1:12" x14ac:dyDescent="0.25">
      <c r="A24" s="33">
        <v>1</v>
      </c>
      <c r="B24" s="33">
        <v>0</v>
      </c>
      <c r="C24" t="s">
        <v>236</v>
      </c>
      <c r="D24" t="s">
        <v>0</v>
      </c>
      <c r="E24" t="s">
        <v>225</v>
      </c>
      <c r="F24" s="3">
        <v>3</v>
      </c>
      <c r="G24" s="3">
        <v>0</v>
      </c>
      <c r="H24" s="3">
        <v>0</v>
      </c>
      <c r="I24" s="3">
        <v>0</v>
      </c>
      <c r="J24" s="3">
        <v>10</v>
      </c>
      <c r="K24" s="3">
        <v>10</v>
      </c>
      <c r="L24" s="3">
        <v>0</v>
      </c>
    </row>
    <row r="25" spans="1:12" x14ac:dyDescent="0.25">
      <c r="A25" s="33">
        <v>1</v>
      </c>
      <c r="B25" s="33">
        <v>0</v>
      </c>
      <c r="C25" t="s">
        <v>236</v>
      </c>
      <c r="D25" t="s">
        <v>0</v>
      </c>
      <c r="E25" t="s">
        <v>201</v>
      </c>
      <c r="F25" s="3">
        <v>4</v>
      </c>
      <c r="G25" s="3">
        <v>0</v>
      </c>
      <c r="H25" s="3">
        <v>1</v>
      </c>
      <c r="I25" s="3">
        <v>1</v>
      </c>
      <c r="J25" s="3">
        <v>10</v>
      </c>
      <c r="K25" s="3">
        <v>10</v>
      </c>
      <c r="L25" s="3">
        <v>0</v>
      </c>
    </row>
    <row r="26" spans="1:12" x14ac:dyDescent="0.25">
      <c r="A26" s="33">
        <v>1</v>
      </c>
      <c r="B26" s="33">
        <v>0</v>
      </c>
      <c r="C26" t="s">
        <v>236</v>
      </c>
      <c r="D26" t="s">
        <v>0</v>
      </c>
      <c r="E26" t="s">
        <v>202</v>
      </c>
      <c r="F26" s="3">
        <v>5</v>
      </c>
      <c r="G26" s="3">
        <v>0</v>
      </c>
      <c r="H26" s="3">
        <v>0</v>
      </c>
      <c r="I26" s="3">
        <v>1</v>
      </c>
      <c r="J26" s="3">
        <v>10</v>
      </c>
      <c r="K26" s="3">
        <v>10</v>
      </c>
      <c r="L26" s="3">
        <v>0</v>
      </c>
    </row>
    <row r="27" spans="1:12" x14ac:dyDescent="0.25">
      <c r="A27" s="33">
        <v>1</v>
      </c>
      <c r="B27" s="33">
        <v>0</v>
      </c>
      <c r="C27" t="s">
        <v>236</v>
      </c>
      <c r="D27" t="s">
        <v>0</v>
      </c>
      <c r="E27" t="s">
        <v>227</v>
      </c>
      <c r="F27" s="3">
        <v>6</v>
      </c>
      <c r="G27" s="3">
        <v>0</v>
      </c>
      <c r="H27" s="3">
        <v>0</v>
      </c>
      <c r="I27" s="3">
        <v>1</v>
      </c>
      <c r="J27" s="3">
        <v>20</v>
      </c>
      <c r="K27" s="3">
        <v>20</v>
      </c>
      <c r="L27" s="3">
        <v>0</v>
      </c>
    </row>
    <row r="28" spans="1:12" x14ac:dyDescent="0.25">
      <c r="A28" s="33">
        <v>1</v>
      </c>
      <c r="B28" s="33">
        <v>0</v>
      </c>
      <c r="C28" t="s">
        <v>236</v>
      </c>
      <c r="D28" t="s">
        <v>0</v>
      </c>
      <c r="E28" t="s">
        <v>222</v>
      </c>
      <c r="F28" s="3">
        <v>7</v>
      </c>
      <c r="G28" s="3">
        <v>0</v>
      </c>
      <c r="H28" s="3">
        <v>0</v>
      </c>
      <c r="I28" s="3">
        <v>0</v>
      </c>
      <c r="J28" s="3">
        <v>10</v>
      </c>
      <c r="K28" s="3">
        <v>10</v>
      </c>
      <c r="L28" s="3">
        <v>0</v>
      </c>
    </row>
    <row r="29" spans="1:12" x14ac:dyDescent="0.25">
      <c r="A29" s="33">
        <v>1</v>
      </c>
      <c r="B29" s="33">
        <v>0</v>
      </c>
      <c r="C29" t="s">
        <v>236</v>
      </c>
      <c r="D29" t="s">
        <v>0</v>
      </c>
      <c r="E29" t="s">
        <v>197</v>
      </c>
      <c r="F29" s="3">
        <v>8</v>
      </c>
      <c r="G29" s="3">
        <v>0</v>
      </c>
      <c r="H29" s="3">
        <v>0</v>
      </c>
      <c r="I29" s="3">
        <v>0</v>
      </c>
      <c r="J29" s="3">
        <v>50</v>
      </c>
      <c r="K29" s="3">
        <v>50</v>
      </c>
      <c r="L29" s="3">
        <v>0</v>
      </c>
    </row>
    <row r="30" spans="1:12" x14ac:dyDescent="0.25">
      <c r="A30" s="33">
        <v>1</v>
      </c>
      <c r="B30" s="33">
        <v>0</v>
      </c>
      <c r="C30" s="21" t="s">
        <v>292</v>
      </c>
      <c r="D30" s="21" t="s">
        <v>292</v>
      </c>
      <c r="E30" s="21" t="s">
        <v>298</v>
      </c>
      <c r="F30" s="81">
        <v>1</v>
      </c>
      <c r="G30" s="81">
        <v>0</v>
      </c>
      <c r="H30" s="81">
        <v>0</v>
      </c>
      <c r="I30" s="81">
        <v>0</v>
      </c>
      <c r="J30" s="81">
        <v>10</v>
      </c>
      <c r="K30" s="81">
        <v>10</v>
      </c>
      <c r="L30" s="81">
        <v>0</v>
      </c>
    </row>
    <row r="31" spans="1:12" x14ac:dyDescent="0.25">
      <c r="A31" s="33">
        <v>1</v>
      </c>
      <c r="B31" s="33">
        <v>0</v>
      </c>
      <c r="C31" s="21" t="s">
        <v>292</v>
      </c>
      <c r="D31" s="21" t="s">
        <v>292</v>
      </c>
      <c r="E31" s="21" t="s">
        <v>293</v>
      </c>
      <c r="F31" s="81">
        <v>2</v>
      </c>
      <c r="G31" s="81">
        <v>0</v>
      </c>
      <c r="H31" s="81">
        <v>0</v>
      </c>
      <c r="I31" s="81">
        <v>0</v>
      </c>
      <c r="J31" s="81">
        <v>10</v>
      </c>
      <c r="K31" s="81">
        <v>10</v>
      </c>
      <c r="L31" s="81">
        <v>0</v>
      </c>
    </row>
    <row r="32" spans="1:12" x14ac:dyDescent="0.25">
      <c r="A32" s="33">
        <v>1</v>
      </c>
      <c r="B32" s="33">
        <v>0</v>
      </c>
      <c r="C32" s="21" t="s">
        <v>292</v>
      </c>
      <c r="D32" s="21" t="s">
        <v>292</v>
      </c>
      <c r="E32" s="21" t="s">
        <v>299</v>
      </c>
      <c r="F32" s="81">
        <v>3</v>
      </c>
      <c r="G32" s="81">
        <v>0</v>
      </c>
      <c r="H32" s="81">
        <v>0</v>
      </c>
      <c r="I32" s="81">
        <v>0</v>
      </c>
      <c r="J32" s="81">
        <v>10</v>
      </c>
      <c r="K32" s="81">
        <v>10</v>
      </c>
      <c r="L32" s="81">
        <v>0</v>
      </c>
    </row>
    <row r="33" spans="1:12" x14ac:dyDescent="0.25">
      <c r="A33" s="33">
        <v>1</v>
      </c>
      <c r="B33" s="33">
        <v>0</v>
      </c>
      <c r="C33" s="21" t="s">
        <v>292</v>
      </c>
      <c r="D33" s="21" t="s">
        <v>292</v>
      </c>
      <c r="E33" s="21" t="s">
        <v>294</v>
      </c>
      <c r="F33" s="81">
        <v>4</v>
      </c>
      <c r="G33" s="81">
        <v>0</v>
      </c>
      <c r="H33" s="81">
        <v>0</v>
      </c>
      <c r="I33" s="81">
        <v>0</v>
      </c>
      <c r="J33" s="81">
        <v>10</v>
      </c>
      <c r="K33" s="81">
        <v>10</v>
      </c>
      <c r="L33" s="81">
        <v>0</v>
      </c>
    </row>
    <row r="34" spans="1:12" x14ac:dyDescent="0.25">
      <c r="A34" s="33">
        <v>1</v>
      </c>
      <c r="B34" s="33">
        <v>0</v>
      </c>
      <c r="C34" s="21" t="s">
        <v>292</v>
      </c>
      <c r="D34" s="21" t="s">
        <v>292</v>
      </c>
      <c r="E34" s="21" t="s">
        <v>295</v>
      </c>
      <c r="F34" s="81">
        <v>5</v>
      </c>
      <c r="G34" s="81">
        <v>0</v>
      </c>
      <c r="H34" s="81">
        <v>0</v>
      </c>
      <c r="I34" s="81">
        <v>0</v>
      </c>
      <c r="J34" s="81">
        <v>10</v>
      </c>
      <c r="K34" s="81">
        <v>10</v>
      </c>
      <c r="L34" s="81">
        <v>0</v>
      </c>
    </row>
    <row r="35" spans="1:12" x14ac:dyDescent="0.25">
      <c r="A35" s="33">
        <v>1</v>
      </c>
      <c r="B35" s="33">
        <v>0</v>
      </c>
      <c r="C35" t="s">
        <v>236</v>
      </c>
      <c r="D35" t="s">
        <v>0</v>
      </c>
      <c r="E35" t="s">
        <v>0</v>
      </c>
      <c r="F35" s="3">
        <v>9</v>
      </c>
      <c r="G35" s="3">
        <v>1</v>
      </c>
      <c r="H35" s="3">
        <v>1</v>
      </c>
      <c r="I35" s="3">
        <v>1</v>
      </c>
      <c r="J35" s="3">
        <v>15</v>
      </c>
      <c r="K35" s="3">
        <v>15</v>
      </c>
      <c r="L35" s="3">
        <v>0</v>
      </c>
    </row>
    <row r="36" spans="1:12" x14ac:dyDescent="0.25">
      <c r="A36" s="33">
        <v>1</v>
      </c>
      <c r="B36" s="33">
        <v>0</v>
      </c>
      <c r="C36" t="s">
        <v>236</v>
      </c>
      <c r="D36" t="s">
        <v>0</v>
      </c>
      <c r="E36" t="s">
        <v>204</v>
      </c>
      <c r="F36" s="3">
        <v>10</v>
      </c>
      <c r="G36" s="3">
        <v>0</v>
      </c>
      <c r="H36" s="3">
        <v>0</v>
      </c>
      <c r="I36" s="3">
        <v>0</v>
      </c>
      <c r="J36" s="3">
        <v>10</v>
      </c>
      <c r="K36" s="3">
        <v>10</v>
      </c>
      <c r="L36" s="3">
        <v>0</v>
      </c>
    </row>
    <row r="37" spans="1:12" x14ac:dyDescent="0.25">
      <c r="A37" s="33">
        <v>1</v>
      </c>
      <c r="B37" s="33">
        <v>0</v>
      </c>
      <c r="C37" t="s">
        <v>236</v>
      </c>
      <c r="D37" t="s">
        <v>231</v>
      </c>
      <c r="E37" t="s">
        <v>205</v>
      </c>
      <c r="F37" s="3">
        <v>11</v>
      </c>
      <c r="G37" s="3">
        <v>1</v>
      </c>
      <c r="H37" s="3">
        <v>1</v>
      </c>
      <c r="I37" s="3">
        <v>1</v>
      </c>
      <c r="J37" s="3">
        <v>10</v>
      </c>
      <c r="K37" s="3">
        <v>10</v>
      </c>
      <c r="L37" s="3">
        <v>0</v>
      </c>
    </row>
    <row r="38" spans="1:12" x14ac:dyDescent="0.25">
      <c r="A38" s="33">
        <v>1</v>
      </c>
      <c r="B38" s="33">
        <v>0</v>
      </c>
      <c r="C38" t="s">
        <v>236</v>
      </c>
      <c r="D38" t="s">
        <v>231</v>
      </c>
      <c r="E38" t="s">
        <v>209</v>
      </c>
      <c r="F38" s="3">
        <v>12</v>
      </c>
      <c r="G38" s="3">
        <v>0</v>
      </c>
      <c r="H38" s="3">
        <v>0</v>
      </c>
      <c r="I38" s="3">
        <v>0</v>
      </c>
      <c r="J38" s="3">
        <v>10</v>
      </c>
      <c r="K38" s="3">
        <v>10</v>
      </c>
      <c r="L38" s="3">
        <v>0</v>
      </c>
    </row>
    <row r="39" spans="1:12" x14ac:dyDescent="0.25">
      <c r="A39" s="33">
        <v>1</v>
      </c>
      <c r="B39" s="33">
        <v>0</v>
      </c>
      <c r="C39" t="s">
        <v>236</v>
      </c>
      <c r="D39" t="s">
        <v>231</v>
      </c>
      <c r="E39" t="s">
        <v>232</v>
      </c>
      <c r="F39" s="3">
        <v>13</v>
      </c>
      <c r="G39" s="3">
        <v>0</v>
      </c>
      <c r="H39" s="3">
        <v>0</v>
      </c>
      <c r="I39" s="3">
        <v>0</v>
      </c>
      <c r="J39" s="3">
        <v>10</v>
      </c>
      <c r="K39" s="3">
        <v>10</v>
      </c>
      <c r="L39" s="3">
        <v>0</v>
      </c>
    </row>
    <row r="40" spans="1:12" x14ac:dyDescent="0.25">
      <c r="A40" s="33">
        <v>1</v>
      </c>
      <c r="B40" s="33">
        <v>0</v>
      </c>
      <c r="C40" t="s">
        <v>236</v>
      </c>
      <c r="D40" t="s">
        <v>231</v>
      </c>
      <c r="E40" t="s">
        <v>233</v>
      </c>
      <c r="F40" s="3">
        <v>14</v>
      </c>
      <c r="G40" s="3">
        <v>0</v>
      </c>
      <c r="H40" s="3">
        <v>0</v>
      </c>
      <c r="I40" s="3">
        <v>0</v>
      </c>
      <c r="J40" s="3">
        <v>10</v>
      </c>
      <c r="K40" s="3">
        <v>10</v>
      </c>
      <c r="L40" s="3">
        <v>0</v>
      </c>
    </row>
    <row r="41" spans="1:12" x14ac:dyDescent="0.25">
      <c r="A41" s="33">
        <v>1</v>
      </c>
      <c r="B41" s="33">
        <v>0</v>
      </c>
      <c r="C41" t="s">
        <v>236</v>
      </c>
      <c r="D41" t="s">
        <v>231</v>
      </c>
      <c r="E41" t="s">
        <v>234</v>
      </c>
      <c r="F41" s="3">
        <v>15</v>
      </c>
      <c r="G41" s="3">
        <v>0</v>
      </c>
      <c r="H41" s="3">
        <v>0</v>
      </c>
      <c r="I41" s="3">
        <v>0</v>
      </c>
      <c r="J41" s="3">
        <v>10</v>
      </c>
      <c r="K41" s="3">
        <v>10</v>
      </c>
      <c r="L41" s="3">
        <v>0</v>
      </c>
    </row>
    <row r="42" spans="1:12" x14ac:dyDescent="0.25">
      <c r="A42" s="33">
        <v>1</v>
      </c>
      <c r="B42" s="33">
        <v>0</v>
      </c>
      <c r="C42" t="s">
        <v>236</v>
      </c>
      <c r="D42" t="s">
        <v>231</v>
      </c>
      <c r="E42" t="s">
        <v>231</v>
      </c>
      <c r="F42" s="3">
        <v>16</v>
      </c>
      <c r="G42" s="3">
        <v>1</v>
      </c>
      <c r="H42" s="3">
        <v>0</v>
      </c>
      <c r="I42" s="3">
        <v>1</v>
      </c>
      <c r="J42" s="3">
        <v>15</v>
      </c>
      <c r="K42" s="3">
        <v>15</v>
      </c>
      <c r="L42" s="3">
        <v>0</v>
      </c>
    </row>
    <row r="43" spans="1:12" x14ac:dyDescent="0.25">
      <c r="A43" s="33">
        <v>1</v>
      </c>
      <c r="B43" s="33">
        <v>0</v>
      </c>
      <c r="C43" t="s">
        <v>236</v>
      </c>
      <c r="D43" t="s">
        <v>231</v>
      </c>
      <c r="E43" t="s">
        <v>235</v>
      </c>
      <c r="F43" s="3">
        <v>17</v>
      </c>
      <c r="G43" s="3">
        <v>0</v>
      </c>
      <c r="H43" s="3">
        <v>0</v>
      </c>
      <c r="I43" s="3">
        <v>0</v>
      </c>
      <c r="J43" s="3">
        <v>10</v>
      </c>
      <c r="K43" s="3">
        <v>10</v>
      </c>
      <c r="L43" s="3">
        <v>0</v>
      </c>
    </row>
    <row r="44" spans="1:12" x14ac:dyDescent="0.25">
      <c r="A44" s="33">
        <v>1</v>
      </c>
      <c r="B44" s="33">
        <v>0</v>
      </c>
      <c r="C44" t="s">
        <v>236</v>
      </c>
      <c r="D44" t="s">
        <v>231</v>
      </c>
      <c r="E44" t="s">
        <v>230</v>
      </c>
      <c r="F44" s="3">
        <v>18</v>
      </c>
      <c r="G44" s="3">
        <v>0</v>
      </c>
      <c r="H44" s="3">
        <v>0</v>
      </c>
      <c r="I44" s="3">
        <v>1</v>
      </c>
      <c r="J44" s="3">
        <v>10</v>
      </c>
      <c r="K44" s="3">
        <v>10</v>
      </c>
      <c r="L44" s="3">
        <v>0</v>
      </c>
    </row>
    <row r="45" spans="1:12" x14ac:dyDescent="0.25">
      <c r="A45" s="33">
        <v>1</v>
      </c>
      <c r="B45" s="33">
        <v>0</v>
      </c>
      <c r="C45" t="s">
        <v>236</v>
      </c>
      <c r="D45" t="s">
        <v>231</v>
      </c>
      <c r="E45" t="s">
        <v>229</v>
      </c>
      <c r="F45" s="3">
        <v>19</v>
      </c>
      <c r="G45" s="3">
        <v>0</v>
      </c>
      <c r="H45" s="3">
        <v>0</v>
      </c>
      <c r="I45" s="3">
        <v>1</v>
      </c>
      <c r="J45" s="3">
        <v>15</v>
      </c>
      <c r="K45" s="3">
        <v>15</v>
      </c>
      <c r="L45" s="3">
        <v>0</v>
      </c>
    </row>
    <row r="46" spans="1:12" x14ac:dyDescent="0.25">
      <c r="A46" s="33">
        <v>1</v>
      </c>
      <c r="B46" s="33">
        <v>0</v>
      </c>
      <c r="C46" t="s">
        <v>236</v>
      </c>
      <c r="D46" t="s">
        <v>59</v>
      </c>
      <c r="E46" t="s">
        <v>219</v>
      </c>
      <c r="F46" s="3">
        <v>20</v>
      </c>
      <c r="G46" s="3">
        <v>0</v>
      </c>
      <c r="H46" s="3">
        <v>0</v>
      </c>
      <c r="I46" s="3">
        <v>0</v>
      </c>
      <c r="J46" s="3">
        <v>10</v>
      </c>
      <c r="K46" s="3">
        <v>10</v>
      </c>
      <c r="L46" s="3">
        <v>0</v>
      </c>
    </row>
    <row r="47" spans="1:12" x14ac:dyDescent="0.25">
      <c r="A47" s="33">
        <v>1</v>
      </c>
      <c r="B47" s="33">
        <v>0</v>
      </c>
      <c r="C47" t="s">
        <v>236</v>
      </c>
      <c r="D47" t="s">
        <v>59</v>
      </c>
      <c r="E47" t="s">
        <v>218</v>
      </c>
      <c r="F47" s="3">
        <v>21</v>
      </c>
      <c r="G47" s="3">
        <v>0</v>
      </c>
      <c r="H47" s="3">
        <v>0</v>
      </c>
      <c r="I47" s="3">
        <v>0</v>
      </c>
      <c r="J47" s="3">
        <v>10</v>
      </c>
      <c r="K47" s="3">
        <v>10</v>
      </c>
      <c r="L47" s="3">
        <v>0</v>
      </c>
    </row>
    <row r="48" spans="1:12" x14ac:dyDescent="0.25">
      <c r="A48" s="33">
        <v>1</v>
      </c>
      <c r="B48" s="33">
        <v>0</v>
      </c>
      <c r="C48" s="21" t="s">
        <v>276</v>
      </c>
      <c r="D48" s="21" t="s">
        <v>276</v>
      </c>
      <c r="E48" s="21" t="s">
        <v>277</v>
      </c>
      <c r="F48" s="81">
        <v>1</v>
      </c>
      <c r="G48" s="81">
        <v>0</v>
      </c>
      <c r="H48" s="81">
        <v>0</v>
      </c>
      <c r="I48" s="81">
        <v>0</v>
      </c>
      <c r="J48" s="81">
        <v>10</v>
      </c>
      <c r="K48" s="81">
        <v>10</v>
      </c>
      <c r="L48" s="81">
        <v>0</v>
      </c>
    </row>
    <row r="49" spans="1:12" x14ac:dyDescent="0.25">
      <c r="A49" s="33">
        <v>1</v>
      </c>
      <c r="B49" s="33">
        <v>0</v>
      </c>
      <c r="C49" s="21" t="s">
        <v>276</v>
      </c>
      <c r="D49" s="21" t="s">
        <v>276</v>
      </c>
      <c r="E49" s="21" t="s">
        <v>278</v>
      </c>
      <c r="F49" s="81">
        <v>2</v>
      </c>
      <c r="G49" s="81">
        <v>0</v>
      </c>
      <c r="H49" s="81">
        <v>0</v>
      </c>
      <c r="I49" s="81">
        <v>0</v>
      </c>
      <c r="J49" s="81">
        <v>10</v>
      </c>
      <c r="K49" s="81">
        <v>10</v>
      </c>
      <c r="L49" s="81">
        <v>0</v>
      </c>
    </row>
    <row r="50" spans="1:12" x14ac:dyDescent="0.25">
      <c r="A50" s="33">
        <v>1</v>
      </c>
      <c r="B50" s="33">
        <v>0</v>
      </c>
      <c r="C50" s="21" t="s">
        <v>276</v>
      </c>
      <c r="D50" s="21" t="s">
        <v>276</v>
      </c>
      <c r="E50" s="21" t="s">
        <v>279</v>
      </c>
      <c r="F50" s="81">
        <v>3</v>
      </c>
      <c r="G50" s="81">
        <v>0</v>
      </c>
      <c r="H50" s="81">
        <v>0</v>
      </c>
      <c r="I50" s="81">
        <v>0</v>
      </c>
      <c r="J50" s="81">
        <v>10</v>
      </c>
      <c r="K50" s="81">
        <v>10</v>
      </c>
      <c r="L50" s="81">
        <v>0</v>
      </c>
    </row>
    <row r="51" spans="1:12" x14ac:dyDescent="0.25">
      <c r="A51" s="33">
        <v>1</v>
      </c>
      <c r="B51" s="33">
        <v>0</v>
      </c>
      <c r="C51" s="21" t="s">
        <v>276</v>
      </c>
      <c r="D51" s="21" t="s">
        <v>276</v>
      </c>
      <c r="E51" s="21" t="s">
        <v>280</v>
      </c>
      <c r="F51" s="81">
        <v>4</v>
      </c>
      <c r="G51" s="81">
        <v>0</v>
      </c>
      <c r="H51" s="81">
        <v>0</v>
      </c>
      <c r="I51" s="81">
        <v>0</v>
      </c>
      <c r="J51" s="81">
        <v>10</v>
      </c>
      <c r="K51" s="81">
        <v>10</v>
      </c>
      <c r="L51" s="81">
        <v>0</v>
      </c>
    </row>
    <row r="52" spans="1:12" x14ac:dyDescent="0.25">
      <c r="A52" s="33">
        <v>1</v>
      </c>
      <c r="B52" s="33">
        <v>0</v>
      </c>
      <c r="C52" s="21" t="s">
        <v>276</v>
      </c>
      <c r="D52" s="21" t="s">
        <v>276</v>
      </c>
      <c r="E52" s="21" t="s">
        <v>281</v>
      </c>
      <c r="F52" s="81">
        <v>5</v>
      </c>
      <c r="G52" s="81">
        <v>0</v>
      </c>
      <c r="H52" s="81">
        <v>0</v>
      </c>
      <c r="I52" s="81">
        <v>0</v>
      </c>
      <c r="J52" s="81">
        <v>10</v>
      </c>
      <c r="K52" s="81">
        <v>10</v>
      </c>
      <c r="L52" s="81">
        <v>0</v>
      </c>
    </row>
    <row r="53" spans="1:12" x14ac:dyDescent="0.25">
      <c r="A53" s="33">
        <v>1</v>
      </c>
      <c r="B53" s="33">
        <v>0</v>
      </c>
      <c r="C53" s="21" t="s">
        <v>276</v>
      </c>
      <c r="D53" s="21" t="s">
        <v>276</v>
      </c>
      <c r="E53" s="21" t="s">
        <v>282</v>
      </c>
      <c r="F53" s="81">
        <v>6</v>
      </c>
      <c r="G53" s="81">
        <v>0</v>
      </c>
      <c r="H53" s="81">
        <v>0</v>
      </c>
      <c r="I53" s="81">
        <v>0</v>
      </c>
      <c r="J53" s="81">
        <v>10</v>
      </c>
      <c r="K53" s="81">
        <v>10</v>
      </c>
      <c r="L53" s="81">
        <v>0</v>
      </c>
    </row>
    <row r="54" spans="1:12" x14ac:dyDescent="0.25">
      <c r="A54" s="33">
        <v>1</v>
      </c>
      <c r="B54" s="33">
        <v>0</v>
      </c>
      <c r="C54" s="21" t="s">
        <v>276</v>
      </c>
      <c r="D54" s="21" t="s">
        <v>276</v>
      </c>
      <c r="E54" s="21" t="s">
        <v>283</v>
      </c>
      <c r="F54" s="81">
        <v>7</v>
      </c>
      <c r="G54" s="81">
        <v>0</v>
      </c>
      <c r="H54" s="81">
        <v>0</v>
      </c>
      <c r="I54" s="81">
        <v>0</v>
      </c>
      <c r="J54" s="81">
        <v>10</v>
      </c>
      <c r="K54" s="81">
        <v>10</v>
      </c>
      <c r="L54" s="81">
        <v>0</v>
      </c>
    </row>
    <row r="55" spans="1:12" x14ac:dyDescent="0.25">
      <c r="A55" s="33">
        <v>1</v>
      </c>
      <c r="B55" s="33">
        <v>0</v>
      </c>
      <c r="C55" s="21" t="s">
        <v>276</v>
      </c>
      <c r="D55" s="21" t="s">
        <v>276</v>
      </c>
      <c r="E55" s="21" t="s">
        <v>284</v>
      </c>
      <c r="F55" s="81">
        <v>8</v>
      </c>
      <c r="G55" s="81">
        <v>0</v>
      </c>
      <c r="H55" s="81">
        <v>0</v>
      </c>
      <c r="I55" s="81">
        <v>0</v>
      </c>
      <c r="J55" s="81">
        <v>10</v>
      </c>
      <c r="K55" s="81">
        <v>10</v>
      </c>
      <c r="L55" s="81">
        <v>0</v>
      </c>
    </row>
    <row r="56" spans="1:12" x14ac:dyDescent="0.25">
      <c r="A56" s="33">
        <v>1</v>
      </c>
      <c r="B56" s="33">
        <v>0</v>
      </c>
      <c r="C56" s="21" t="s">
        <v>276</v>
      </c>
      <c r="D56" s="21" t="s">
        <v>276</v>
      </c>
      <c r="E56" s="21" t="s">
        <v>285</v>
      </c>
      <c r="F56" s="81">
        <v>9</v>
      </c>
      <c r="G56" s="81">
        <v>0</v>
      </c>
      <c r="H56" s="81">
        <v>0</v>
      </c>
      <c r="I56" s="81">
        <v>0</v>
      </c>
      <c r="J56" s="81">
        <v>10</v>
      </c>
      <c r="K56" s="81">
        <v>10</v>
      </c>
      <c r="L56" s="81">
        <v>0</v>
      </c>
    </row>
    <row r="57" spans="1:12" x14ac:dyDescent="0.25">
      <c r="A57" s="33">
        <v>1</v>
      </c>
      <c r="B57" s="33">
        <v>0</v>
      </c>
      <c r="C57" t="s">
        <v>236</v>
      </c>
      <c r="D57" t="s">
        <v>59</v>
      </c>
      <c r="E57" t="s">
        <v>59</v>
      </c>
      <c r="F57" s="3">
        <v>22</v>
      </c>
      <c r="G57" s="3">
        <v>1</v>
      </c>
      <c r="H57" s="3">
        <v>0</v>
      </c>
      <c r="I57" s="3">
        <v>1</v>
      </c>
      <c r="J57" s="3">
        <v>10</v>
      </c>
      <c r="K57" s="3">
        <v>10</v>
      </c>
      <c r="L57" s="3">
        <v>0</v>
      </c>
    </row>
    <row r="58" spans="1:12" x14ac:dyDescent="0.25">
      <c r="A58" s="33">
        <v>1</v>
      </c>
      <c r="B58" s="33">
        <v>0</v>
      </c>
      <c r="C58" t="s">
        <v>236</v>
      </c>
      <c r="D58" t="s">
        <v>59</v>
      </c>
      <c r="E58" t="s">
        <v>217</v>
      </c>
      <c r="F58" s="3">
        <v>23</v>
      </c>
      <c r="G58" s="3">
        <v>0</v>
      </c>
      <c r="H58" s="3">
        <v>0</v>
      </c>
      <c r="I58" s="3">
        <v>0</v>
      </c>
      <c r="J58" s="3">
        <v>10</v>
      </c>
      <c r="K58" s="3">
        <v>10</v>
      </c>
      <c r="L58" s="3">
        <v>0</v>
      </c>
    </row>
    <row r="59" spans="1:12" x14ac:dyDescent="0.25">
      <c r="A59" s="33">
        <v>1</v>
      </c>
      <c r="B59" s="33">
        <v>0</v>
      </c>
      <c r="C59" t="s">
        <v>236</v>
      </c>
      <c r="D59" t="s">
        <v>59</v>
      </c>
      <c r="E59" t="s">
        <v>198</v>
      </c>
      <c r="F59" s="3">
        <v>24</v>
      </c>
      <c r="G59" s="3">
        <v>0</v>
      </c>
      <c r="H59" s="3">
        <v>0</v>
      </c>
      <c r="I59" s="3">
        <v>0</v>
      </c>
      <c r="J59" s="3">
        <v>10</v>
      </c>
      <c r="K59" s="3">
        <v>10</v>
      </c>
      <c r="L59" s="3">
        <v>0</v>
      </c>
    </row>
    <row r="60" spans="1:12" x14ac:dyDescent="0.25">
      <c r="A60" s="33">
        <v>1</v>
      </c>
      <c r="B60" s="33">
        <v>0</v>
      </c>
      <c r="C60" t="s">
        <v>236</v>
      </c>
      <c r="D60" t="s">
        <v>57</v>
      </c>
      <c r="E60" t="s">
        <v>199</v>
      </c>
      <c r="F60" s="3">
        <v>25</v>
      </c>
      <c r="G60" s="3">
        <v>0</v>
      </c>
      <c r="H60" s="3">
        <v>0</v>
      </c>
      <c r="I60" s="3">
        <v>1</v>
      </c>
      <c r="J60" s="3">
        <v>10</v>
      </c>
      <c r="K60" s="3">
        <v>10</v>
      </c>
      <c r="L60" s="3">
        <v>0</v>
      </c>
    </row>
    <row r="61" spans="1:12" x14ac:dyDescent="0.25">
      <c r="A61" s="33">
        <v>1</v>
      </c>
      <c r="B61" s="33">
        <v>0</v>
      </c>
      <c r="C61" t="s">
        <v>236</v>
      </c>
      <c r="D61" t="s">
        <v>57</v>
      </c>
      <c r="E61" t="s">
        <v>57</v>
      </c>
      <c r="F61" s="3">
        <v>26</v>
      </c>
      <c r="G61" s="3">
        <v>1</v>
      </c>
      <c r="H61" s="3">
        <v>1</v>
      </c>
      <c r="I61" s="3">
        <v>1</v>
      </c>
      <c r="J61" s="3">
        <v>10</v>
      </c>
      <c r="K61" s="3">
        <v>10</v>
      </c>
      <c r="L61" s="3">
        <v>0</v>
      </c>
    </row>
    <row r="62" spans="1:12" x14ac:dyDescent="0.25">
      <c r="A62" s="33">
        <v>1</v>
      </c>
      <c r="B62" s="33">
        <v>0</v>
      </c>
      <c r="C62" t="s">
        <v>236</v>
      </c>
      <c r="D62" t="s">
        <v>57</v>
      </c>
      <c r="E62" t="s">
        <v>210</v>
      </c>
      <c r="F62" s="3">
        <v>27</v>
      </c>
      <c r="G62" s="3">
        <v>0</v>
      </c>
      <c r="H62" s="3">
        <v>0</v>
      </c>
      <c r="I62" s="3">
        <v>0</v>
      </c>
      <c r="J62" s="3">
        <v>10</v>
      </c>
      <c r="K62" s="3">
        <v>10</v>
      </c>
      <c r="L62" s="3">
        <v>0</v>
      </c>
    </row>
    <row r="63" spans="1:12" x14ac:dyDescent="0.25">
      <c r="A63" s="33">
        <v>1</v>
      </c>
      <c r="B63" s="33">
        <v>0</v>
      </c>
      <c r="C63" t="s">
        <v>236</v>
      </c>
      <c r="D63" t="s">
        <v>57</v>
      </c>
      <c r="E63" t="s">
        <v>211</v>
      </c>
      <c r="F63" s="3">
        <v>28</v>
      </c>
      <c r="G63" s="3">
        <v>0</v>
      </c>
      <c r="H63" s="3">
        <v>0</v>
      </c>
      <c r="I63" s="3">
        <v>0</v>
      </c>
      <c r="J63" s="3">
        <v>10</v>
      </c>
      <c r="K63" s="3">
        <v>10</v>
      </c>
      <c r="L63" s="3">
        <v>0</v>
      </c>
    </row>
    <row r="64" spans="1:12" x14ac:dyDescent="0.25">
      <c r="A64" s="33">
        <v>1</v>
      </c>
      <c r="B64" s="33">
        <v>0</v>
      </c>
      <c r="C64" t="s">
        <v>236</v>
      </c>
      <c r="D64" t="s">
        <v>57</v>
      </c>
      <c r="E64" t="s">
        <v>206</v>
      </c>
      <c r="F64" s="3">
        <v>29</v>
      </c>
      <c r="G64" s="3">
        <v>0</v>
      </c>
      <c r="H64" s="3">
        <v>0</v>
      </c>
      <c r="I64" s="3">
        <v>0</v>
      </c>
      <c r="J64" s="3">
        <v>10</v>
      </c>
      <c r="K64" s="3">
        <v>10</v>
      </c>
      <c r="L64" s="3">
        <v>0</v>
      </c>
    </row>
    <row r="65" spans="1:12" x14ac:dyDescent="0.25">
      <c r="A65" s="33">
        <v>1</v>
      </c>
      <c r="B65" s="33">
        <v>0</v>
      </c>
      <c r="C65" t="s">
        <v>236</v>
      </c>
      <c r="D65" t="s">
        <v>57</v>
      </c>
      <c r="E65" t="s">
        <v>207</v>
      </c>
      <c r="F65" s="3">
        <v>30</v>
      </c>
      <c r="G65" s="3">
        <v>0</v>
      </c>
      <c r="H65" s="3">
        <v>0</v>
      </c>
      <c r="I65" s="3">
        <v>0</v>
      </c>
      <c r="J65" s="3">
        <v>10</v>
      </c>
      <c r="K65" s="3">
        <v>10</v>
      </c>
      <c r="L65" s="3">
        <v>0</v>
      </c>
    </row>
    <row r="66" spans="1:12" x14ac:dyDescent="0.25">
      <c r="A66" s="33">
        <v>1</v>
      </c>
      <c r="B66" s="33">
        <v>0</v>
      </c>
      <c r="C66" t="s">
        <v>236</v>
      </c>
      <c r="D66" t="s">
        <v>57</v>
      </c>
      <c r="E66" t="s">
        <v>216</v>
      </c>
      <c r="F66" s="3">
        <v>31</v>
      </c>
      <c r="G66" s="3">
        <v>0</v>
      </c>
      <c r="H66" s="3">
        <v>0</v>
      </c>
      <c r="I66" s="3">
        <v>0</v>
      </c>
      <c r="J66" s="3">
        <v>10</v>
      </c>
      <c r="K66" s="3">
        <v>10</v>
      </c>
      <c r="L66" s="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76"/>
  <sheetViews>
    <sheetView showGridLines="0" topLeftCell="B1" zoomScale="83" zoomScaleNormal="60" workbookViewId="0">
      <selection activeCell="K6" sqref="K6:N76"/>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7" width="28.42578125" customWidth="1"/>
    <col min="8" max="8" width="24.85546875" bestFit="1" customWidth="1"/>
    <col min="9" max="10" width="14.140625" customWidth="1"/>
    <col min="11" max="11" width="14.140625" bestFit="1" customWidth="1"/>
    <col min="12" max="12" width="9.7109375" bestFit="1" customWidth="1"/>
    <col min="13" max="13" width="21.7109375" bestFit="1" customWidth="1"/>
    <col min="14" max="14" width="14.5703125" bestFit="1" customWidth="1"/>
    <col min="15" max="15" width="12.42578125" customWidth="1"/>
  </cols>
  <sheetData>
    <row r="1" spans="1:29" x14ac:dyDescent="0.25">
      <c r="A1" s="86" t="s">
        <v>141</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row>
    <row r="2" spans="1:29"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row>
    <row r="3" spans="1:29"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row>
    <row r="5" spans="1:29" x14ac:dyDescent="0.25">
      <c r="B5" s="32" t="s">
        <v>99</v>
      </c>
      <c r="C5" s="5" t="s">
        <v>6</v>
      </c>
      <c r="D5" s="5" t="s">
        <v>8</v>
      </c>
      <c r="E5" s="5" t="s">
        <v>105</v>
      </c>
      <c r="F5" s="5" t="s">
        <v>237</v>
      </c>
      <c r="G5" s="5" t="s">
        <v>238</v>
      </c>
      <c r="H5" s="32" t="s">
        <v>239</v>
      </c>
      <c r="J5" s="4" t="s">
        <v>99</v>
      </c>
      <c r="K5" s="4" t="s">
        <v>5</v>
      </c>
      <c r="L5" s="4" t="s">
        <v>6</v>
      </c>
      <c r="M5" s="4" t="s">
        <v>7</v>
      </c>
      <c r="N5" s="5" t="s">
        <v>9</v>
      </c>
    </row>
    <row r="6" spans="1:29" x14ac:dyDescent="0.25">
      <c r="B6" s="33">
        <v>1</v>
      </c>
      <c r="C6" s="3" t="s">
        <v>2</v>
      </c>
      <c r="D6" s="3" t="s">
        <v>17</v>
      </c>
      <c r="E6" s="3">
        <v>1.466</v>
      </c>
      <c r="F6" s="3" t="s">
        <v>226</v>
      </c>
      <c r="G6" s="3" t="s">
        <v>212</v>
      </c>
      <c r="H6" s="3" t="str">
        <f>IF(AND(COUNTIF(tb_nos[Nó],tb_distancias[[#This Row],[Nó 1]])&gt;0,COUNTIF(tb_nos[Nó],tb_distancias[[#This Row],[Nó 2]])),"OK","NOK")</f>
        <v>OK</v>
      </c>
      <c r="J6" s="33">
        <v>1</v>
      </c>
      <c r="K6" t="s">
        <v>15</v>
      </c>
      <c r="L6" t="s">
        <v>2</v>
      </c>
      <c r="M6" t="s">
        <v>226</v>
      </c>
      <c r="N6" s="3">
        <v>0</v>
      </c>
    </row>
    <row r="7" spans="1:29" x14ac:dyDescent="0.25">
      <c r="B7" s="33">
        <v>1</v>
      </c>
      <c r="C7" s="3" t="s">
        <v>2</v>
      </c>
      <c r="D7" s="3" t="s">
        <v>19</v>
      </c>
      <c r="E7" s="3">
        <v>1.484</v>
      </c>
      <c r="F7" s="3" t="s">
        <v>212</v>
      </c>
      <c r="G7" s="29" t="s">
        <v>213</v>
      </c>
      <c r="H7" s="3" t="str">
        <f>IF(AND(COUNTIF(tb_nos[Nó],tb_distancias[[#This Row],[Nó 1]])&gt;0,COUNTIF(tb_nos[Nó],tb_distancias[[#This Row],[Nó 2]])),"OK","NOK")</f>
        <v>OK</v>
      </c>
      <c r="J7" s="33">
        <v>1</v>
      </c>
      <c r="K7" t="s">
        <v>15</v>
      </c>
      <c r="L7" t="s">
        <v>2</v>
      </c>
      <c r="M7" t="s">
        <v>212</v>
      </c>
      <c r="N7" s="3">
        <v>1</v>
      </c>
    </row>
    <row r="8" spans="1:29" x14ac:dyDescent="0.25">
      <c r="B8" s="33">
        <v>1</v>
      </c>
      <c r="C8" s="3" t="s">
        <v>2</v>
      </c>
      <c r="D8" s="3" t="s">
        <v>21</v>
      </c>
      <c r="E8" s="3">
        <v>0.97199999999999998</v>
      </c>
      <c r="F8" s="3" t="s">
        <v>213</v>
      </c>
      <c r="G8" s="29" t="s">
        <v>221</v>
      </c>
      <c r="H8" s="3" t="str">
        <f>IF(AND(COUNTIF(tb_nos[Nó],tb_distancias[[#This Row],[Nó 1]])&gt;0,COUNTIF(tb_nos[Nó],tb_distancias[[#This Row],[Nó 2]])),"OK","NOK")</f>
        <v>OK</v>
      </c>
      <c r="J8" s="33">
        <v>1</v>
      </c>
      <c r="K8" t="s">
        <v>15</v>
      </c>
      <c r="L8" t="s">
        <v>2</v>
      </c>
      <c r="M8" t="s">
        <v>213</v>
      </c>
      <c r="N8" s="3">
        <v>2</v>
      </c>
    </row>
    <row r="9" spans="1:29" ht="13.5" customHeight="1" x14ac:dyDescent="0.25">
      <c r="B9" s="33">
        <v>1</v>
      </c>
      <c r="C9" s="3" t="s">
        <v>2</v>
      </c>
      <c r="D9" s="3" t="s">
        <v>36</v>
      </c>
      <c r="E9" s="3">
        <v>1.43</v>
      </c>
      <c r="F9" s="3" t="s">
        <v>221</v>
      </c>
      <c r="G9" s="29" t="s">
        <v>220</v>
      </c>
      <c r="H9" s="3" t="str">
        <f>IF(AND(COUNTIF(tb_nos[Nó],tb_distancias[[#This Row],[Nó 1]])&gt;0,COUNTIF(tb_nos[Nó],tb_distancias[[#This Row],[Nó 2]])),"OK","NOK")</f>
        <v>OK</v>
      </c>
      <c r="J9" s="33">
        <v>1</v>
      </c>
      <c r="K9" t="s">
        <v>15</v>
      </c>
      <c r="L9" t="s">
        <v>2</v>
      </c>
      <c r="M9" t="s">
        <v>221</v>
      </c>
      <c r="N9" s="3">
        <v>3</v>
      </c>
    </row>
    <row r="10" spans="1:29" x14ac:dyDescent="0.25">
      <c r="B10" s="33">
        <v>1</v>
      </c>
      <c r="C10" s="3" t="s">
        <v>2</v>
      </c>
      <c r="D10" s="3" t="s">
        <v>316</v>
      </c>
      <c r="E10" s="3">
        <v>2.6880000000000002</v>
      </c>
      <c r="F10" s="3" t="s">
        <v>220</v>
      </c>
      <c r="G10" s="29" t="s">
        <v>300</v>
      </c>
      <c r="H10" s="3" t="str">
        <f>IF(AND(COUNTIF(tb_nos[Nó],tb_distancias[[#This Row],[Nó 1]])&gt;0,COUNTIF(tb_nos[Nó],tb_distancias[[#This Row],[Nó 2]])),"OK","NOK")</f>
        <v>OK</v>
      </c>
      <c r="J10" s="33">
        <v>1</v>
      </c>
      <c r="K10" t="s">
        <v>15</v>
      </c>
      <c r="L10" t="s">
        <v>2</v>
      </c>
      <c r="M10" t="s">
        <v>220</v>
      </c>
      <c r="N10" s="3">
        <v>4</v>
      </c>
    </row>
    <row r="11" spans="1:29" x14ac:dyDescent="0.25">
      <c r="B11" s="33">
        <v>1</v>
      </c>
      <c r="C11" s="3" t="s">
        <v>2</v>
      </c>
      <c r="D11" s="3" t="s">
        <v>317</v>
      </c>
      <c r="E11" s="3">
        <v>3.5230000000000001</v>
      </c>
      <c r="F11" s="3" t="s">
        <v>300</v>
      </c>
      <c r="G11" s="29" t="s">
        <v>215</v>
      </c>
      <c r="H11" s="3" t="str">
        <f>IF(AND(COUNTIF(tb_nos[Nó],tb_distancias[[#This Row],[Nó 1]])&gt;0,COUNTIF(tb_nos[Nó],tb_distancias[[#This Row],[Nó 2]])),"OK","NOK")</f>
        <v>OK</v>
      </c>
      <c r="J11" s="33">
        <v>1</v>
      </c>
      <c r="K11" t="s">
        <v>15</v>
      </c>
      <c r="L11" t="s">
        <v>2</v>
      </c>
      <c r="M11" t="s">
        <v>300</v>
      </c>
      <c r="N11" s="3">
        <v>5</v>
      </c>
    </row>
    <row r="12" spans="1:29" x14ac:dyDescent="0.25">
      <c r="B12" s="33">
        <v>1</v>
      </c>
      <c r="C12" s="3" t="s">
        <v>2</v>
      </c>
      <c r="D12" s="3" t="s">
        <v>26</v>
      </c>
      <c r="E12" s="3">
        <v>3.3769999999999998</v>
      </c>
      <c r="F12" s="3" t="s">
        <v>215</v>
      </c>
      <c r="G12" s="29" t="s">
        <v>2</v>
      </c>
      <c r="H12" s="3" t="str">
        <f>IF(AND(COUNTIF(tb_nos[Nó],tb_distancias[[#This Row],[Nó 1]])&gt;0,COUNTIF(tb_nos[Nó],tb_distancias[[#This Row],[Nó 2]])),"OK","NOK")</f>
        <v>OK</v>
      </c>
      <c r="J12" s="33">
        <v>1</v>
      </c>
      <c r="K12" s="21" t="s">
        <v>307</v>
      </c>
      <c r="L12" s="21" t="s">
        <v>307</v>
      </c>
      <c r="M12" s="21" t="s">
        <v>301</v>
      </c>
      <c r="N12" s="81">
        <v>6</v>
      </c>
    </row>
    <row r="13" spans="1:29" x14ac:dyDescent="0.25">
      <c r="B13" s="33">
        <v>1</v>
      </c>
      <c r="C13" s="3" t="s">
        <v>2</v>
      </c>
      <c r="D13" s="3" t="s">
        <v>28</v>
      </c>
      <c r="E13" s="3">
        <v>4.8600000000000003</v>
      </c>
      <c r="F13" s="3" t="s">
        <v>2</v>
      </c>
      <c r="G13" s="29" t="s">
        <v>208</v>
      </c>
      <c r="H13" s="3" t="str">
        <f>IF(AND(COUNTIF(tb_nos[Nó],tb_distancias[[#This Row],[Nó 1]])&gt;0,COUNTIF(tb_nos[Nó],tb_distancias[[#This Row],[Nó 2]])),"OK","NOK")</f>
        <v>OK</v>
      </c>
      <c r="J13" s="33">
        <v>1</v>
      </c>
      <c r="K13" s="21" t="s">
        <v>307</v>
      </c>
      <c r="L13" s="21" t="s">
        <v>307</v>
      </c>
      <c r="M13" s="21" t="s">
        <v>302</v>
      </c>
      <c r="N13" s="81">
        <v>7</v>
      </c>
    </row>
    <row r="14" spans="1:29" x14ac:dyDescent="0.25">
      <c r="B14" s="33">
        <v>1</v>
      </c>
      <c r="C14" s="3" t="s">
        <v>2</v>
      </c>
      <c r="D14" s="3" t="s">
        <v>37</v>
      </c>
      <c r="E14" s="3">
        <v>3</v>
      </c>
      <c r="F14" s="3" t="s">
        <v>208</v>
      </c>
      <c r="G14" s="29" t="s">
        <v>228</v>
      </c>
      <c r="H14" s="3" t="str">
        <f>IF(AND(COUNTIF(tb_nos[Nó],tb_distancias[[#This Row],[Nó 1]])&gt;0,COUNTIF(tb_nos[Nó],tb_distancias[[#This Row],[Nó 2]])),"OK","NOK")</f>
        <v>OK</v>
      </c>
      <c r="J14" s="33">
        <v>1</v>
      </c>
      <c r="K14" s="21" t="s">
        <v>307</v>
      </c>
      <c r="L14" s="21" t="s">
        <v>307</v>
      </c>
      <c r="M14" s="21" t="s">
        <v>303</v>
      </c>
      <c r="N14" s="81">
        <v>8</v>
      </c>
    </row>
    <row r="15" spans="1:29" x14ac:dyDescent="0.25">
      <c r="B15" s="33">
        <v>1</v>
      </c>
      <c r="C15" s="3" t="s">
        <v>2</v>
      </c>
      <c r="D15" s="3" t="s">
        <v>38</v>
      </c>
      <c r="E15" s="3">
        <v>0.55000000000000004</v>
      </c>
      <c r="F15" s="3" t="s">
        <v>228</v>
      </c>
      <c r="G15" s="29" t="s">
        <v>200</v>
      </c>
      <c r="H15" s="3" t="str">
        <f>IF(AND(COUNTIF(tb_nos[Nó],tb_distancias[[#This Row],[Nó 1]])&gt;0,COUNTIF(tb_nos[Nó],tb_distancias[[#This Row],[Nó 2]])),"OK","NOK")</f>
        <v>OK</v>
      </c>
      <c r="J15" s="33">
        <v>1</v>
      </c>
      <c r="K15" s="21" t="s">
        <v>307</v>
      </c>
      <c r="L15" s="21" t="s">
        <v>307</v>
      </c>
      <c r="M15" s="21" t="s">
        <v>302</v>
      </c>
      <c r="N15" s="81">
        <v>9</v>
      </c>
    </row>
    <row r="16" spans="1:29" x14ac:dyDescent="0.25">
      <c r="B16" s="33">
        <v>1</v>
      </c>
      <c r="C16" s="3" t="s">
        <v>2</v>
      </c>
      <c r="D16" s="3" t="s">
        <v>32</v>
      </c>
      <c r="E16" s="3">
        <v>1.65</v>
      </c>
      <c r="F16" s="3" t="s">
        <v>200</v>
      </c>
      <c r="G16" s="29" t="s">
        <v>203</v>
      </c>
      <c r="H16" s="3" t="str">
        <f>IF(AND(COUNTIF(tb_nos[Nó],tb_distancias[[#This Row],[Nó 1]])&gt;0,COUNTIF(tb_nos[Nó],tb_distancias[[#This Row],[Nó 2]])),"OK","NOK")</f>
        <v>OK</v>
      </c>
      <c r="J16" s="33">
        <v>1</v>
      </c>
      <c r="K16" s="21" t="s">
        <v>307</v>
      </c>
      <c r="L16" s="21" t="s">
        <v>307</v>
      </c>
      <c r="M16" s="21" t="s">
        <v>301</v>
      </c>
      <c r="N16" s="81">
        <v>10</v>
      </c>
    </row>
    <row r="17" spans="2:14" x14ac:dyDescent="0.25">
      <c r="B17" s="33">
        <v>1</v>
      </c>
      <c r="C17" s="3" t="s">
        <v>57</v>
      </c>
      <c r="D17" s="3" t="s">
        <v>66</v>
      </c>
      <c r="E17" s="3">
        <v>10.428000000000001</v>
      </c>
      <c r="F17" s="3" t="s">
        <v>198</v>
      </c>
      <c r="G17" s="29" t="s">
        <v>199</v>
      </c>
      <c r="H17" s="3" t="str">
        <f>IF(AND(COUNTIF(tb_nos[Nó],tb_distancias[[#This Row],[Nó 1]])&gt;0,COUNTIF(tb_nos[Nó],tb_distancias[[#This Row],[Nó 2]])),"OK","NOK")</f>
        <v>OK</v>
      </c>
      <c r="J17" s="33">
        <v>1</v>
      </c>
      <c r="K17" s="21" t="s">
        <v>307</v>
      </c>
      <c r="L17" s="21" t="s">
        <v>307</v>
      </c>
      <c r="M17" s="21" t="s">
        <v>300</v>
      </c>
      <c r="N17" s="81">
        <v>11</v>
      </c>
    </row>
    <row r="18" spans="2:14" x14ac:dyDescent="0.25">
      <c r="B18" s="33">
        <v>1</v>
      </c>
      <c r="C18" s="3" t="s">
        <v>57</v>
      </c>
      <c r="D18" s="3" t="s">
        <v>58</v>
      </c>
      <c r="E18" s="3">
        <v>16.832000000000001</v>
      </c>
      <c r="F18" s="3" t="s">
        <v>199</v>
      </c>
      <c r="G18" s="29" t="s">
        <v>57</v>
      </c>
      <c r="H18" s="3" t="str">
        <f>IF(AND(COUNTIF(tb_nos[Nó],tb_distancias[[#This Row],[Nó 1]])&gt;0,COUNTIF(tb_nos[Nó],tb_distancias[[#This Row],[Nó 2]])),"OK","NOK")</f>
        <v>OK</v>
      </c>
      <c r="J18" s="33">
        <v>1</v>
      </c>
      <c r="K18" t="s">
        <v>15</v>
      </c>
      <c r="L18" t="s">
        <v>2</v>
      </c>
      <c r="M18" t="s">
        <v>215</v>
      </c>
      <c r="N18" s="3">
        <v>12</v>
      </c>
    </row>
    <row r="19" spans="2:14" x14ac:dyDescent="0.25">
      <c r="B19" s="33">
        <v>1</v>
      </c>
      <c r="C19" s="3" t="s">
        <v>57</v>
      </c>
      <c r="D19" s="3" t="s">
        <v>67</v>
      </c>
      <c r="E19" s="3">
        <v>9.8000000000000007</v>
      </c>
      <c r="F19" s="3" t="s">
        <v>57</v>
      </c>
      <c r="G19" s="29" t="s">
        <v>210</v>
      </c>
      <c r="H19" s="3" t="str">
        <f>IF(AND(COUNTIF(tb_nos[Nó],tb_distancias[[#This Row],[Nó 1]])&gt;0,COUNTIF(tb_nos[Nó],tb_distancias[[#This Row],[Nó 2]])),"OK","NOK")</f>
        <v>OK</v>
      </c>
      <c r="J19" s="33">
        <v>1</v>
      </c>
      <c r="K19" t="s">
        <v>15</v>
      </c>
      <c r="L19" t="s">
        <v>2</v>
      </c>
      <c r="M19" t="s">
        <v>2</v>
      </c>
      <c r="N19" s="3">
        <v>13</v>
      </c>
    </row>
    <row r="20" spans="2:14" x14ac:dyDescent="0.25">
      <c r="B20" s="33">
        <v>1</v>
      </c>
      <c r="C20" s="3" t="s">
        <v>57</v>
      </c>
      <c r="D20" s="3" t="s">
        <v>74</v>
      </c>
      <c r="E20" s="3">
        <v>3.92</v>
      </c>
      <c r="F20" s="3" t="s">
        <v>210</v>
      </c>
      <c r="G20" s="29" t="s">
        <v>211</v>
      </c>
      <c r="H20" s="3" t="str">
        <f>IF(AND(COUNTIF(tb_nos[Nó],tb_distancias[[#This Row],[Nó 1]])&gt;0,COUNTIF(tb_nos[Nó],tb_distancias[[#This Row],[Nó 2]])),"OK","NOK")</f>
        <v>OK</v>
      </c>
      <c r="J20" s="33">
        <v>1</v>
      </c>
      <c r="K20" t="s">
        <v>15</v>
      </c>
      <c r="L20" t="s">
        <v>2</v>
      </c>
      <c r="M20" t="s">
        <v>208</v>
      </c>
      <c r="N20" s="3">
        <v>14</v>
      </c>
    </row>
    <row r="21" spans="2:14" x14ac:dyDescent="0.25">
      <c r="B21" s="33">
        <v>1</v>
      </c>
      <c r="C21" s="3" t="s">
        <v>57</v>
      </c>
      <c r="D21" s="3" t="s">
        <v>69</v>
      </c>
      <c r="E21" s="3">
        <v>3.37</v>
      </c>
      <c r="F21" s="3" t="s">
        <v>211</v>
      </c>
      <c r="G21" s="29" t="s">
        <v>206</v>
      </c>
      <c r="H21" s="3" t="str">
        <f>IF(AND(COUNTIF(tb_nos[Nó],tb_distancias[[#This Row],[Nó 1]])&gt;0,COUNTIF(tb_nos[Nó],tb_distancias[[#This Row],[Nó 2]])),"OK","NOK")</f>
        <v>OK</v>
      </c>
      <c r="J21" s="33">
        <v>1</v>
      </c>
      <c r="K21" t="s">
        <v>15</v>
      </c>
      <c r="L21" t="s">
        <v>2</v>
      </c>
      <c r="M21" t="s">
        <v>228</v>
      </c>
      <c r="N21" s="3">
        <v>15</v>
      </c>
    </row>
    <row r="22" spans="2:14" x14ac:dyDescent="0.25">
      <c r="B22" s="33">
        <v>1</v>
      </c>
      <c r="C22" s="3" t="s">
        <v>57</v>
      </c>
      <c r="D22" s="3" t="s">
        <v>75</v>
      </c>
      <c r="E22" s="3">
        <v>2.7450000000000001</v>
      </c>
      <c r="F22" s="3" t="s">
        <v>206</v>
      </c>
      <c r="G22" s="29" t="s">
        <v>207</v>
      </c>
      <c r="H22" s="3" t="str">
        <f>IF(AND(COUNTIF(tb_nos[Nó],tb_distancias[[#This Row],[Nó 1]])&gt;0,COUNTIF(tb_nos[Nó],tb_distancias[[#This Row],[Nó 2]])),"OK","NOK")</f>
        <v>OK</v>
      </c>
      <c r="J22" s="33">
        <v>1</v>
      </c>
      <c r="K22" t="s">
        <v>15</v>
      </c>
      <c r="L22" t="s">
        <v>2</v>
      </c>
      <c r="M22" t="s">
        <v>200</v>
      </c>
      <c r="N22" s="3">
        <v>16</v>
      </c>
    </row>
    <row r="23" spans="2:14" x14ac:dyDescent="0.25">
      <c r="B23" s="33">
        <v>1</v>
      </c>
      <c r="C23" s="3" t="s">
        <v>57</v>
      </c>
      <c r="D23" s="3" t="s">
        <v>77</v>
      </c>
      <c r="E23" s="3">
        <v>1.839</v>
      </c>
      <c r="F23" s="3" t="s">
        <v>207</v>
      </c>
      <c r="G23" s="29" t="s">
        <v>216</v>
      </c>
      <c r="H23" s="3" t="str">
        <f>IF(AND(COUNTIF(tb_nos[Nó],tb_distancias[[#This Row],[Nó 1]])&gt;0,COUNTIF(tb_nos[Nó],tb_distancias[[#This Row],[Nó 2]])),"OK","NOK")</f>
        <v>OK</v>
      </c>
      <c r="J23" s="33">
        <v>1</v>
      </c>
      <c r="K23" t="s">
        <v>15</v>
      </c>
      <c r="L23" t="s">
        <v>2</v>
      </c>
      <c r="M23" t="s">
        <v>203</v>
      </c>
      <c r="N23" s="3">
        <v>17</v>
      </c>
    </row>
    <row r="24" spans="2:14" x14ac:dyDescent="0.25">
      <c r="B24" s="33">
        <v>1</v>
      </c>
      <c r="C24" s="3" t="s">
        <v>59</v>
      </c>
      <c r="D24" s="3" t="s">
        <v>76</v>
      </c>
      <c r="E24" s="3">
        <v>8.3030000000000008</v>
      </c>
      <c r="F24" s="3" t="s">
        <v>219</v>
      </c>
      <c r="G24" s="29" t="s">
        <v>218</v>
      </c>
      <c r="H24" s="3" t="str">
        <f>IF(AND(COUNTIF(tb_nos[Nó],tb_distancias[[#This Row],[Nó 1]])&gt;0,COUNTIF(tb_nos[Nó],tb_distancias[[#This Row],[Nó 2]])),"OK","NOK")</f>
        <v>OK</v>
      </c>
      <c r="J24" s="33">
        <v>1</v>
      </c>
      <c r="K24" t="s">
        <v>236</v>
      </c>
      <c r="L24" t="s">
        <v>0</v>
      </c>
      <c r="M24" t="s">
        <v>223</v>
      </c>
      <c r="N24" s="3">
        <v>1</v>
      </c>
    </row>
    <row r="25" spans="2:14" x14ac:dyDescent="0.25">
      <c r="B25" s="33">
        <v>1</v>
      </c>
      <c r="C25" s="3" t="s">
        <v>59</v>
      </c>
      <c r="D25" s="3" t="s">
        <v>68</v>
      </c>
      <c r="E25" s="3">
        <v>11.707000000000001</v>
      </c>
      <c r="F25" s="3" t="s">
        <v>218</v>
      </c>
      <c r="G25" s="29" t="s">
        <v>59</v>
      </c>
      <c r="H25" s="3" t="str">
        <f>IF(AND(COUNTIF(tb_nos[Nó],tb_distancias[[#This Row],[Nó 1]])&gt;0,COUNTIF(tb_nos[Nó],tb_distancias[[#This Row],[Nó 2]])),"OK","NOK")</f>
        <v>OK</v>
      </c>
      <c r="J25" s="33">
        <v>1</v>
      </c>
      <c r="K25" t="s">
        <v>236</v>
      </c>
      <c r="L25" t="s">
        <v>0</v>
      </c>
      <c r="M25" t="s">
        <v>224</v>
      </c>
      <c r="N25" s="3">
        <v>2</v>
      </c>
    </row>
    <row r="26" spans="2:14" x14ac:dyDescent="0.25">
      <c r="B26" s="33">
        <v>1</v>
      </c>
      <c r="C26" s="3" t="s">
        <v>59</v>
      </c>
      <c r="D26" s="3" t="s">
        <v>60</v>
      </c>
      <c r="E26" s="3">
        <v>23.632999999999999</v>
      </c>
      <c r="F26" s="3" t="s">
        <v>59</v>
      </c>
      <c r="G26" s="29" t="s">
        <v>217</v>
      </c>
      <c r="H26" s="3" t="str">
        <f>IF(AND(COUNTIF(tb_nos[Nó],tb_distancias[[#This Row],[Nó 1]])&gt;0,COUNTIF(tb_nos[Nó],tb_distancias[[#This Row],[Nó 2]])),"OK","NOK")</f>
        <v>OK</v>
      </c>
      <c r="J26" s="33">
        <v>1</v>
      </c>
      <c r="K26" t="s">
        <v>236</v>
      </c>
      <c r="L26" t="s">
        <v>0</v>
      </c>
      <c r="M26" t="s">
        <v>225</v>
      </c>
      <c r="N26" s="3">
        <v>3</v>
      </c>
    </row>
    <row r="27" spans="2:14" x14ac:dyDescent="0.25">
      <c r="B27" s="33">
        <v>1</v>
      </c>
      <c r="C27" s="3" t="s">
        <v>59</v>
      </c>
      <c r="D27" s="3" t="s">
        <v>63</v>
      </c>
      <c r="E27" s="3">
        <v>14.78</v>
      </c>
      <c r="F27" s="3" t="s">
        <v>217</v>
      </c>
      <c r="G27" s="29" t="s">
        <v>198</v>
      </c>
      <c r="H27" s="3" t="str">
        <f>IF(AND(COUNTIF(tb_nos[Nó],tb_distancias[[#This Row],[Nó 1]])&gt;0,COUNTIF(tb_nos[Nó],tb_distancias[[#This Row],[Nó 2]])),"OK","NOK")</f>
        <v>OK</v>
      </c>
      <c r="J27" s="33">
        <v>1</v>
      </c>
      <c r="K27" t="s">
        <v>236</v>
      </c>
      <c r="L27" t="s">
        <v>0</v>
      </c>
      <c r="M27" t="s">
        <v>201</v>
      </c>
      <c r="N27" s="3">
        <v>4</v>
      </c>
    </row>
    <row r="28" spans="2:14" x14ac:dyDescent="0.25">
      <c r="B28" s="33">
        <v>1</v>
      </c>
      <c r="C28" s="3" t="s">
        <v>0</v>
      </c>
      <c r="D28" s="3" t="s">
        <v>65</v>
      </c>
      <c r="E28" s="3">
        <v>3.85</v>
      </c>
      <c r="F28" s="3" t="s">
        <v>223</v>
      </c>
      <c r="G28" s="29" t="s">
        <v>224</v>
      </c>
      <c r="H28" s="3" t="str">
        <f>IF(AND(COUNTIF(tb_nos[Nó],tb_distancias[[#This Row],[Nó 1]])&gt;0,COUNTIF(tb_nos[Nó],tb_distancias[[#This Row],[Nó 2]])),"OK","NOK")</f>
        <v>OK</v>
      </c>
      <c r="J28" s="33">
        <v>1</v>
      </c>
      <c r="K28" t="s">
        <v>236</v>
      </c>
      <c r="L28" t="s">
        <v>0</v>
      </c>
      <c r="M28" t="s">
        <v>202</v>
      </c>
      <c r="N28" s="3">
        <v>5</v>
      </c>
    </row>
    <row r="29" spans="2:14" x14ac:dyDescent="0.25">
      <c r="B29" s="33">
        <v>1</v>
      </c>
      <c r="C29" s="3" t="s">
        <v>0</v>
      </c>
      <c r="D29" s="3" t="s">
        <v>72</v>
      </c>
      <c r="E29" s="3">
        <v>2.95</v>
      </c>
      <c r="F29" s="3" t="s">
        <v>224</v>
      </c>
      <c r="G29" s="29" t="s">
        <v>225</v>
      </c>
      <c r="H29" s="3" t="str">
        <f>IF(AND(COUNTIF(tb_nos[Nó],tb_distancias[[#This Row],[Nó 1]])&gt;0,COUNTIF(tb_nos[Nó],tb_distancias[[#This Row],[Nó 2]])),"OK","NOK")</f>
        <v>OK</v>
      </c>
      <c r="J29" s="33">
        <v>1</v>
      </c>
      <c r="K29" t="s">
        <v>236</v>
      </c>
      <c r="L29" t="s">
        <v>0</v>
      </c>
      <c r="M29" t="s">
        <v>227</v>
      </c>
      <c r="N29" s="3">
        <v>6</v>
      </c>
    </row>
    <row r="30" spans="2:14" x14ac:dyDescent="0.25">
      <c r="B30" s="33">
        <v>1</v>
      </c>
      <c r="C30" s="3" t="s">
        <v>0</v>
      </c>
      <c r="D30" s="3" t="s">
        <v>62</v>
      </c>
      <c r="E30" s="3">
        <v>6.24</v>
      </c>
      <c r="F30" s="3" t="s">
        <v>225</v>
      </c>
      <c r="G30" s="29" t="s">
        <v>201</v>
      </c>
      <c r="H30" s="3" t="str">
        <f>IF(AND(COUNTIF(tb_nos[Nó],tb_distancias[[#This Row],[Nó 1]])&gt;0,COUNTIF(tb_nos[Nó],tb_distancias[[#This Row],[Nó 2]])),"OK","NOK")</f>
        <v>OK</v>
      </c>
      <c r="J30" s="33">
        <v>1</v>
      </c>
      <c r="K30" t="s">
        <v>236</v>
      </c>
      <c r="L30" t="s">
        <v>0</v>
      </c>
      <c r="M30" t="s">
        <v>222</v>
      </c>
      <c r="N30" s="3">
        <v>7</v>
      </c>
    </row>
    <row r="31" spans="2:14" x14ac:dyDescent="0.25">
      <c r="B31" s="33">
        <v>1</v>
      </c>
      <c r="C31" s="3" t="s">
        <v>0</v>
      </c>
      <c r="D31" s="3" t="s">
        <v>61</v>
      </c>
      <c r="E31" s="3">
        <v>7.46</v>
      </c>
      <c r="F31" s="3" t="s">
        <v>201</v>
      </c>
      <c r="G31" s="29" t="s">
        <v>202</v>
      </c>
      <c r="H31" s="3" t="str">
        <f>IF(AND(COUNTIF(tb_nos[Nó],tb_distancias[[#This Row],[Nó 1]])&gt;0,COUNTIF(tb_nos[Nó],tb_distancias[[#This Row],[Nó 2]])),"OK","NOK")</f>
        <v>OK</v>
      </c>
      <c r="J31" s="33">
        <v>1</v>
      </c>
      <c r="K31" t="s">
        <v>236</v>
      </c>
      <c r="L31" t="s">
        <v>0</v>
      </c>
      <c r="M31" t="s">
        <v>197</v>
      </c>
      <c r="N31" s="3">
        <v>8</v>
      </c>
    </row>
    <row r="32" spans="2:14" x14ac:dyDescent="0.25">
      <c r="B32" s="33">
        <v>1</v>
      </c>
      <c r="C32" s="3" t="s">
        <v>0</v>
      </c>
      <c r="D32" s="3" t="s">
        <v>73</v>
      </c>
      <c r="E32" s="3">
        <v>3.4</v>
      </c>
      <c r="F32" s="3" t="s">
        <v>202</v>
      </c>
      <c r="G32" s="29" t="s">
        <v>227</v>
      </c>
      <c r="H32" s="3" t="str">
        <f>IF(AND(COUNTIF(tb_nos[Nó],tb_distancias[[#This Row],[Nó 1]])&gt;0,COUNTIF(tb_nos[Nó],tb_distancias[[#This Row],[Nó 2]])),"OK","NOK")</f>
        <v>OK</v>
      </c>
      <c r="J32" s="33">
        <v>1</v>
      </c>
      <c r="K32" s="21" t="s">
        <v>292</v>
      </c>
      <c r="L32" s="21" t="s">
        <v>292</v>
      </c>
      <c r="M32" s="21" t="s">
        <v>293</v>
      </c>
      <c r="N32" s="81">
        <v>9</v>
      </c>
    </row>
    <row r="33" spans="2:14" x14ac:dyDescent="0.25">
      <c r="B33" s="33">
        <v>1</v>
      </c>
      <c r="C33" s="3" t="s">
        <v>0</v>
      </c>
      <c r="D33" s="3" t="s">
        <v>71</v>
      </c>
      <c r="E33" s="3">
        <v>3.9750000000000001</v>
      </c>
      <c r="F33" s="3" t="s">
        <v>227</v>
      </c>
      <c r="G33" s="29" t="s">
        <v>222</v>
      </c>
      <c r="H33" s="3" t="str">
        <f>IF(AND(COUNTIF(tb_nos[Nó],tb_distancias[[#This Row],[Nó 1]])&gt;0,COUNTIF(tb_nos[Nó],tb_distancias[[#This Row],[Nó 2]])),"OK","NOK")</f>
        <v>OK</v>
      </c>
      <c r="J33" s="33">
        <v>1</v>
      </c>
      <c r="K33" s="21" t="s">
        <v>292</v>
      </c>
      <c r="L33" s="21" t="s">
        <v>292</v>
      </c>
      <c r="M33" s="21" t="s">
        <v>298</v>
      </c>
      <c r="N33" s="81">
        <v>10</v>
      </c>
    </row>
    <row r="34" spans="2:14" x14ac:dyDescent="0.25">
      <c r="B34" s="33">
        <v>1</v>
      </c>
      <c r="C34" s="3" t="s">
        <v>0</v>
      </c>
      <c r="D34" s="3" t="s">
        <v>78</v>
      </c>
      <c r="E34" s="3">
        <v>1.2250000000000001</v>
      </c>
      <c r="F34" s="3" t="s">
        <v>222</v>
      </c>
      <c r="G34" s="29" t="s">
        <v>197</v>
      </c>
      <c r="H34" s="3" t="str">
        <f>IF(AND(COUNTIF(tb_nos[Nó],tb_distancias[[#This Row],[Nó 1]])&gt;0,COUNTIF(tb_nos[Nó],tb_distancias[[#This Row],[Nó 2]])),"OK","NOK")</f>
        <v>OK</v>
      </c>
      <c r="J34" s="33">
        <v>1</v>
      </c>
      <c r="K34" s="21" t="s">
        <v>292</v>
      </c>
      <c r="L34" s="21" t="s">
        <v>292</v>
      </c>
      <c r="M34" s="21" t="s">
        <v>293</v>
      </c>
      <c r="N34" s="81">
        <v>11</v>
      </c>
    </row>
    <row r="35" spans="2:14" x14ac:dyDescent="0.25">
      <c r="B35" s="33">
        <v>1</v>
      </c>
      <c r="C35" s="3" t="s">
        <v>0</v>
      </c>
      <c r="D35" s="3" t="s">
        <v>79</v>
      </c>
      <c r="E35" s="3">
        <v>0.86799999999999999</v>
      </c>
      <c r="F35" s="3" t="s">
        <v>197</v>
      </c>
      <c r="G35" s="29" t="s">
        <v>0</v>
      </c>
      <c r="H35" s="3" t="str">
        <f>IF(AND(COUNTIF(tb_nos[Nó],tb_distancias[[#This Row],[Nó 1]])&gt;0,COUNTIF(tb_nos[Nó],tb_distancias[[#This Row],[Nó 2]])),"OK","NOK")</f>
        <v>OK</v>
      </c>
      <c r="J35" s="33">
        <v>1</v>
      </c>
      <c r="K35" s="21" t="s">
        <v>292</v>
      </c>
      <c r="L35" s="21" t="s">
        <v>292</v>
      </c>
      <c r="M35" s="21" t="s">
        <v>197</v>
      </c>
      <c r="N35" s="81">
        <v>12</v>
      </c>
    </row>
    <row r="36" spans="2:14" x14ac:dyDescent="0.25">
      <c r="B36" s="33">
        <v>1</v>
      </c>
      <c r="C36" s="3" t="s">
        <v>0</v>
      </c>
      <c r="D36" s="3" t="s">
        <v>56</v>
      </c>
      <c r="E36" s="3">
        <v>15.516</v>
      </c>
      <c r="F36" s="3" t="s">
        <v>0</v>
      </c>
      <c r="G36" s="29" t="s">
        <v>204</v>
      </c>
      <c r="H36" s="3" t="str">
        <f>IF(AND(COUNTIF(tb_nos[Nó],tb_distancias[[#This Row],[Nó 1]])&gt;0,COUNTIF(tb_nos[Nó],tb_distancias[[#This Row],[Nó 2]])),"OK","NOK")</f>
        <v>OK</v>
      </c>
      <c r="J36" s="33">
        <v>1</v>
      </c>
      <c r="K36" s="21" t="s">
        <v>292</v>
      </c>
      <c r="L36" s="21" t="s">
        <v>292</v>
      </c>
      <c r="M36" s="21" t="s">
        <v>294</v>
      </c>
      <c r="N36" s="81">
        <v>13</v>
      </c>
    </row>
    <row r="37" spans="2:14" x14ac:dyDescent="0.25">
      <c r="B37" s="33">
        <v>1</v>
      </c>
      <c r="C37" s="3" t="s">
        <v>0</v>
      </c>
      <c r="D37" s="3" t="s">
        <v>64</v>
      </c>
      <c r="E37" s="3">
        <v>11.286</v>
      </c>
      <c r="F37" s="3" t="s">
        <v>204</v>
      </c>
      <c r="G37" s="29" t="s">
        <v>205</v>
      </c>
      <c r="H37" s="3" t="str">
        <f>IF(AND(COUNTIF(tb_nos[Nó],tb_distancias[[#This Row],[Nó 1]])&gt;0,COUNTIF(tb_nos[Nó],tb_distancias[[#This Row],[Nó 2]])),"OK","NOK")</f>
        <v>OK</v>
      </c>
      <c r="J37" s="33">
        <v>1</v>
      </c>
      <c r="K37" s="21" t="s">
        <v>292</v>
      </c>
      <c r="L37" s="21" t="s">
        <v>292</v>
      </c>
      <c r="M37" s="21" t="s">
        <v>197</v>
      </c>
      <c r="N37" s="81">
        <v>14</v>
      </c>
    </row>
    <row r="38" spans="2:14" x14ac:dyDescent="0.25">
      <c r="B38" s="33">
        <v>1</v>
      </c>
      <c r="C38" s="3" t="s">
        <v>0</v>
      </c>
      <c r="D38" s="3" t="s">
        <v>70</v>
      </c>
      <c r="E38" s="3">
        <v>8.08</v>
      </c>
      <c r="F38" s="3" t="s">
        <v>205</v>
      </c>
      <c r="G38" s="29" t="s">
        <v>209</v>
      </c>
      <c r="H38" s="3" t="str">
        <f>IF(AND(COUNTIF(tb_nos[Nó],tb_distancias[[#This Row],[Nó 1]])&gt;0,COUNTIF(tb_nos[Nó],tb_distancias[[#This Row],[Nó 2]])),"OK","NOK")</f>
        <v>OK</v>
      </c>
      <c r="J38" s="33">
        <v>1</v>
      </c>
      <c r="K38" t="s">
        <v>236</v>
      </c>
      <c r="L38" t="s">
        <v>0</v>
      </c>
      <c r="M38" t="s">
        <v>0</v>
      </c>
      <c r="N38" s="3">
        <v>15</v>
      </c>
    </row>
    <row r="39" spans="2:14" x14ac:dyDescent="0.25">
      <c r="B39" s="33">
        <v>1</v>
      </c>
      <c r="C39" s="3" t="s">
        <v>231</v>
      </c>
      <c r="D39" s="3" t="s">
        <v>190</v>
      </c>
      <c r="E39" s="3">
        <v>1.1850000000000001</v>
      </c>
      <c r="F39" s="3" t="s">
        <v>209</v>
      </c>
      <c r="G39" s="29" t="s">
        <v>232</v>
      </c>
      <c r="H39" s="3" t="str">
        <f>IF(AND(COUNTIF(tb_nos[Nó],tb_distancias[[#This Row],[Nó 1]])&gt;0,COUNTIF(tb_nos[Nó],tb_distancias[[#This Row],[Nó 2]])),"OK","NOK")</f>
        <v>OK</v>
      </c>
      <c r="J39" s="33">
        <v>1</v>
      </c>
      <c r="K39" t="s">
        <v>236</v>
      </c>
      <c r="L39" t="s">
        <v>0</v>
      </c>
      <c r="M39" t="s">
        <v>204</v>
      </c>
      <c r="N39" s="3">
        <v>16</v>
      </c>
    </row>
    <row r="40" spans="2:14" x14ac:dyDescent="0.25">
      <c r="B40" s="33">
        <v>1</v>
      </c>
      <c r="C40" s="3" t="s">
        <v>231</v>
      </c>
      <c r="D40" s="3" t="s">
        <v>185</v>
      </c>
      <c r="E40" s="3">
        <v>27.015000000000001</v>
      </c>
      <c r="F40" s="3" t="s">
        <v>232</v>
      </c>
      <c r="G40" s="29" t="s">
        <v>233</v>
      </c>
      <c r="H40" s="3" t="str">
        <f>IF(AND(COUNTIF(tb_nos[Nó],tb_distancias[[#This Row],[Nó 1]])&gt;0,COUNTIF(tb_nos[Nó],tb_distancias[[#This Row],[Nó 2]])),"OK","NOK")</f>
        <v>OK</v>
      </c>
      <c r="J40" s="33">
        <v>1</v>
      </c>
      <c r="K40" t="s">
        <v>236</v>
      </c>
      <c r="L40" t="s">
        <v>231</v>
      </c>
      <c r="M40" t="s">
        <v>205</v>
      </c>
      <c r="N40" s="3">
        <v>17</v>
      </c>
    </row>
    <row r="41" spans="2:14" x14ac:dyDescent="0.25">
      <c r="B41" s="33">
        <v>1</v>
      </c>
      <c r="C41" s="3" t="s">
        <v>231</v>
      </c>
      <c r="D41" s="3" t="s">
        <v>183</v>
      </c>
      <c r="E41" s="3">
        <v>20.324999999999999</v>
      </c>
      <c r="F41" s="3" t="s">
        <v>233</v>
      </c>
      <c r="G41" s="29" t="s">
        <v>234</v>
      </c>
      <c r="H41" s="3" t="str">
        <f>IF(AND(COUNTIF(tb_nos[Nó],tb_distancias[[#This Row],[Nó 1]])&gt;0,COUNTIF(tb_nos[Nó],tb_distancias[[#This Row],[Nó 2]])),"OK","NOK")</f>
        <v>OK</v>
      </c>
      <c r="J41" s="33">
        <v>1</v>
      </c>
      <c r="K41" t="s">
        <v>236</v>
      </c>
      <c r="L41" t="s">
        <v>231</v>
      </c>
      <c r="M41" t="s">
        <v>209</v>
      </c>
      <c r="N41" s="3">
        <v>18</v>
      </c>
    </row>
    <row r="42" spans="2:14" x14ac:dyDescent="0.25">
      <c r="B42" s="33">
        <v>1</v>
      </c>
      <c r="C42" s="3" t="s">
        <v>231</v>
      </c>
      <c r="D42" s="3" t="s">
        <v>187</v>
      </c>
      <c r="E42" s="3">
        <v>15.234999999999999</v>
      </c>
      <c r="F42" s="3" t="s">
        <v>234</v>
      </c>
      <c r="G42" s="29" t="s">
        <v>231</v>
      </c>
      <c r="H42" s="3" t="str">
        <f>IF(AND(COUNTIF(tb_nos[Nó],tb_distancias[[#This Row],[Nó 1]])&gt;0,COUNTIF(tb_nos[Nó],tb_distancias[[#This Row],[Nó 2]])),"OK","NOK")</f>
        <v>OK</v>
      </c>
      <c r="J42" s="33">
        <v>1</v>
      </c>
      <c r="K42" t="s">
        <v>236</v>
      </c>
      <c r="L42" t="s">
        <v>231</v>
      </c>
      <c r="M42" t="s">
        <v>232</v>
      </c>
      <c r="N42" s="3">
        <v>19</v>
      </c>
    </row>
    <row r="43" spans="2:14" x14ac:dyDescent="0.25">
      <c r="B43" s="33">
        <v>1</v>
      </c>
      <c r="C43" s="3" t="s">
        <v>231</v>
      </c>
      <c r="D43" s="3" t="s">
        <v>184</v>
      </c>
      <c r="E43" s="3">
        <v>24.065000000000001</v>
      </c>
      <c r="F43" s="3" t="s">
        <v>231</v>
      </c>
      <c r="G43" s="29" t="s">
        <v>235</v>
      </c>
      <c r="H43" s="3" t="str">
        <f>IF(AND(COUNTIF(tb_nos[Nó],tb_distancias[[#This Row],[Nó 1]])&gt;0,COUNTIF(tb_nos[Nó],tb_distancias[[#This Row],[Nó 2]])),"OK","NOK")</f>
        <v>OK</v>
      </c>
      <c r="J43" s="33">
        <v>1</v>
      </c>
      <c r="K43" t="s">
        <v>236</v>
      </c>
      <c r="L43" t="s">
        <v>231</v>
      </c>
      <c r="M43" t="s">
        <v>233</v>
      </c>
      <c r="N43" s="3">
        <v>20</v>
      </c>
    </row>
    <row r="44" spans="2:14" x14ac:dyDescent="0.25">
      <c r="B44" s="33">
        <v>1</v>
      </c>
      <c r="C44" s="3" t="s">
        <v>231</v>
      </c>
      <c r="D44" s="3" t="s">
        <v>189</v>
      </c>
      <c r="E44" s="3">
        <v>14.736000000000001</v>
      </c>
      <c r="F44" s="3" t="s">
        <v>235</v>
      </c>
      <c r="G44" s="29" t="s">
        <v>230</v>
      </c>
      <c r="H44" s="3" t="str">
        <f>IF(AND(COUNTIF(tb_nos[Nó],tb_distancias[[#This Row],[Nó 1]])&gt;0,COUNTIF(tb_nos[Nó],tb_distancias[[#This Row],[Nó 2]])),"OK","NOK")</f>
        <v>OK</v>
      </c>
      <c r="J44" s="33">
        <v>1</v>
      </c>
      <c r="K44" t="s">
        <v>236</v>
      </c>
      <c r="L44" t="s">
        <v>231</v>
      </c>
      <c r="M44" t="s">
        <v>234</v>
      </c>
      <c r="N44" s="3">
        <v>21</v>
      </c>
    </row>
    <row r="45" spans="2:14" x14ac:dyDescent="0.25">
      <c r="B45" s="33">
        <v>1</v>
      </c>
      <c r="C45" s="3" t="s">
        <v>231</v>
      </c>
      <c r="D45" s="3" t="s">
        <v>188</v>
      </c>
      <c r="E45" s="3">
        <v>13.045</v>
      </c>
      <c r="F45" s="3" t="s">
        <v>230</v>
      </c>
      <c r="G45" s="29" t="s">
        <v>229</v>
      </c>
      <c r="H45" s="3" t="str">
        <f>IF(AND(COUNTIF(tb_nos[Nó],tb_distancias[[#This Row],[Nó 1]])&gt;0,COUNTIF(tb_nos[Nó],tb_distancias[[#This Row],[Nó 2]])),"OK","NOK")</f>
        <v>OK</v>
      </c>
      <c r="J45" s="33">
        <v>1</v>
      </c>
      <c r="K45" t="s">
        <v>236</v>
      </c>
      <c r="L45" t="s">
        <v>231</v>
      </c>
      <c r="M45" t="s">
        <v>231</v>
      </c>
      <c r="N45" s="3">
        <v>22</v>
      </c>
    </row>
    <row r="46" spans="2:14" x14ac:dyDescent="0.25">
      <c r="B46" s="33">
        <v>1</v>
      </c>
      <c r="C46" s="3" t="s">
        <v>231</v>
      </c>
      <c r="D46" s="3" t="s">
        <v>186</v>
      </c>
      <c r="E46" s="3">
        <v>7.681</v>
      </c>
      <c r="F46" s="3" t="s">
        <v>229</v>
      </c>
      <c r="G46" s="29" t="s">
        <v>219</v>
      </c>
      <c r="H46" s="3" t="str">
        <f>IF(AND(COUNTIF(tb_nos[Nó],tb_distancias[[#This Row],[Nó 1]])&gt;0,COUNTIF(tb_nos[Nó],tb_distancias[[#This Row],[Nó 2]])),"OK","NOK")</f>
        <v>OK</v>
      </c>
      <c r="J46" s="33">
        <v>1</v>
      </c>
      <c r="K46" t="s">
        <v>236</v>
      </c>
      <c r="L46" t="s">
        <v>231</v>
      </c>
      <c r="M46" t="s">
        <v>235</v>
      </c>
      <c r="N46" s="3">
        <v>23</v>
      </c>
    </row>
    <row r="47" spans="2:14" x14ac:dyDescent="0.25">
      <c r="B47" s="33">
        <v>1</v>
      </c>
      <c r="C47" s="79" t="s">
        <v>276</v>
      </c>
      <c r="D47" s="79" t="s">
        <v>286</v>
      </c>
      <c r="E47" s="79">
        <v>3.2</v>
      </c>
      <c r="F47" s="79" t="s">
        <v>277</v>
      </c>
      <c r="G47" s="80" t="s">
        <v>278</v>
      </c>
      <c r="H47" s="79" t="str">
        <f>IF(AND(COUNTIF(tb_nos[Nó],tb_distancias[[#This Row],[Nó 1]])&gt;0,COUNTIF(tb_nos[Nó],tb_distancias[[#This Row],[Nó 2]])),"OK","NOK")</f>
        <v>OK</v>
      </c>
      <c r="J47" s="33">
        <v>1</v>
      </c>
      <c r="K47" t="s">
        <v>236</v>
      </c>
      <c r="L47" t="s">
        <v>231</v>
      </c>
      <c r="M47" t="s">
        <v>230</v>
      </c>
      <c r="N47" s="3">
        <v>24</v>
      </c>
    </row>
    <row r="48" spans="2:14" x14ac:dyDescent="0.25">
      <c r="B48" s="33">
        <v>1</v>
      </c>
      <c r="C48" s="79" t="s">
        <v>276</v>
      </c>
      <c r="D48" s="79" t="s">
        <v>287</v>
      </c>
      <c r="E48" s="79">
        <v>1.6</v>
      </c>
      <c r="F48" s="79" t="s">
        <v>278</v>
      </c>
      <c r="G48" s="80" t="s">
        <v>279</v>
      </c>
      <c r="H48" s="79" t="str">
        <f>IF(AND(COUNTIF(tb_nos[Nó],tb_distancias[[#This Row],[Nó 1]])&gt;0,COUNTIF(tb_nos[Nó],tb_distancias[[#This Row],[Nó 2]])),"OK","NOK")</f>
        <v>OK</v>
      </c>
      <c r="J48" s="33">
        <v>1</v>
      </c>
      <c r="K48" t="s">
        <v>236</v>
      </c>
      <c r="L48" t="s">
        <v>231</v>
      </c>
      <c r="M48" t="s">
        <v>229</v>
      </c>
      <c r="N48" s="3">
        <v>25</v>
      </c>
    </row>
    <row r="49" spans="2:14" x14ac:dyDescent="0.25">
      <c r="B49" s="33">
        <v>1</v>
      </c>
      <c r="C49" s="79" t="s">
        <v>276</v>
      </c>
      <c r="D49" s="79" t="s">
        <v>288</v>
      </c>
      <c r="E49" s="79">
        <v>7.2</v>
      </c>
      <c r="F49" s="79" t="s">
        <v>279</v>
      </c>
      <c r="G49" s="80" t="s">
        <v>280</v>
      </c>
      <c r="H49" s="79" t="str">
        <f>IF(AND(COUNTIF(tb_nos[Nó],tb_distancias[[#This Row],[Nó 1]])&gt;0,COUNTIF(tb_nos[Nó],tb_distancias[[#This Row],[Nó 2]])),"OK","NOK")</f>
        <v>OK</v>
      </c>
      <c r="J49" s="33">
        <v>1</v>
      </c>
      <c r="K49" t="s">
        <v>236</v>
      </c>
      <c r="L49" t="s">
        <v>59</v>
      </c>
      <c r="M49" t="s">
        <v>219</v>
      </c>
      <c r="N49" s="3">
        <v>26</v>
      </c>
    </row>
    <row r="50" spans="2:14" x14ac:dyDescent="0.25">
      <c r="B50" s="33">
        <v>1</v>
      </c>
      <c r="C50" s="79" t="s">
        <v>276</v>
      </c>
      <c r="D50" s="79" t="s">
        <v>289</v>
      </c>
      <c r="E50" s="79">
        <v>4.8</v>
      </c>
      <c r="F50" s="79" t="s">
        <v>280</v>
      </c>
      <c r="G50" s="80" t="s">
        <v>281</v>
      </c>
      <c r="H50" s="79" t="str">
        <f>IF(AND(COUNTIF(tb_nos[Nó],tb_distancias[[#This Row],[Nó 1]])&gt;0,COUNTIF(tb_nos[Nó],tb_distancias[[#This Row],[Nó 2]])),"OK","NOK")</f>
        <v>OK</v>
      </c>
      <c r="J50" s="33">
        <v>1</v>
      </c>
      <c r="K50" t="s">
        <v>236</v>
      </c>
      <c r="L50" t="s">
        <v>59</v>
      </c>
      <c r="M50" t="s">
        <v>218</v>
      </c>
      <c r="N50" s="3">
        <v>27</v>
      </c>
    </row>
    <row r="51" spans="2:14" x14ac:dyDescent="0.25">
      <c r="B51" s="33">
        <v>1</v>
      </c>
      <c r="C51" s="79" t="s">
        <v>276</v>
      </c>
      <c r="D51" s="79" t="s">
        <v>290</v>
      </c>
      <c r="E51" s="79">
        <v>8</v>
      </c>
      <c r="F51" s="79" t="s">
        <v>281</v>
      </c>
      <c r="G51" s="80" t="s">
        <v>282</v>
      </c>
      <c r="H51" s="79" t="str">
        <f>IF(AND(COUNTIF(tb_nos[Nó],tb_distancias[[#This Row],[Nó 1]])&gt;0,COUNTIF(tb_nos[Nó],tb_distancias[[#This Row],[Nó 2]])),"OK","NOK")</f>
        <v>OK</v>
      </c>
      <c r="J51" s="33">
        <v>1</v>
      </c>
      <c r="K51" s="21" t="s">
        <v>276</v>
      </c>
      <c r="L51" s="21" t="s">
        <v>276</v>
      </c>
      <c r="M51" s="21" t="s">
        <v>285</v>
      </c>
      <c r="N51" s="81">
        <v>28</v>
      </c>
    </row>
    <row r="52" spans="2:14" x14ac:dyDescent="0.25">
      <c r="B52" s="33">
        <v>1</v>
      </c>
      <c r="C52" s="79" t="s">
        <v>276</v>
      </c>
      <c r="D52" s="79" t="s">
        <v>291</v>
      </c>
      <c r="E52" s="79">
        <v>9.6</v>
      </c>
      <c r="F52" s="79" t="s">
        <v>282</v>
      </c>
      <c r="G52" s="80" t="s">
        <v>283</v>
      </c>
      <c r="H52" s="79" t="str">
        <f>IF(AND(COUNTIF(tb_nos[Nó],tb_distancias[[#This Row],[Nó 1]])&gt;0,COUNTIF(tb_nos[Nó],tb_distancias[[#This Row],[Nó 2]])),"OK","NOK")</f>
        <v>OK</v>
      </c>
      <c r="J52" s="33">
        <v>1</v>
      </c>
      <c r="K52" s="21" t="s">
        <v>276</v>
      </c>
      <c r="L52" s="21" t="s">
        <v>276</v>
      </c>
      <c r="M52" s="21" t="s">
        <v>218</v>
      </c>
      <c r="N52" s="81">
        <v>29</v>
      </c>
    </row>
    <row r="53" spans="2:14" x14ac:dyDescent="0.25">
      <c r="B53" s="33">
        <v>1</v>
      </c>
      <c r="C53" s="79" t="s">
        <v>276</v>
      </c>
      <c r="D53" s="79" t="s">
        <v>318</v>
      </c>
      <c r="E53" s="79">
        <v>4.4000000000000004</v>
      </c>
      <c r="F53" s="79" t="s">
        <v>283</v>
      </c>
      <c r="G53" s="80" t="s">
        <v>218</v>
      </c>
      <c r="H53" s="79" t="str">
        <f>IF(AND(COUNTIF(tb_nos[Nó],tb_distancias[[#This Row],[Nó 1]])&gt;0,COUNTIF(tb_nos[Nó],tb_distancias[[#This Row],[Nó 2]])),"OK","NOK")</f>
        <v>OK</v>
      </c>
      <c r="J53" s="33">
        <v>1</v>
      </c>
      <c r="K53" s="21" t="s">
        <v>276</v>
      </c>
      <c r="L53" s="21" t="s">
        <v>276</v>
      </c>
      <c r="M53" s="21" t="s">
        <v>283</v>
      </c>
      <c r="N53" s="81">
        <v>30</v>
      </c>
    </row>
    <row r="54" spans="2:14" x14ac:dyDescent="0.25">
      <c r="B54" s="33">
        <v>1</v>
      </c>
      <c r="C54" s="79" t="s">
        <v>276</v>
      </c>
      <c r="D54" s="79" t="s">
        <v>319</v>
      </c>
      <c r="E54" s="79">
        <v>1.1000000000000001</v>
      </c>
      <c r="F54" s="79" t="s">
        <v>218</v>
      </c>
      <c r="G54" s="80" t="s">
        <v>285</v>
      </c>
      <c r="H54" s="79" t="str">
        <f>IF(AND(COUNTIF(tb_nos[Nó],tb_distancias[[#This Row],[Nó 1]])&gt;0,COUNTIF(tb_nos[Nó],tb_distancias[[#This Row],[Nó 2]])),"OK","NOK")</f>
        <v>OK</v>
      </c>
      <c r="J54" s="33">
        <v>1</v>
      </c>
      <c r="K54" s="21" t="s">
        <v>276</v>
      </c>
      <c r="L54" s="21" t="s">
        <v>276</v>
      </c>
      <c r="M54" s="21" t="s">
        <v>282</v>
      </c>
      <c r="N54" s="81">
        <v>31</v>
      </c>
    </row>
    <row r="55" spans="2:14" x14ac:dyDescent="0.25">
      <c r="B55" s="79">
        <v>1</v>
      </c>
      <c r="C55" s="79" t="s">
        <v>292</v>
      </c>
      <c r="D55" s="79" t="s">
        <v>296</v>
      </c>
      <c r="E55" s="79">
        <v>6.9</v>
      </c>
      <c r="F55" s="79" t="s">
        <v>298</v>
      </c>
      <c r="G55" s="80" t="s">
        <v>293</v>
      </c>
      <c r="H55" s="79" t="str">
        <f>IF(AND(COUNTIF(tb_nos[Nó],tb_distancias[[#This Row],[Nó 1]])&gt;0,COUNTIF(tb_nos[Nó],tb_distancias[[#This Row],[Nó 2]])),"OK","NOK")</f>
        <v>OK</v>
      </c>
      <c r="J55" s="33">
        <v>1</v>
      </c>
      <c r="K55" s="21" t="s">
        <v>276</v>
      </c>
      <c r="L55" s="21" t="s">
        <v>276</v>
      </c>
      <c r="M55" s="21" t="s">
        <v>281</v>
      </c>
      <c r="N55" s="81">
        <v>32</v>
      </c>
    </row>
    <row r="56" spans="2:14" x14ac:dyDescent="0.25">
      <c r="B56" s="79">
        <v>1</v>
      </c>
      <c r="C56" s="79" t="s">
        <v>292</v>
      </c>
      <c r="D56" s="79" t="s">
        <v>320</v>
      </c>
      <c r="E56" s="79">
        <v>11</v>
      </c>
      <c r="F56" s="79" t="s">
        <v>293</v>
      </c>
      <c r="G56" s="80" t="s">
        <v>197</v>
      </c>
      <c r="H56" s="79" t="str">
        <f>IF(AND(COUNTIF(tb_nos[Nó],tb_distancias[[#This Row],[Nó 1]])&gt;0,COUNTIF(tb_nos[Nó],tb_distancias[[#This Row],[Nó 2]])),"OK","NOK")</f>
        <v>OK</v>
      </c>
      <c r="J56" s="33">
        <v>1</v>
      </c>
      <c r="K56" s="21" t="s">
        <v>276</v>
      </c>
      <c r="L56" s="21" t="s">
        <v>276</v>
      </c>
      <c r="M56" s="21" t="s">
        <v>280</v>
      </c>
      <c r="N56" s="81">
        <v>33</v>
      </c>
    </row>
    <row r="57" spans="2:14" x14ac:dyDescent="0.25">
      <c r="B57" s="79">
        <v>1</v>
      </c>
      <c r="C57" s="79" t="s">
        <v>292</v>
      </c>
      <c r="D57" s="79" t="s">
        <v>321</v>
      </c>
      <c r="E57" s="79">
        <v>14.5</v>
      </c>
      <c r="F57" s="79" t="s">
        <v>197</v>
      </c>
      <c r="G57" s="80" t="s">
        <v>294</v>
      </c>
      <c r="H57" s="79" t="str">
        <f>IF(AND(COUNTIF(tb_nos[Nó],tb_distancias[[#This Row],[Nó 1]])&gt;0,COUNTIF(tb_nos[Nó],tb_distancias[[#This Row],[Nó 2]])),"OK","NOK")</f>
        <v>OK</v>
      </c>
      <c r="J57" s="33">
        <v>1</v>
      </c>
      <c r="K57" s="21" t="s">
        <v>276</v>
      </c>
      <c r="L57" s="21" t="s">
        <v>276</v>
      </c>
      <c r="M57" s="21" t="s">
        <v>279</v>
      </c>
      <c r="N57" s="81">
        <v>34</v>
      </c>
    </row>
    <row r="58" spans="2:14" x14ac:dyDescent="0.25">
      <c r="B58" s="79">
        <v>1</v>
      </c>
      <c r="C58" s="79" t="s">
        <v>292</v>
      </c>
      <c r="D58" s="79" t="s">
        <v>297</v>
      </c>
      <c r="E58" s="79">
        <v>7.4</v>
      </c>
      <c r="F58" s="79" t="s">
        <v>294</v>
      </c>
      <c r="G58" s="80" t="s">
        <v>295</v>
      </c>
      <c r="H58" s="79" t="str">
        <f>IF(AND(COUNTIF(tb_nos[Nó],tb_distancias[[#This Row],[Nó 1]])&gt;0,COUNTIF(tb_nos[Nó],tb_distancias[[#This Row],[Nó 2]])),"OK","NOK")</f>
        <v>NOK</v>
      </c>
      <c r="J58" s="33">
        <v>1</v>
      </c>
      <c r="K58" s="21" t="s">
        <v>276</v>
      </c>
      <c r="L58" s="21" t="s">
        <v>276</v>
      </c>
      <c r="M58" s="21" t="s">
        <v>278</v>
      </c>
      <c r="N58" s="81">
        <v>35</v>
      </c>
    </row>
    <row r="59" spans="2:14" x14ac:dyDescent="0.25">
      <c r="B59" s="33">
        <v>1</v>
      </c>
      <c r="C59" s="3" t="s">
        <v>307</v>
      </c>
      <c r="D59" s="3" t="s">
        <v>313</v>
      </c>
      <c r="E59" s="3">
        <v>3.4</v>
      </c>
      <c r="F59" s="3" t="s">
        <v>300</v>
      </c>
      <c r="G59" s="29" t="s">
        <v>301</v>
      </c>
      <c r="H59" s="3" t="str">
        <f>IF(AND(COUNTIF(tb_nos[Nó],tb_distancias[[#This Row],[Nó 1]])&gt;0,COUNTIF(tb_nos[Nó],tb_distancias[[#This Row],[Nó 2]])),"OK","NOK")</f>
        <v>OK</v>
      </c>
      <c r="J59" s="33">
        <v>1</v>
      </c>
      <c r="K59" s="21" t="s">
        <v>276</v>
      </c>
      <c r="L59" s="21" t="s">
        <v>276</v>
      </c>
      <c r="M59" s="21" t="s">
        <v>277</v>
      </c>
      <c r="N59" s="81">
        <v>36</v>
      </c>
    </row>
    <row r="60" spans="2:14" x14ac:dyDescent="0.25">
      <c r="B60" s="33">
        <v>1</v>
      </c>
      <c r="C60" s="3" t="s">
        <v>307</v>
      </c>
      <c r="D60" s="3" t="s">
        <v>312</v>
      </c>
      <c r="E60" s="3">
        <v>6</v>
      </c>
      <c r="F60" s="3" t="s">
        <v>301</v>
      </c>
      <c r="G60" s="29" t="s">
        <v>302</v>
      </c>
      <c r="H60" s="3" t="str">
        <f>IF(AND(COUNTIF(tb_nos[Nó],tb_distancias[[#This Row],[Nó 1]])&gt;0,COUNTIF(tb_nos[Nó],tb_distancias[[#This Row],[Nó 2]])),"OK","NOK")</f>
        <v>OK</v>
      </c>
      <c r="J60" s="33">
        <v>1</v>
      </c>
      <c r="K60" s="21" t="s">
        <v>276</v>
      </c>
      <c r="L60" s="21" t="s">
        <v>276</v>
      </c>
      <c r="M60" s="21" t="s">
        <v>278</v>
      </c>
      <c r="N60" s="81">
        <v>37</v>
      </c>
    </row>
    <row r="61" spans="2:14" x14ac:dyDescent="0.25">
      <c r="B61" s="33">
        <v>1</v>
      </c>
      <c r="C61" s="3" t="s">
        <v>307</v>
      </c>
      <c r="D61" s="3" t="s">
        <v>311</v>
      </c>
      <c r="E61" s="3">
        <v>6.8</v>
      </c>
      <c r="F61" s="3" t="s">
        <v>302</v>
      </c>
      <c r="G61" s="29" t="s">
        <v>303</v>
      </c>
      <c r="H61" s="3" t="str">
        <f>IF(AND(COUNTIF(tb_nos[Nó],tb_distancias[[#This Row],[Nó 1]])&gt;0,COUNTIF(tb_nos[Nó],tb_distancias[[#This Row],[Nó 2]])),"OK","NOK")</f>
        <v>OK</v>
      </c>
      <c r="J61" s="33">
        <v>1</v>
      </c>
      <c r="K61" s="21" t="s">
        <v>276</v>
      </c>
      <c r="L61" s="21" t="s">
        <v>276</v>
      </c>
      <c r="M61" s="21" t="s">
        <v>279</v>
      </c>
      <c r="N61" s="81">
        <v>38</v>
      </c>
    </row>
    <row r="62" spans="2:14" x14ac:dyDescent="0.25">
      <c r="B62" s="33">
        <v>1</v>
      </c>
      <c r="C62" s="3" t="s">
        <v>307</v>
      </c>
      <c r="D62" s="3" t="s">
        <v>314</v>
      </c>
      <c r="E62" s="3">
        <v>3.5</v>
      </c>
      <c r="F62" s="3" t="s">
        <v>303</v>
      </c>
      <c r="G62" s="29" t="s">
        <v>304</v>
      </c>
      <c r="H62" s="3" t="str">
        <f>IF(AND(COUNTIF(tb_nos[Nó],tb_distancias[[#This Row],[Nó 1]])&gt;0,COUNTIF(tb_nos[Nó],tb_distancias[[#This Row],[Nó 2]])),"OK","NOK")</f>
        <v>NOK</v>
      </c>
      <c r="J62" s="33">
        <v>1</v>
      </c>
      <c r="K62" s="21" t="s">
        <v>276</v>
      </c>
      <c r="L62" s="21" t="s">
        <v>276</v>
      </c>
      <c r="M62" s="21" t="s">
        <v>280</v>
      </c>
      <c r="N62" s="81">
        <v>39</v>
      </c>
    </row>
    <row r="63" spans="2:14" x14ac:dyDescent="0.25">
      <c r="B63" s="33">
        <v>1</v>
      </c>
      <c r="C63" s="3" t="s">
        <v>307</v>
      </c>
      <c r="D63" s="3" t="s">
        <v>310</v>
      </c>
      <c r="E63" s="3">
        <v>3.4</v>
      </c>
      <c r="F63" s="3" t="s">
        <v>304</v>
      </c>
      <c r="G63" s="29" t="s">
        <v>305</v>
      </c>
      <c r="H63" s="3" t="str">
        <f>IF(AND(COUNTIF(tb_nos[Nó],tb_distancias[[#This Row],[Nó 1]])&gt;0,COUNTIF(tb_nos[Nó],tb_distancias[[#This Row],[Nó 2]])),"OK","NOK")</f>
        <v>NOK</v>
      </c>
      <c r="J63" s="33">
        <v>1</v>
      </c>
      <c r="K63" s="21" t="s">
        <v>276</v>
      </c>
      <c r="L63" s="21" t="s">
        <v>276</v>
      </c>
      <c r="M63" s="21" t="s">
        <v>281</v>
      </c>
      <c r="N63" s="81">
        <v>40</v>
      </c>
    </row>
    <row r="64" spans="2:14" x14ac:dyDescent="0.25">
      <c r="B64" s="33">
        <v>1</v>
      </c>
      <c r="C64" s="3" t="s">
        <v>307</v>
      </c>
      <c r="D64" s="3" t="s">
        <v>308</v>
      </c>
      <c r="E64" s="3">
        <v>8.3000000000000007</v>
      </c>
      <c r="F64" s="3" t="s">
        <v>305</v>
      </c>
      <c r="G64" s="29" t="s">
        <v>298</v>
      </c>
      <c r="H64" s="3" t="str">
        <f>IF(AND(COUNTIF(tb_nos[Nó],tb_distancias[[#This Row],[Nó 1]])&gt;0,COUNTIF(tb_nos[Nó],tb_distancias[[#This Row],[Nó 2]])),"OK","NOK")</f>
        <v>NOK</v>
      </c>
      <c r="J64" s="33">
        <v>1</v>
      </c>
      <c r="K64" s="21" t="s">
        <v>276</v>
      </c>
      <c r="L64" s="21" t="s">
        <v>276</v>
      </c>
      <c r="M64" s="21" t="s">
        <v>282</v>
      </c>
      <c r="N64" s="81">
        <v>41</v>
      </c>
    </row>
    <row r="65" spans="2:14" x14ac:dyDescent="0.25">
      <c r="B65" s="33">
        <v>1</v>
      </c>
      <c r="C65" s="3" t="s">
        <v>307</v>
      </c>
      <c r="D65" s="3" t="s">
        <v>309</v>
      </c>
      <c r="E65" s="3">
        <v>3</v>
      </c>
      <c r="F65" s="3" t="s">
        <v>298</v>
      </c>
      <c r="G65" s="29" t="s">
        <v>306</v>
      </c>
      <c r="H65" s="3" t="str">
        <f>IF(AND(COUNTIF(tb_nos[Nó],tb_distancias[[#This Row],[Nó 1]])&gt;0,COUNTIF(tb_nos[Nó],tb_distancias[[#This Row],[Nó 2]])),"OK","NOK")</f>
        <v>NOK</v>
      </c>
      <c r="J65" s="33">
        <v>1</v>
      </c>
      <c r="K65" s="21" t="s">
        <v>276</v>
      </c>
      <c r="L65" s="21" t="s">
        <v>276</v>
      </c>
      <c r="M65" s="21" t="s">
        <v>283</v>
      </c>
      <c r="N65" s="81">
        <v>42</v>
      </c>
    </row>
    <row r="66" spans="2:14" x14ac:dyDescent="0.25">
      <c r="J66" s="33">
        <v>1</v>
      </c>
      <c r="K66" s="21" t="s">
        <v>276</v>
      </c>
      <c r="L66" s="21" t="s">
        <v>276</v>
      </c>
      <c r="M66" s="21" t="s">
        <v>218</v>
      </c>
      <c r="N66" s="81">
        <v>43</v>
      </c>
    </row>
    <row r="67" spans="2:14" x14ac:dyDescent="0.25">
      <c r="J67" s="33">
        <v>1</v>
      </c>
      <c r="K67" t="s">
        <v>236</v>
      </c>
      <c r="L67" t="s">
        <v>59</v>
      </c>
      <c r="M67" t="s">
        <v>59</v>
      </c>
      <c r="N67" s="3">
        <v>44</v>
      </c>
    </row>
    <row r="68" spans="2:14" x14ac:dyDescent="0.25">
      <c r="J68" s="33">
        <v>1</v>
      </c>
      <c r="K68" t="s">
        <v>236</v>
      </c>
      <c r="L68" t="s">
        <v>59</v>
      </c>
      <c r="M68" t="s">
        <v>217</v>
      </c>
      <c r="N68" s="3">
        <v>45</v>
      </c>
    </row>
    <row r="69" spans="2:14" x14ac:dyDescent="0.25">
      <c r="J69" s="33">
        <v>1</v>
      </c>
      <c r="K69" t="s">
        <v>236</v>
      </c>
      <c r="L69" t="s">
        <v>59</v>
      </c>
      <c r="M69" t="s">
        <v>198</v>
      </c>
      <c r="N69" s="3">
        <v>46</v>
      </c>
    </row>
    <row r="70" spans="2:14" x14ac:dyDescent="0.25">
      <c r="J70" s="33">
        <v>1</v>
      </c>
      <c r="K70" t="s">
        <v>236</v>
      </c>
      <c r="L70" t="s">
        <v>57</v>
      </c>
      <c r="M70" t="s">
        <v>199</v>
      </c>
      <c r="N70" s="3">
        <v>47</v>
      </c>
    </row>
    <row r="71" spans="2:14" x14ac:dyDescent="0.25">
      <c r="J71" s="33">
        <v>1</v>
      </c>
      <c r="K71" t="s">
        <v>236</v>
      </c>
      <c r="L71" t="s">
        <v>57</v>
      </c>
      <c r="M71" t="s">
        <v>57</v>
      </c>
      <c r="N71" s="3">
        <v>48</v>
      </c>
    </row>
    <row r="72" spans="2:14" x14ac:dyDescent="0.25">
      <c r="J72" s="33">
        <v>1</v>
      </c>
      <c r="K72" t="s">
        <v>236</v>
      </c>
      <c r="L72" t="s">
        <v>57</v>
      </c>
      <c r="M72" t="s">
        <v>210</v>
      </c>
      <c r="N72" s="3">
        <v>49</v>
      </c>
    </row>
    <row r="73" spans="2:14" x14ac:dyDescent="0.25">
      <c r="J73" s="33">
        <v>1</v>
      </c>
      <c r="K73" t="s">
        <v>236</v>
      </c>
      <c r="L73" t="s">
        <v>57</v>
      </c>
      <c r="M73" t="s">
        <v>211</v>
      </c>
      <c r="N73" s="3">
        <v>50</v>
      </c>
    </row>
    <row r="74" spans="2:14" x14ac:dyDescent="0.25">
      <c r="J74" s="33">
        <v>1</v>
      </c>
      <c r="K74" t="s">
        <v>236</v>
      </c>
      <c r="L74" t="s">
        <v>57</v>
      </c>
      <c r="M74" t="s">
        <v>206</v>
      </c>
      <c r="N74" s="3">
        <v>51</v>
      </c>
    </row>
    <row r="75" spans="2:14" x14ac:dyDescent="0.25">
      <c r="J75" s="33">
        <v>1</v>
      </c>
      <c r="K75" t="s">
        <v>236</v>
      </c>
      <c r="L75" t="s">
        <v>57</v>
      </c>
      <c r="M75" t="s">
        <v>207</v>
      </c>
      <c r="N75" s="3">
        <v>52</v>
      </c>
    </row>
    <row r="76" spans="2:14" x14ac:dyDescent="0.25">
      <c r="J76" s="33">
        <v>1</v>
      </c>
      <c r="K76" t="s">
        <v>236</v>
      </c>
      <c r="L76" t="s">
        <v>57</v>
      </c>
      <c r="M76" t="s">
        <v>216</v>
      </c>
      <c r="N76" s="3">
        <v>53</v>
      </c>
    </row>
  </sheetData>
  <mergeCells count="1">
    <mergeCell ref="A1:AC3"/>
  </mergeCells>
  <phoneticPr fontId="8" type="noConversion"/>
  <conditionalFormatting sqref="H6:H65">
    <cfRule type="cellIs" dxfId="136" priority="1" operator="equal">
      <formula>"NOK"</formula>
    </cfRule>
  </conditionalFormatting>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4"/>
  <sheetViews>
    <sheetView showGridLines="0" topLeftCell="F1" zoomScale="81" zoomScaleNormal="50" workbookViewId="0">
      <selection activeCell="W6" sqref="W6:AF14"/>
    </sheetView>
  </sheetViews>
  <sheetFormatPr defaultRowHeight="15" x14ac:dyDescent="0.25"/>
  <cols>
    <col min="3" max="3" width="11.42578125" bestFit="1" customWidth="1"/>
    <col min="4" max="4" width="12.7109375" bestFit="1" customWidth="1"/>
    <col min="5" max="5" width="15.85546875" bestFit="1" customWidth="1"/>
    <col min="6" max="6" width="14.28515625" bestFit="1" customWidth="1"/>
    <col min="7" max="7" width="10.140625" customWidth="1"/>
    <col min="8" max="9" width="8.5703125" customWidth="1"/>
    <col min="10" max="10" width="6.85546875" customWidth="1"/>
    <col min="11" max="11" width="6.7109375" customWidth="1"/>
    <col min="12" max="12" width="6.28515625" bestFit="1" customWidth="1"/>
    <col min="13" max="13" width="7.42578125" bestFit="1" customWidth="1"/>
    <col min="14" max="14" width="12.7109375" bestFit="1" customWidth="1"/>
    <col min="15" max="15" width="15.85546875" bestFit="1" customWidth="1"/>
    <col min="16" max="16" width="14.28515625" bestFit="1" customWidth="1"/>
    <col min="17" max="17" width="10.140625" hidden="1" customWidth="1"/>
    <col min="18" max="19" width="8.5703125" hidden="1" customWidth="1"/>
    <col min="20" max="20" width="8.42578125" hidden="1" customWidth="1"/>
    <col min="21" max="21" width="11.85546875" customWidth="1"/>
    <col min="22" max="22" width="13.42578125" customWidth="1"/>
    <col min="23" max="23" width="8.5703125" customWidth="1"/>
    <col min="24" max="24" width="19.5703125" style="3" customWidth="1"/>
    <col min="25" max="25" width="25" style="3" customWidth="1"/>
    <col min="26" max="26" width="25.5703125" bestFit="1" customWidth="1"/>
    <col min="27" max="27" width="22.42578125" bestFit="1" customWidth="1"/>
    <col min="28" max="32" width="8.5703125" customWidth="1"/>
  </cols>
  <sheetData>
    <row r="1" spans="1:43" x14ac:dyDescent="0.25">
      <c r="A1" s="86" t="s">
        <v>175</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row>
    <row r="2" spans="1:43"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row>
    <row r="3" spans="1:43"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row>
    <row r="5" spans="1:43" x14ac:dyDescent="0.25">
      <c r="B5" s="4" t="s">
        <v>53</v>
      </c>
      <c r="C5" s="4" t="s">
        <v>40</v>
      </c>
      <c r="D5" s="4" t="s">
        <v>147</v>
      </c>
      <c r="E5" s="4" t="s">
        <v>148</v>
      </c>
      <c r="F5" s="4" t="s">
        <v>41</v>
      </c>
      <c r="G5" s="4" t="s">
        <v>34</v>
      </c>
      <c r="H5" s="4" t="s">
        <v>11</v>
      </c>
      <c r="I5" s="4" t="s">
        <v>12</v>
      </c>
      <c r="J5" s="4" t="s">
        <v>35</v>
      </c>
      <c r="L5" s="32" t="s">
        <v>99</v>
      </c>
      <c r="M5" s="4" t="s">
        <v>3</v>
      </c>
      <c r="N5" s="4" t="s">
        <v>153</v>
      </c>
      <c r="O5" s="4" t="s">
        <v>149</v>
      </c>
      <c r="P5" s="4" t="s">
        <v>150</v>
      </c>
      <c r="Q5" s="4" t="s">
        <v>40</v>
      </c>
      <c r="R5" s="4" t="s">
        <v>41</v>
      </c>
      <c r="S5" s="4" t="s">
        <v>50</v>
      </c>
      <c r="T5" s="4" t="s">
        <v>51</v>
      </c>
      <c r="V5" s="32" t="s">
        <v>99</v>
      </c>
      <c r="W5" s="4" t="s">
        <v>5</v>
      </c>
      <c r="X5" s="5" t="s">
        <v>3</v>
      </c>
      <c r="Y5" s="5" t="s">
        <v>106</v>
      </c>
      <c r="Z5" s="4" t="s">
        <v>50</v>
      </c>
      <c r="AA5" s="4" t="s">
        <v>51</v>
      </c>
      <c r="AB5" s="4" t="s">
        <v>11</v>
      </c>
      <c r="AC5" s="4" t="s">
        <v>12</v>
      </c>
      <c r="AD5" s="4" t="s">
        <v>13</v>
      </c>
      <c r="AE5" s="4" t="s">
        <v>14</v>
      </c>
      <c r="AF5" s="4" t="s">
        <v>52</v>
      </c>
      <c r="AG5" s="32" t="s">
        <v>239</v>
      </c>
    </row>
    <row r="6" spans="1:43" hidden="1" x14ac:dyDescent="0.2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47</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0</v>
      </c>
      <c r="W6" t="s">
        <v>15</v>
      </c>
      <c r="X6" s="3" t="s">
        <v>106</v>
      </c>
      <c r="Y6" s="3" t="s">
        <v>107</v>
      </c>
      <c r="Z6" t="s">
        <v>300</v>
      </c>
      <c r="AA6" t="s">
        <v>215</v>
      </c>
      <c r="AB6">
        <v>0</v>
      </c>
      <c r="AC6">
        <v>0</v>
      </c>
      <c r="AD6">
        <v>10</v>
      </c>
      <c r="AE6">
        <v>10</v>
      </c>
      <c r="AF6">
        <v>0</v>
      </c>
      <c r="AG6" s="3" t="str">
        <f>IF(AND(COUNTIF(tb_nos[Nó],tb_areas_servico[[#This Row],[Nó Início]])&gt;0,COUNTIF(tb_nos[Nó],tb_areas_servico[[#This Row],[Nó Fim]])),"OK","NOK")</f>
        <v>OK</v>
      </c>
    </row>
    <row r="7" spans="1:43" x14ac:dyDescent="0.2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48</v>
      </c>
      <c r="N7">
        <v>60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c r="V7" s="33">
        <v>1</v>
      </c>
      <c r="W7" t="s">
        <v>236</v>
      </c>
      <c r="X7" s="3" t="s">
        <v>106</v>
      </c>
      <c r="Y7" s="3" t="s">
        <v>248</v>
      </c>
      <c r="Z7" s="2" t="s">
        <v>0</v>
      </c>
      <c r="AA7" t="s">
        <v>204</v>
      </c>
      <c r="AB7">
        <v>0</v>
      </c>
      <c r="AC7">
        <v>0</v>
      </c>
      <c r="AD7">
        <v>10</v>
      </c>
      <c r="AE7">
        <v>10</v>
      </c>
      <c r="AF7">
        <v>0</v>
      </c>
      <c r="AG7" s="3" t="str">
        <f>IF(AND(COUNTIF(tb_nos[Nó],tb_areas_servico[[#This Row],[Nó Início]])&gt;0,COUNTIF(tb_nos[Nó],tb_areas_servico[[#This Row],[Nó Fim]])),"OK","NOK")</f>
        <v>OK</v>
      </c>
    </row>
    <row r="8" spans="1:43" x14ac:dyDescent="0.2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47</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c r="V8" s="33">
        <v>1</v>
      </c>
      <c r="W8" t="s">
        <v>236</v>
      </c>
      <c r="X8" s="3" t="s">
        <v>106</v>
      </c>
      <c r="Y8" s="3" t="s">
        <v>249</v>
      </c>
      <c r="Z8" s="2" t="s">
        <v>209</v>
      </c>
      <c r="AA8" t="s">
        <v>233</v>
      </c>
      <c r="AB8">
        <v>0</v>
      </c>
      <c r="AC8">
        <v>0</v>
      </c>
      <c r="AD8">
        <v>10</v>
      </c>
      <c r="AE8">
        <v>10</v>
      </c>
      <c r="AF8">
        <v>0</v>
      </c>
      <c r="AG8" s="3" t="str">
        <f>IF(AND(COUNTIF(tb_nos[Nó],tb_areas_servico[[#This Row],[Nó Início]])&gt;0,COUNTIF(tb_nos[Nó],tb_areas_servico[[#This Row],[Nó Fim]])),"OK","NOK")</f>
        <v>OK</v>
      </c>
    </row>
    <row r="9" spans="1:43" ht="13.5" customHeight="1" x14ac:dyDescent="0.25">
      <c r="L9" s="33">
        <v>1</v>
      </c>
      <c r="M9" t="s">
        <v>48</v>
      </c>
      <c r="N9">
        <v>60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c r="V9" s="33">
        <v>1</v>
      </c>
      <c r="W9" t="s">
        <v>236</v>
      </c>
      <c r="X9" s="3" t="s">
        <v>106</v>
      </c>
      <c r="Y9" s="3" t="s">
        <v>250</v>
      </c>
      <c r="Z9" s="2" t="s">
        <v>234</v>
      </c>
      <c r="AA9" t="s">
        <v>231</v>
      </c>
      <c r="AB9">
        <v>0</v>
      </c>
      <c r="AC9">
        <v>0</v>
      </c>
      <c r="AD9">
        <v>10</v>
      </c>
      <c r="AE9">
        <v>10</v>
      </c>
      <c r="AF9">
        <v>0</v>
      </c>
      <c r="AG9" s="3" t="str">
        <f>IF(AND(COUNTIF(tb_nos[Nó],tb_areas_servico[[#This Row],[Nó Início]])&gt;0,COUNTIF(tb_nos[Nó],tb_areas_servico[[#This Row],[Nó Fim]])),"OK","NOK")</f>
        <v>OK</v>
      </c>
    </row>
    <row r="10" spans="1:43" x14ac:dyDescent="0.25">
      <c r="L10" s="33">
        <v>1</v>
      </c>
      <c r="M10" t="s">
        <v>47</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c r="V10" s="33">
        <v>1</v>
      </c>
      <c r="W10" t="s">
        <v>236</v>
      </c>
      <c r="X10" s="3" t="s">
        <v>106</v>
      </c>
      <c r="Y10" s="3" t="s">
        <v>252</v>
      </c>
      <c r="Z10" s="2" t="s">
        <v>235</v>
      </c>
      <c r="AA10" t="s">
        <v>230</v>
      </c>
      <c r="AB10">
        <v>0</v>
      </c>
      <c r="AC10">
        <v>0</v>
      </c>
      <c r="AD10">
        <v>10</v>
      </c>
      <c r="AE10">
        <v>10</v>
      </c>
      <c r="AF10">
        <v>0</v>
      </c>
      <c r="AG10" s="3" t="str">
        <f>IF(AND(COUNTIF(tb_nos[Nó],tb_areas_servico[[#This Row],[Nó Início]])&gt;0,COUNTIF(tb_nos[Nó],tb_areas_servico[[#This Row],[Nó Fim]])),"OK","NOK")</f>
        <v>OK</v>
      </c>
    </row>
    <row r="11" spans="1:43" x14ac:dyDescent="0.25">
      <c r="L11" s="33">
        <v>1</v>
      </c>
      <c r="M11" t="s">
        <v>48</v>
      </c>
      <c r="N11">
        <v>60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c r="V11" s="33">
        <v>1</v>
      </c>
      <c r="W11" t="s">
        <v>236</v>
      </c>
      <c r="X11" s="3" t="s">
        <v>106</v>
      </c>
      <c r="Y11" s="3" t="s">
        <v>251</v>
      </c>
      <c r="Z11" s="2" t="s">
        <v>218</v>
      </c>
      <c r="AA11" t="s">
        <v>59</v>
      </c>
      <c r="AB11">
        <v>0</v>
      </c>
      <c r="AC11">
        <v>0</v>
      </c>
      <c r="AD11">
        <v>10</v>
      </c>
      <c r="AE11">
        <v>10</v>
      </c>
      <c r="AF11">
        <v>0</v>
      </c>
      <c r="AG11" s="3" t="str">
        <f>IF(AND(COUNTIF(tb_nos[Nó],tb_areas_servico[[#This Row],[Nó Início]])&gt;0,COUNTIF(tb_nos[Nó],tb_areas_servico[[#This Row],[Nó Fim]])),"OK","NOK")</f>
        <v>OK</v>
      </c>
    </row>
    <row r="12" spans="1:43" x14ac:dyDescent="0.25">
      <c r="V12" s="33">
        <v>1</v>
      </c>
      <c r="W12" t="s">
        <v>236</v>
      </c>
      <c r="X12" s="3" t="s">
        <v>106</v>
      </c>
      <c r="Y12" s="3" t="s">
        <v>253</v>
      </c>
      <c r="Z12" s="2" t="s">
        <v>198</v>
      </c>
      <c r="AA12" t="s">
        <v>199</v>
      </c>
      <c r="AB12">
        <v>0</v>
      </c>
      <c r="AC12">
        <v>0</v>
      </c>
      <c r="AD12">
        <v>10</v>
      </c>
      <c r="AE12">
        <v>10</v>
      </c>
      <c r="AF12">
        <v>0</v>
      </c>
      <c r="AG12" s="3" t="str">
        <f>IF(AND(COUNTIF(tb_nos[Nó],tb_areas_servico[[#This Row],[Nó Início]])&gt;0,COUNTIF(tb_nos[Nó],tb_areas_servico[[#This Row],[Nó Fim]])),"OK","NOK")</f>
        <v>OK</v>
      </c>
    </row>
    <row r="13" spans="1:43" x14ac:dyDescent="0.25">
      <c r="V13" s="33">
        <v>1</v>
      </c>
      <c r="W13" t="s">
        <v>236</v>
      </c>
      <c r="X13" s="3" t="s">
        <v>106</v>
      </c>
      <c r="Y13" s="3" t="s">
        <v>254</v>
      </c>
      <c r="Z13" s="2" t="s">
        <v>207</v>
      </c>
      <c r="AA13" t="s">
        <v>216</v>
      </c>
      <c r="AB13">
        <v>0</v>
      </c>
      <c r="AC13">
        <v>0</v>
      </c>
      <c r="AD13">
        <v>10</v>
      </c>
      <c r="AE13">
        <v>10</v>
      </c>
      <c r="AF13">
        <v>0</v>
      </c>
      <c r="AG13" s="3" t="str">
        <f>IF(AND(COUNTIF(tb_nos[Nó],tb_areas_servico[[#This Row],[Nó Início]])&gt;0,COUNTIF(tb_nos[Nó],tb_areas_servico[[#This Row],[Nó Fim]])),"OK","NOK")</f>
        <v>OK</v>
      </c>
    </row>
    <row r="14" spans="1:43" x14ac:dyDescent="0.25">
      <c r="V14" s="33">
        <v>1</v>
      </c>
      <c r="W14" t="s">
        <v>236</v>
      </c>
      <c r="X14" s="3" t="s">
        <v>106</v>
      </c>
      <c r="Y14" s="3" t="s">
        <v>255</v>
      </c>
      <c r="Z14" s="2" t="s">
        <v>59</v>
      </c>
      <c r="AA14" t="s">
        <v>217</v>
      </c>
      <c r="AB14">
        <v>0</v>
      </c>
      <c r="AC14">
        <v>0</v>
      </c>
      <c r="AD14">
        <v>0</v>
      </c>
      <c r="AE14">
        <v>0</v>
      </c>
      <c r="AF14">
        <v>1</v>
      </c>
      <c r="AG14" s="3" t="str">
        <f>IF(AND(COUNTIF(tb_nos[Nó],tb_areas_servico[[#This Row],[Nó Início]])&gt;0,COUNTIF(tb_nos[Nó],tb_areas_servico[[#This Row],[Nó Fim]])),"OK","NOK")</f>
        <v>OK</v>
      </c>
    </row>
  </sheetData>
  <mergeCells count="1">
    <mergeCell ref="A1:AQ3"/>
  </mergeCells>
  <conditionalFormatting sqref="AG6:AG14">
    <cfRule type="cellIs" dxfId="124" priority="1" operator="equal">
      <formula>"NOK"</formula>
    </cfRule>
  </conditionalFormatting>
  <pageMargins left="0.7" right="0.7" top="0.75" bottom="0.75" header="0.3" footer="0.3"/>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H1384"/>
  <sheetViews>
    <sheetView showGridLines="0" topLeftCell="C1" zoomScale="122" zoomScaleNormal="50" workbookViewId="0">
      <pane ySplit="6" topLeftCell="A1363" activePane="bottomLeft" state="frozen"/>
      <selection pane="bottomLeft" activeCell="W7" sqref="W7:Y66"/>
    </sheetView>
  </sheetViews>
  <sheetFormatPr defaultRowHeight="15" x14ac:dyDescent="0.25"/>
  <cols>
    <col min="3" max="3" width="20.7109375" bestFit="1" customWidth="1"/>
    <col min="4" max="4" width="45" customWidth="1"/>
    <col min="5" max="5" width="9.5703125" customWidth="1"/>
    <col min="6" max="6" width="15.28515625" style="2" bestFit="1" customWidth="1"/>
    <col min="8" max="8" width="6.28515625" bestFit="1" customWidth="1"/>
    <col min="9" max="9" width="17.28515625" bestFit="1" customWidth="1"/>
    <col min="10" max="10" width="68.28515625" bestFit="1" customWidth="1"/>
    <col min="11" max="11" width="5.140625" bestFit="1" customWidth="1"/>
    <col min="12" max="12" width="12.42578125" bestFit="1" customWidth="1"/>
    <col min="13" max="13" width="5.140625" customWidth="1"/>
    <col min="16" max="16" width="18.5703125" bestFit="1" customWidth="1"/>
    <col min="17" max="17" width="78.5703125" bestFit="1" customWidth="1"/>
    <col min="18" max="18" width="18.28515625" bestFit="1" customWidth="1"/>
    <col min="19" max="19" width="18.85546875" customWidth="1"/>
    <col min="20" max="20" width="14.5703125" customWidth="1"/>
    <col min="23" max="23" width="10.5703125" bestFit="1" customWidth="1"/>
    <col min="24" max="24" width="40.42578125" bestFit="1" customWidth="1"/>
    <col min="25" max="25" width="19.85546875" bestFit="1" customWidth="1"/>
  </cols>
  <sheetData>
    <row r="1" spans="1:34" ht="14.45" customHeight="1" x14ac:dyDescent="0.25">
      <c r="A1" s="64" t="s">
        <v>54</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row>
    <row r="2" spans="1:34" ht="11.2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row>
    <row r="3" spans="1:34" ht="16.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row>
    <row r="5" spans="1:34" x14ac:dyDescent="0.25">
      <c r="B5" s="87" t="s">
        <v>108</v>
      </c>
      <c r="C5" s="87"/>
      <c r="D5" s="87"/>
      <c r="E5" s="87"/>
      <c r="F5" s="87"/>
      <c r="H5" s="87" t="s">
        <v>109</v>
      </c>
      <c r="I5" s="87"/>
      <c r="J5" s="87"/>
      <c r="K5" s="87"/>
      <c r="L5" s="87"/>
      <c r="M5" s="87"/>
      <c r="P5" s="87" t="s">
        <v>191</v>
      </c>
      <c r="Q5" s="87"/>
      <c r="R5" s="87"/>
      <c r="S5" s="87"/>
      <c r="T5" s="87"/>
      <c r="W5" s="87" t="s">
        <v>193</v>
      </c>
      <c r="X5" s="87"/>
      <c r="Y5" s="87"/>
    </row>
    <row r="6" spans="1:34" x14ac:dyDescent="0.25">
      <c r="B6" s="32" t="s">
        <v>99</v>
      </c>
      <c r="C6" s="4" t="s">
        <v>6</v>
      </c>
      <c r="D6" s="4" t="s">
        <v>8</v>
      </c>
      <c r="E6" s="4" t="s">
        <v>1</v>
      </c>
      <c r="F6" s="4" t="s">
        <v>55</v>
      </c>
      <c r="H6" s="32" t="s">
        <v>99</v>
      </c>
      <c r="I6" s="4" t="s">
        <v>6</v>
      </c>
      <c r="J6" s="4" t="s">
        <v>8</v>
      </c>
      <c r="K6" s="4" t="s">
        <v>1</v>
      </c>
      <c r="L6" s="4" t="s">
        <v>55</v>
      </c>
      <c r="M6" s="4" t="s">
        <v>160</v>
      </c>
      <c r="P6" s="4" t="s">
        <v>6</v>
      </c>
      <c r="Q6" s="4" t="s">
        <v>8</v>
      </c>
      <c r="R6" s="4" t="s">
        <v>3</v>
      </c>
      <c r="S6" s="4" t="s">
        <v>179</v>
      </c>
      <c r="T6" s="4" t="s">
        <v>81</v>
      </c>
      <c r="W6" t="s">
        <v>6</v>
      </c>
      <c r="X6" t="s">
        <v>8</v>
      </c>
      <c r="Y6" t="s">
        <v>192</v>
      </c>
    </row>
    <row r="7" spans="1:34" x14ac:dyDescent="0.25">
      <c r="B7" s="33">
        <v>1</v>
      </c>
      <c r="C7" t="s">
        <v>2</v>
      </c>
      <c r="D7" t="s">
        <v>36</v>
      </c>
      <c r="E7">
        <v>2</v>
      </c>
      <c r="F7" s="2">
        <v>1.3698630136986301E-2</v>
      </c>
      <c r="H7" s="33">
        <v>1</v>
      </c>
      <c r="I7" t="s">
        <v>2</v>
      </c>
      <c r="J7" t="s">
        <v>36</v>
      </c>
      <c r="K7">
        <v>2</v>
      </c>
      <c r="L7" s="34">
        <v>2.4657534246575342E-2</v>
      </c>
      <c r="M7">
        <v>10</v>
      </c>
      <c r="P7" t="str">
        <f>INDEX(tb_distancias[CO],MATCH(Table6[[#This Row],[Sublanço]],tb_distancias[Sublanço],0))</f>
        <v>Carcavelos</v>
      </c>
      <c r="Q7" t="s">
        <v>36</v>
      </c>
      <c r="R7" t="s">
        <v>181</v>
      </c>
      <c r="S7">
        <v>113</v>
      </c>
      <c r="T7">
        <f>INDEX(Table7[Tempo],MATCH(Table6[[#This Row],[Tipo]],Table7[Tempo médio Ponderado Incidências],0))*Table6[[#This Row],[n_incidencias]]</f>
        <v>169.5</v>
      </c>
      <c r="W7" s="20" t="s">
        <v>292</v>
      </c>
      <c r="X7" s="20" t="s">
        <v>320</v>
      </c>
      <c r="Y7">
        <v>24.631578947368421</v>
      </c>
    </row>
    <row r="8" spans="1:34" x14ac:dyDescent="0.25">
      <c r="B8" s="33">
        <v>1</v>
      </c>
      <c r="C8" t="s">
        <v>276</v>
      </c>
      <c r="D8" t="s">
        <v>287</v>
      </c>
      <c r="E8">
        <v>2</v>
      </c>
      <c r="F8" s="2">
        <v>2.7397260273972599E-3</v>
      </c>
      <c r="H8" s="33">
        <v>1</v>
      </c>
      <c r="I8" t="s">
        <v>276</v>
      </c>
      <c r="J8" t="s">
        <v>287</v>
      </c>
      <c r="K8">
        <v>2</v>
      </c>
      <c r="L8" s="63">
        <v>2.7397260273972603E-3</v>
      </c>
      <c r="M8">
        <v>1</v>
      </c>
      <c r="P8" s="20" t="str">
        <f>INDEX(tb_distancias[CO],MATCH(Table6[[#This Row],[Sublanço]],tb_distancias[Sublanço],0))</f>
        <v>A14</v>
      </c>
      <c r="Q8" t="s">
        <v>287</v>
      </c>
      <c r="R8" t="s">
        <v>180</v>
      </c>
      <c r="S8">
        <v>52</v>
      </c>
      <c r="T8">
        <f>INDEX(Table7[Tempo],MATCH(Table6[[#This Row],[Tipo]],Table7[Tempo médio Ponderado Incidências],0))*Table6[[#This Row],[n_incidencias]]</f>
        <v>17.16</v>
      </c>
      <c r="W8" s="20" t="s">
        <v>292</v>
      </c>
      <c r="X8" s="20" t="s">
        <v>296</v>
      </c>
      <c r="Y8">
        <v>22.626845637583894</v>
      </c>
    </row>
    <row r="9" spans="1:34" x14ac:dyDescent="0.25">
      <c r="B9" s="33">
        <v>1</v>
      </c>
      <c r="C9" t="s">
        <v>0</v>
      </c>
      <c r="D9" t="s">
        <v>72</v>
      </c>
      <c r="E9">
        <v>3</v>
      </c>
      <c r="F9" s="2">
        <v>5.4794520547945197E-3</v>
      </c>
      <c r="H9" s="33">
        <v>1</v>
      </c>
      <c r="I9" t="s">
        <v>0</v>
      </c>
      <c r="J9" t="s">
        <v>72</v>
      </c>
      <c r="K9">
        <v>3</v>
      </c>
      <c r="L9" s="63">
        <v>2.7397260273972601E-2</v>
      </c>
      <c r="M9">
        <v>10</v>
      </c>
      <c r="P9" s="20" t="str">
        <f>INDEX(tb_distancias[CO],MATCH(Table6[[#This Row],[Sublanço]],tb_distancias[Sublanço],0))</f>
        <v>Carregado</v>
      </c>
      <c r="Q9" t="s">
        <v>72</v>
      </c>
      <c r="R9" t="s">
        <v>180</v>
      </c>
      <c r="S9">
        <v>475</v>
      </c>
      <c r="T9">
        <f>INDEX(Table7[Tempo],MATCH(Table6[[#This Row],[Tipo]],Table7[Tempo médio Ponderado Incidências],0))*Table6[[#This Row],[n_incidencias]]</f>
        <v>156.75</v>
      </c>
      <c r="W9" s="20" t="s">
        <v>292</v>
      </c>
      <c r="X9" s="20" t="s">
        <v>321</v>
      </c>
      <c r="Y9">
        <v>27.019148936170215</v>
      </c>
    </row>
    <row r="10" spans="1:34" x14ac:dyDescent="0.25">
      <c r="B10" s="33">
        <v>1</v>
      </c>
      <c r="C10" t="s">
        <v>276</v>
      </c>
      <c r="D10" t="s">
        <v>287</v>
      </c>
      <c r="E10">
        <v>3</v>
      </c>
      <c r="F10" s="2">
        <v>5.4794520547945197E-3</v>
      </c>
      <c r="H10" s="33">
        <v>1</v>
      </c>
      <c r="I10" t="s">
        <v>276</v>
      </c>
      <c r="J10" t="s">
        <v>287</v>
      </c>
      <c r="K10">
        <v>3</v>
      </c>
      <c r="L10" s="63">
        <v>5.4794520547945206E-3</v>
      </c>
      <c r="M10">
        <v>2</v>
      </c>
      <c r="P10" s="20" t="str">
        <f>INDEX(tb_distancias[CO],MATCH(Table6[[#This Row],[Sublanço]],tb_distancias[Sublanço],0))</f>
        <v>A14</v>
      </c>
      <c r="Q10" t="s">
        <v>288</v>
      </c>
      <c r="R10" t="s">
        <v>180</v>
      </c>
      <c r="S10">
        <v>229</v>
      </c>
      <c r="T10">
        <f>INDEX(Table7[Tempo],MATCH(Table6[[#This Row],[Tipo]],Table7[Tempo médio Ponderado Incidências],0))*Table6[[#This Row],[n_incidencias]]</f>
        <v>75.570000000000007</v>
      </c>
      <c r="W10" s="20" t="s">
        <v>292</v>
      </c>
      <c r="X10" s="20" t="s">
        <v>297</v>
      </c>
      <c r="Y10">
        <v>26.313402061855669</v>
      </c>
    </row>
    <row r="11" spans="1:34" x14ac:dyDescent="0.25">
      <c r="B11" s="33">
        <v>1</v>
      </c>
      <c r="C11" t="s">
        <v>276</v>
      </c>
      <c r="D11" t="s">
        <v>288</v>
      </c>
      <c r="E11">
        <v>5</v>
      </c>
      <c r="F11" s="2">
        <v>2.7397260273972599E-3</v>
      </c>
      <c r="H11" s="33">
        <v>1</v>
      </c>
      <c r="I11" t="s">
        <v>276</v>
      </c>
      <c r="J11" t="s">
        <v>288</v>
      </c>
      <c r="K11">
        <v>5</v>
      </c>
      <c r="L11" s="63">
        <v>2.7397260273972603E-3</v>
      </c>
      <c r="M11">
        <v>1</v>
      </c>
      <c r="P11" s="20" t="str">
        <f>INDEX(tb_distancias[CO],MATCH(Table6[[#This Row],[Sublanço]],tb_distancias[Sublanço],0))</f>
        <v>Feira</v>
      </c>
      <c r="Q11" t="s">
        <v>67</v>
      </c>
      <c r="R11" t="s">
        <v>182</v>
      </c>
      <c r="S11">
        <v>128</v>
      </c>
      <c r="T11">
        <f>INDEX(Table7[Tempo],MATCH(Table6[[#This Row],[Tipo]],Table7[Tempo médio Ponderado Incidências],0))*Table6[[#This Row],[n_incidencias]]</f>
        <v>42.24</v>
      </c>
      <c r="W11" s="20" t="s">
        <v>276</v>
      </c>
      <c r="X11" s="20" t="s">
        <v>287</v>
      </c>
      <c r="Y11">
        <v>22.307142857142857</v>
      </c>
    </row>
    <row r="12" spans="1:34" x14ac:dyDescent="0.25">
      <c r="B12" s="33">
        <v>1</v>
      </c>
      <c r="C12" t="s">
        <v>57</v>
      </c>
      <c r="D12" t="s">
        <v>67</v>
      </c>
      <c r="E12">
        <v>7</v>
      </c>
      <c r="F12" s="2">
        <v>2.7397260273972601E-2</v>
      </c>
      <c r="H12" s="33">
        <v>1</v>
      </c>
      <c r="I12" t="s">
        <v>57</v>
      </c>
      <c r="J12" t="s">
        <v>67</v>
      </c>
      <c r="K12">
        <v>7</v>
      </c>
      <c r="L12" s="63">
        <v>9.3150684931506855E-2</v>
      </c>
      <c r="M12">
        <v>36</v>
      </c>
      <c r="P12" s="20" t="str">
        <f>INDEX(tb_distancias[CO],MATCH(Table6[[#This Row],[Sublanço]],tb_distancias[Sublanço],0))</f>
        <v>Mealhada</v>
      </c>
      <c r="Q12" t="s">
        <v>60</v>
      </c>
      <c r="R12" t="s">
        <v>180</v>
      </c>
      <c r="S12">
        <v>1367</v>
      </c>
      <c r="T12">
        <f>INDEX(Table7[Tempo],MATCH(Table6[[#This Row],[Tipo]],Table7[Tempo médio Ponderado Incidências],0))*Table6[[#This Row],[n_incidencias]]</f>
        <v>451.11</v>
      </c>
      <c r="W12" s="20" t="s">
        <v>276</v>
      </c>
      <c r="X12" s="20" t="s">
        <v>288</v>
      </c>
      <c r="Y12">
        <v>27.909747292418771</v>
      </c>
    </row>
    <row r="13" spans="1:34" x14ac:dyDescent="0.25">
      <c r="B13" s="33">
        <v>1</v>
      </c>
      <c r="C13" t="s">
        <v>59</v>
      </c>
      <c r="D13" t="s">
        <v>60</v>
      </c>
      <c r="E13">
        <v>7</v>
      </c>
      <c r="F13" s="2">
        <v>4.1095890410958902E-2</v>
      </c>
      <c r="H13" s="33">
        <v>1</v>
      </c>
      <c r="I13" t="s">
        <v>59</v>
      </c>
      <c r="J13" t="s">
        <v>60</v>
      </c>
      <c r="K13">
        <v>7</v>
      </c>
      <c r="L13" s="63">
        <v>0.12602739726027398</v>
      </c>
      <c r="M13">
        <v>51</v>
      </c>
      <c r="P13" s="20" t="str">
        <f>INDEX(tb_distancias[CO],MATCH(Table6[[#This Row],[Sublanço]],tb_distancias[Sublanço],0))</f>
        <v>Carregado</v>
      </c>
      <c r="Q13" t="s">
        <v>62</v>
      </c>
      <c r="R13" t="s">
        <v>180</v>
      </c>
      <c r="S13">
        <v>821</v>
      </c>
      <c r="T13">
        <f>INDEX(Table7[Tempo],MATCH(Table6[[#This Row],[Tipo]],Table7[Tempo médio Ponderado Incidências],0))*Table6[[#This Row],[n_incidencias]]</f>
        <v>270.93</v>
      </c>
      <c r="W13" s="20" t="s">
        <v>276</v>
      </c>
      <c r="X13" s="20" t="s">
        <v>318</v>
      </c>
      <c r="Y13">
        <v>25.2</v>
      </c>
    </row>
    <row r="14" spans="1:34" x14ac:dyDescent="0.25">
      <c r="B14" s="33">
        <v>1</v>
      </c>
      <c r="C14" t="s">
        <v>0</v>
      </c>
      <c r="D14" t="s">
        <v>62</v>
      </c>
      <c r="E14">
        <v>7</v>
      </c>
      <c r="F14" s="2">
        <v>8.4931506849315094E-2</v>
      </c>
      <c r="H14" s="33">
        <v>1</v>
      </c>
      <c r="I14" t="s">
        <v>0</v>
      </c>
      <c r="J14" t="s">
        <v>62</v>
      </c>
      <c r="K14">
        <v>7</v>
      </c>
      <c r="L14" s="63">
        <v>0.10136986301369863</v>
      </c>
      <c r="M14">
        <v>39</v>
      </c>
      <c r="P14" s="20" t="str">
        <f>INDEX(tb_distancias[CO],MATCH(Table6[[#This Row],[Sublanço]],tb_distancias[Sublanço],0))</f>
        <v>Feira</v>
      </c>
      <c r="Q14" t="s">
        <v>58</v>
      </c>
      <c r="R14" t="s">
        <v>180</v>
      </c>
      <c r="S14">
        <v>1405</v>
      </c>
      <c r="T14">
        <f>INDEX(Table7[Tempo],MATCH(Table6[[#This Row],[Tipo]],Table7[Tempo médio Ponderado Incidências],0))*Table6[[#This Row],[n_incidencias]]</f>
        <v>463.65000000000003</v>
      </c>
      <c r="W14" s="20" t="s">
        <v>276</v>
      </c>
      <c r="X14" s="20" t="s">
        <v>286</v>
      </c>
      <c r="Y14">
        <v>23.44</v>
      </c>
    </row>
    <row r="15" spans="1:34" x14ac:dyDescent="0.25">
      <c r="B15" s="33">
        <v>1</v>
      </c>
      <c r="C15" t="s">
        <v>0</v>
      </c>
      <c r="D15" t="s">
        <v>72</v>
      </c>
      <c r="E15">
        <v>7</v>
      </c>
      <c r="F15" s="2">
        <v>5.2054794520547898E-2</v>
      </c>
      <c r="H15" s="33">
        <v>1</v>
      </c>
      <c r="I15" t="s">
        <v>0</v>
      </c>
      <c r="J15" t="s">
        <v>72</v>
      </c>
      <c r="K15">
        <v>7</v>
      </c>
      <c r="L15" s="63">
        <v>6.0273972602739728E-2</v>
      </c>
      <c r="M15">
        <v>23</v>
      </c>
      <c r="P15" s="20" t="str">
        <f>INDEX(tb_distancias[CO],MATCH(Table6[[#This Row],[Sublanço]],tb_distancias[Sublanço],0))</f>
        <v>Leiria</v>
      </c>
      <c r="Q15" t="s">
        <v>183</v>
      </c>
      <c r="R15" t="s">
        <v>180</v>
      </c>
      <c r="S15">
        <v>1290</v>
      </c>
      <c r="T15">
        <f>INDEX(Table7[Tempo],MATCH(Table6[[#This Row],[Tipo]],Table7[Tempo médio Ponderado Incidências],0))*Table6[[#This Row],[n_incidencias]]</f>
        <v>425.70000000000005</v>
      </c>
      <c r="W15" s="20" t="s">
        <v>276</v>
      </c>
      <c r="X15" s="20" t="s">
        <v>290</v>
      </c>
      <c r="Y15">
        <v>22.607999999999997</v>
      </c>
    </row>
    <row r="16" spans="1:34" x14ac:dyDescent="0.25">
      <c r="B16" s="33">
        <v>1</v>
      </c>
      <c r="C16" t="s">
        <v>57</v>
      </c>
      <c r="D16" t="s">
        <v>58</v>
      </c>
      <c r="E16">
        <v>9</v>
      </c>
      <c r="F16" s="2">
        <v>7.9452054794520596E-2</v>
      </c>
      <c r="H16" s="33">
        <v>1</v>
      </c>
      <c r="I16" t="s">
        <v>57</v>
      </c>
      <c r="J16" t="s">
        <v>58</v>
      </c>
      <c r="K16">
        <v>9</v>
      </c>
      <c r="L16" s="63">
        <v>0.21369863013698631</v>
      </c>
      <c r="M16">
        <v>94</v>
      </c>
      <c r="P16" s="20" t="str">
        <f>INDEX(tb_distancias[CO],MATCH(Table6[[#This Row],[Sublanço]],tb_distancias[Sublanço],0))</f>
        <v>Leiria</v>
      </c>
      <c r="Q16" t="s">
        <v>184</v>
      </c>
      <c r="R16" t="s">
        <v>180</v>
      </c>
      <c r="S16">
        <v>1198</v>
      </c>
      <c r="T16">
        <f>INDEX(Table7[Tempo],MATCH(Table6[[#This Row],[Tipo]],Table7[Tempo médio Ponderado Incidências],0))*Table6[[#This Row],[n_incidencias]]</f>
        <v>395.34000000000003</v>
      </c>
      <c r="W16" s="20" t="s">
        <v>276</v>
      </c>
      <c r="X16" s="20" t="s">
        <v>291</v>
      </c>
      <c r="Y16">
        <v>22.937430167597768</v>
      </c>
    </row>
    <row r="17" spans="2:25" x14ac:dyDescent="0.25">
      <c r="B17" s="33">
        <v>1</v>
      </c>
      <c r="C17" t="s">
        <v>231</v>
      </c>
      <c r="D17" t="s">
        <v>183</v>
      </c>
      <c r="E17">
        <v>9</v>
      </c>
      <c r="F17" s="2">
        <v>0.112328767123288</v>
      </c>
      <c r="H17" s="33">
        <v>1</v>
      </c>
      <c r="I17" t="s">
        <v>231</v>
      </c>
      <c r="J17" t="s">
        <v>183</v>
      </c>
      <c r="K17">
        <v>9</v>
      </c>
      <c r="L17" s="63">
        <v>0.25205479452054796</v>
      </c>
      <c r="M17">
        <v>115</v>
      </c>
      <c r="P17" s="20" t="str">
        <f>INDEX(tb_distancias[CO],MATCH(Table6[[#This Row],[Sublanço]],tb_distancias[Sublanço],0))</f>
        <v>A10</v>
      </c>
      <c r="Q17" t="s">
        <v>320</v>
      </c>
      <c r="R17" t="s">
        <v>180</v>
      </c>
      <c r="S17">
        <v>208</v>
      </c>
      <c r="T17">
        <f>INDEX(Table7[Tempo],MATCH(Table6[[#This Row],[Tipo]],Table7[Tempo médio Ponderado Incidências],0))*Table6[[#This Row],[n_incidencias]]</f>
        <v>68.64</v>
      </c>
      <c r="W17" s="20" t="s">
        <v>276</v>
      </c>
      <c r="X17" s="20" t="s">
        <v>319</v>
      </c>
      <c r="Y17">
        <v>30.37808219178082</v>
      </c>
    </row>
    <row r="18" spans="2:25" x14ac:dyDescent="0.25">
      <c r="B18" s="33">
        <v>1</v>
      </c>
      <c r="C18" t="s">
        <v>231</v>
      </c>
      <c r="D18" t="s">
        <v>184</v>
      </c>
      <c r="E18">
        <v>11</v>
      </c>
      <c r="F18" s="2">
        <v>8.4931506849315094E-2</v>
      </c>
      <c r="H18" s="33">
        <v>1</v>
      </c>
      <c r="I18" t="s">
        <v>231</v>
      </c>
      <c r="J18" t="s">
        <v>184</v>
      </c>
      <c r="K18">
        <v>11</v>
      </c>
      <c r="L18" s="63">
        <v>0.18630136986301371</v>
      </c>
      <c r="M18">
        <v>80</v>
      </c>
      <c r="P18" s="20" t="str">
        <f>INDEX(tb_distancias[CO],MATCH(Table6[[#This Row],[Sublanço]],tb_distancias[Sublanço],0))</f>
        <v>Carregado</v>
      </c>
      <c r="Q18" t="s">
        <v>56</v>
      </c>
      <c r="R18" t="s">
        <v>180</v>
      </c>
      <c r="S18">
        <v>1187</v>
      </c>
      <c r="T18">
        <f>INDEX(Table7[Tempo],MATCH(Table6[[#This Row],[Tipo]],Table7[Tempo médio Ponderado Incidências],0))*Table6[[#This Row],[n_incidencias]]</f>
        <v>391.71000000000004</v>
      </c>
      <c r="W18" s="20" t="s">
        <v>276</v>
      </c>
      <c r="X18" s="20" t="s">
        <v>289</v>
      </c>
      <c r="Y18">
        <v>30.544897959183675</v>
      </c>
    </row>
    <row r="19" spans="2:25" x14ac:dyDescent="0.25">
      <c r="B19" s="33">
        <v>1</v>
      </c>
      <c r="C19" t="s">
        <v>292</v>
      </c>
      <c r="D19" t="s">
        <v>320</v>
      </c>
      <c r="E19">
        <v>11</v>
      </c>
      <c r="F19" s="2">
        <v>6.02739726027397E-2</v>
      </c>
      <c r="H19" s="33">
        <v>1</v>
      </c>
      <c r="I19" t="s">
        <v>292</v>
      </c>
      <c r="J19" t="s">
        <v>320</v>
      </c>
      <c r="K19">
        <v>11</v>
      </c>
      <c r="L19" s="63">
        <v>5.4794520547945202E-2</v>
      </c>
      <c r="M19">
        <v>22</v>
      </c>
      <c r="P19" s="20" t="str">
        <f>INDEX(tb_distancias[CO],MATCH(Table6[[#This Row],[Sublanço]],tb_distancias[Sublanço],0))</f>
        <v>Leiria</v>
      </c>
      <c r="Q19" t="s">
        <v>185</v>
      </c>
      <c r="R19" t="s">
        <v>180</v>
      </c>
      <c r="S19">
        <v>1736</v>
      </c>
      <c r="T19">
        <f>INDEX(Table7[Tempo],MATCH(Table6[[#This Row],[Tipo]],Table7[Tempo médio Ponderado Incidências],0))*Table6[[#This Row],[n_incidencias]]</f>
        <v>572.88</v>
      </c>
      <c r="W19" s="20" t="s">
        <v>307</v>
      </c>
      <c r="X19" s="20" t="s">
        <v>308</v>
      </c>
      <c r="Y19">
        <v>27.201277955271568</v>
      </c>
    </row>
    <row r="20" spans="2:25" x14ac:dyDescent="0.25">
      <c r="B20" s="33">
        <v>1</v>
      </c>
      <c r="C20" t="s">
        <v>0</v>
      </c>
      <c r="D20" t="s">
        <v>62</v>
      </c>
      <c r="E20">
        <v>13</v>
      </c>
      <c r="F20" s="2">
        <v>9.3150684931506897E-2</v>
      </c>
      <c r="H20" s="33">
        <v>1</v>
      </c>
      <c r="I20" t="s">
        <v>0</v>
      </c>
      <c r="J20" t="s">
        <v>62</v>
      </c>
      <c r="K20">
        <v>13</v>
      </c>
      <c r="L20" s="63">
        <v>0.17260273972602741</v>
      </c>
      <c r="M20">
        <v>69</v>
      </c>
      <c r="P20" s="20" t="str">
        <f>INDEX(tb_distancias[CO],MATCH(Table6[[#This Row],[Sublanço]],tb_distancias[Sublanço],0))</f>
        <v>Leiria</v>
      </c>
      <c r="Q20" t="s">
        <v>186</v>
      </c>
      <c r="R20" t="s">
        <v>180</v>
      </c>
      <c r="S20">
        <v>397</v>
      </c>
      <c r="T20">
        <f>INDEX(Table7[Tempo],MATCH(Table6[[#This Row],[Tipo]],Table7[Tempo médio Ponderado Incidências],0))*Table6[[#This Row],[n_incidencias]]</f>
        <v>131.01000000000002</v>
      </c>
      <c r="W20" s="20" t="s">
        <v>307</v>
      </c>
      <c r="X20" s="20" t="s">
        <v>311</v>
      </c>
      <c r="Y20">
        <v>25.296428571428571</v>
      </c>
    </row>
    <row r="21" spans="2:25" x14ac:dyDescent="0.25">
      <c r="B21" s="33">
        <v>1</v>
      </c>
      <c r="C21" t="s">
        <v>0</v>
      </c>
      <c r="D21" t="s">
        <v>56</v>
      </c>
      <c r="E21">
        <v>13</v>
      </c>
      <c r="F21" s="2">
        <v>0.13698630136986301</v>
      </c>
      <c r="H21" s="33">
        <v>1</v>
      </c>
      <c r="I21" t="s">
        <v>0</v>
      </c>
      <c r="J21" t="s">
        <v>56</v>
      </c>
      <c r="K21">
        <v>13</v>
      </c>
      <c r="L21" s="63">
        <v>0.2</v>
      </c>
      <c r="M21">
        <v>91</v>
      </c>
      <c r="P21" s="20" t="str">
        <f>INDEX(tb_distancias[CO],MATCH(Table6[[#This Row],[Sublanço]],tb_distancias[Sublanço],0))</f>
        <v>Leiria</v>
      </c>
      <c r="Q21" t="s">
        <v>187</v>
      </c>
      <c r="R21" t="s">
        <v>180</v>
      </c>
      <c r="S21">
        <v>871</v>
      </c>
      <c r="T21">
        <f>INDEX(Table7[Tempo],MATCH(Table6[[#This Row],[Tipo]],Table7[Tempo médio Ponderado Incidências],0))*Table6[[#This Row],[n_incidencias]]</f>
        <v>287.43</v>
      </c>
      <c r="W21" s="20" t="s">
        <v>307</v>
      </c>
      <c r="X21" s="20" t="s">
        <v>312</v>
      </c>
      <c r="Y21">
        <v>26.884403669724772</v>
      </c>
    </row>
    <row r="22" spans="2:25" x14ac:dyDescent="0.25">
      <c r="B22" s="33">
        <v>1</v>
      </c>
      <c r="C22" t="s">
        <v>292</v>
      </c>
      <c r="D22" t="s">
        <v>320</v>
      </c>
      <c r="E22">
        <v>13</v>
      </c>
      <c r="F22" s="2">
        <v>4.1095890410958902E-2</v>
      </c>
      <c r="H22" s="33">
        <v>1</v>
      </c>
      <c r="I22" t="s">
        <v>292</v>
      </c>
      <c r="J22" t="s">
        <v>320</v>
      </c>
      <c r="K22">
        <v>13</v>
      </c>
      <c r="L22" s="63">
        <v>3.5616438356164383E-2</v>
      </c>
      <c r="M22">
        <v>15</v>
      </c>
      <c r="P22" s="20" t="str">
        <f>INDEX(tb_distancias[CO],MATCH(Table6[[#This Row],[Sublanço]],tb_distancias[Sublanço],0))</f>
        <v>Carregado</v>
      </c>
      <c r="Q22" t="s">
        <v>73</v>
      </c>
      <c r="R22" t="s">
        <v>180</v>
      </c>
      <c r="S22">
        <v>460</v>
      </c>
      <c r="T22">
        <f>INDEX(Table7[Tempo],MATCH(Table6[[#This Row],[Tipo]],Table7[Tempo médio Ponderado Incidências],0))*Table6[[#This Row],[n_incidencias]]</f>
        <v>151.80000000000001</v>
      </c>
      <c r="W22" s="20" t="s">
        <v>307</v>
      </c>
      <c r="X22" s="20" t="s">
        <v>313</v>
      </c>
      <c r="Y22">
        <v>30.451034482758619</v>
      </c>
    </row>
    <row r="23" spans="2:25" x14ac:dyDescent="0.25">
      <c r="B23" s="33">
        <v>1</v>
      </c>
      <c r="C23" t="s">
        <v>231</v>
      </c>
      <c r="D23" t="s">
        <v>185</v>
      </c>
      <c r="E23">
        <v>13</v>
      </c>
      <c r="F23" s="2">
        <v>0.156164383561644</v>
      </c>
      <c r="H23" s="33">
        <v>1</v>
      </c>
      <c r="I23" t="s">
        <v>231</v>
      </c>
      <c r="J23" t="s">
        <v>185</v>
      </c>
      <c r="K23">
        <v>13</v>
      </c>
      <c r="L23" s="63">
        <v>0.29041095890410956</v>
      </c>
      <c r="M23">
        <v>131</v>
      </c>
      <c r="P23" s="20" t="str">
        <f>INDEX(tb_distancias[CO],MATCH(Table6[[#This Row],[Sublanço]],tb_distancias[Sublanço],0))</f>
        <v>Leiria</v>
      </c>
      <c r="Q23" t="s">
        <v>188</v>
      </c>
      <c r="R23" t="s">
        <v>182</v>
      </c>
      <c r="S23">
        <v>92</v>
      </c>
      <c r="T23">
        <f>INDEX(Table7[Tempo],MATCH(Table6[[#This Row],[Tipo]],Table7[Tempo médio Ponderado Incidências],0))*Table6[[#This Row],[n_incidencias]]</f>
        <v>30.360000000000003</v>
      </c>
      <c r="W23" s="20" t="s">
        <v>307</v>
      </c>
      <c r="X23" s="20" t="s">
        <v>314</v>
      </c>
      <c r="Y23">
        <v>26.422641509433962</v>
      </c>
    </row>
    <row r="24" spans="2:25" x14ac:dyDescent="0.25">
      <c r="B24" s="33">
        <v>1</v>
      </c>
      <c r="C24" t="s">
        <v>231</v>
      </c>
      <c r="D24" t="s">
        <v>186</v>
      </c>
      <c r="E24">
        <v>14</v>
      </c>
      <c r="F24" s="2">
        <v>8.21917808219178E-3</v>
      </c>
      <c r="H24" s="33">
        <v>1</v>
      </c>
      <c r="I24" t="s">
        <v>231</v>
      </c>
      <c r="J24" t="s">
        <v>186</v>
      </c>
      <c r="K24">
        <v>14</v>
      </c>
      <c r="L24" s="63">
        <v>5.4794520547945202E-2</v>
      </c>
      <c r="M24">
        <v>21</v>
      </c>
      <c r="P24" s="20" t="str">
        <f>INDEX(tb_distancias[CO],MATCH(Table6[[#This Row],[Sublanço]],tb_distancias[Sublanço],0))</f>
        <v>Carcavelos</v>
      </c>
      <c r="Q24" t="s">
        <v>36</v>
      </c>
      <c r="R24" t="s">
        <v>180</v>
      </c>
      <c r="S24">
        <v>499</v>
      </c>
      <c r="T24">
        <f>INDEX(Table7[Tempo],MATCH(Table6[[#This Row],[Tipo]],Table7[Tempo médio Ponderado Incidências],0))*Table6[[#This Row],[n_incidencias]]</f>
        <v>164.67000000000002</v>
      </c>
      <c r="W24" s="20" t="s">
        <v>307</v>
      </c>
      <c r="X24" s="20" t="s">
        <v>309</v>
      </c>
      <c r="Y24">
        <v>26.56</v>
      </c>
    </row>
    <row r="25" spans="2:25" x14ac:dyDescent="0.25">
      <c r="B25" s="33">
        <v>1</v>
      </c>
      <c r="C25" t="s">
        <v>231</v>
      </c>
      <c r="D25" t="s">
        <v>187</v>
      </c>
      <c r="E25">
        <v>14</v>
      </c>
      <c r="F25" s="2">
        <v>6.3013698630137005E-2</v>
      </c>
      <c r="H25" s="33">
        <v>1</v>
      </c>
      <c r="I25" t="s">
        <v>231</v>
      </c>
      <c r="J25" t="s">
        <v>187</v>
      </c>
      <c r="K25">
        <v>14</v>
      </c>
      <c r="L25" s="63">
        <v>0.11780821917808219</v>
      </c>
      <c r="M25">
        <v>48</v>
      </c>
      <c r="P25" s="20" t="str">
        <f>INDEX(tb_distancias[CO],MATCH(Table6[[#This Row],[Sublanço]],tb_distancias[Sublanço],0))</f>
        <v>Feira</v>
      </c>
      <c r="Q25" t="s">
        <v>69</v>
      </c>
      <c r="R25" t="s">
        <v>180</v>
      </c>
      <c r="S25">
        <v>571</v>
      </c>
      <c r="T25">
        <f>INDEX(Table7[Tempo],MATCH(Table6[[#This Row],[Tipo]],Table7[Tempo médio Ponderado Incidências],0))*Table6[[#This Row],[n_incidencias]]</f>
        <v>188.43</v>
      </c>
      <c r="W25" s="20" t="s">
        <v>307</v>
      </c>
      <c r="X25" s="20" t="s">
        <v>310</v>
      </c>
      <c r="Y25">
        <v>24.961764705882356</v>
      </c>
    </row>
    <row r="26" spans="2:25" x14ac:dyDescent="0.25">
      <c r="B26" s="33">
        <v>1</v>
      </c>
      <c r="C26" t="s">
        <v>231</v>
      </c>
      <c r="D26" t="s">
        <v>185</v>
      </c>
      <c r="E26">
        <v>14</v>
      </c>
      <c r="F26" s="2">
        <v>0.12876712328767101</v>
      </c>
      <c r="H26" s="33">
        <v>1</v>
      </c>
      <c r="I26" t="s">
        <v>231</v>
      </c>
      <c r="J26" t="s">
        <v>185</v>
      </c>
      <c r="K26">
        <v>14</v>
      </c>
      <c r="L26" s="63">
        <v>0.30684931506849317</v>
      </c>
      <c r="M26">
        <v>135</v>
      </c>
      <c r="P26" s="20" t="str">
        <f>INDEX(tb_distancias[CO],MATCH(Table6[[#This Row],[Sublanço]],tb_distancias[Sublanço],0))</f>
        <v>A9</v>
      </c>
      <c r="Q26" t="s">
        <v>308</v>
      </c>
      <c r="R26" t="s">
        <v>182</v>
      </c>
      <c r="S26">
        <v>22</v>
      </c>
      <c r="T26">
        <f>INDEX(Table7[Tempo],MATCH(Table6[[#This Row],[Tipo]],Table7[Tempo médio Ponderado Incidências],0))*Table6[[#This Row],[n_incidencias]]</f>
        <v>7.2600000000000007</v>
      </c>
      <c r="W26" s="20" t="s">
        <v>2</v>
      </c>
      <c r="X26" s="20" t="s">
        <v>36</v>
      </c>
      <c r="Y26">
        <v>31.947932618683005</v>
      </c>
    </row>
    <row r="27" spans="2:25" x14ac:dyDescent="0.25">
      <c r="B27" s="33">
        <v>1</v>
      </c>
      <c r="C27" t="s">
        <v>231</v>
      </c>
      <c r="D27" t="s">
        <v>184</v>
      </c>
      <c r="E27">
        <v>15</v>
      </c>
      <c r="F27" s="2">
        <v>0.115068493150685</v>
      </c>
      <c r="H27" s="33">
        <v>1</v>
      </c>
      <c r="I27" t="s">
        <v>231</v>
      </c>
      <c r="J27" t="s">
        <v>184</v>
      </c>
      <c r="K27">
        <v>15</v>
      </c>
      <c r="L27" s="63">
        <v>0.19452054794520549</v>
      </c>
      <c r="M27">
        <v>99</v>
      </c>
      <c r="P27" s="20" t="str">
        <f>INDEX(tb_distancias[CO],MATCH(Table6[[#This Row],[Sublanço]],tb_distancias[Sublanço],0))</f>
        <v>Carcavelos</v>
      </c>
      <c r="Q27" t="s">
        <v>17</v>
      </c>
      <c r="R27" t="s">
        <v>180</v>
      </c>
      <c r="S27">
        <v>865</v>
      </c>
      <c r="T27">
        <f>INDEX(Table7[Tempo],MATCH(Table6[[#This Row],[Tipo]],Table7[Tempo médio Ponderado Incidências],0))*Table6[[#This Row],[n_incidencias]]</f>
        <v>285.45</v>
      </c>
      <c r="W27" s="20" t="s">
        <v>2</v>
      </c>
      <c r="X27" s="20" t="s">
        <v>17</v>
      </c>
      <c r="Y27">
        <v>32.39192825112108</v>
      </c>
    </row>
    <row r="28" spans="2:25" x14ac:dyDescent="0.25">
      <c r="B28" s="33">
        <v>1</v>
      </c>
      <c r="C28" t="s">
        <v>231</v>
      </c>
      <c r="D28" t="s">
        <v>183</v>
      </c>
      <c r="E28">
        <v>15</v>
      </c>
      <c r="F28" s="2">
        <v>8.2191780821917804E-2</v>
      </c>
      <c r="H28" s="33">
        <v>1</v>
      </c>
      <c r="I28" t="s">
        <v>231</v>
      </c>
      <c r="J28" t="s">
        <v>183</v>
      </c>
      <c r="K28">
        <v>15</v>
      </c>
      <c r="L28" s="63">
        <v>0.21369863013698631</v>
      </c>
      <c r="M28">
        <v>97</v>
      </c>
      <c r="P28" s="20" t="str">
        <f>INDEX(tb_distancias[CO],MATCH(Table6[[#This Row],[Sublanço]],tb_distancias[Sublanço],0))</f>
        <v>Feira</v>
      </c>
      <c r="Q28" t="s">
        <v>74</v>
      </c>
      <c r="R28" t="s">
        <v>180</v>
      </c>
      <c r="S28">
        <v>439</v>
      </c>
      <c r="T28">
        <f>INDEX(Table7[Tempo],MATCH(Table6[[#This Row],[Tipo]],Table7[Tempo médio Ponderado Incidências],0))*Table6[[#This Row],[n_incidencias]]</f>
        <v>144.87</v>
      </c>
      <c r="W28" s="20" t="s">
        <v>2</v>
      </c>
      <c r="X28" s="20" t="s">
        <v>28</v>
      </c>
      <c r="Y28">
        <v>24.35</v>
      </c>
    </row>
    <row r="29" spans="2:25" x14ac:dyDescent="0.25">
      <c r="B29" s="33">
        <v>1</v>
      </c>
      <c r="C29" t="s">
        <v>0</v>
      </c>
      <c r="D29" t="s">
        <v>73</v>
      </c>
      <c r="E29">
        <v>15</v>
      </c>
      <c r="F29" s="2">
        <v>5.75342465753425E-2</v>
      </c>
      <c r="H29" s="33">
        <v>1</v>
      </c>
      <c r="I29" t="s">
        <v>0</v>
      </c>
      <c r="J29" t="s">
        <v>73</v>
      </c>
      <c r="K29">
        <v>15</v>
      </c>
      <c r="L29" s="63">
        <v>8.7671232876712329E-2</v>
      </c>
      <c r="M29">
        <v>38</v>
      </c>
      <c r="P29" s="20" t="str">
        <f>INDEX(tb_distancias[CO],MATCH(Table6[[#This Row],[Sublanço]],tb_distancias[Sublanço],0))</f>
        <v>Leiria</v>
      </c>
      <c r="Q29" t="s">
        <v>189</v>
      </c>
      <c r="R29" t="s">
        <v>180</v>
      </c>
      <c r="S29">
        <v>626</v>
      </c>
      <c r="T29">
        <f>INDEX(Table7[Tempo],MATCH(Table6[[#This Row],[Tipo]],Table7[Tempo médio Ponderado Incidências],0))*Table6[[#This Row],[n_incidencias]]</f>
        <v>206.58</v>
      </c>
      <c r="W29" s="20" t="s">
        <v>2</v>
      </c>
      <c r="X29" s="20" t="s">
        <v>38</v>
      </c>
      <c r="Y29">
        <v>32.459016393442624</v>
      </c>
    </row>
    <row r="30" spans="2:25" x14ac:dyDescent="0.25">
      <c r="B30" s="33">
        <v>1</v>
      </c>
      <c r="C30" t="s">
        <v>231</v>
      </c>
      <c r="D30" t="s">
        <v>188</v>
      </c>
      <c r="E30">
        <v>15</v>
      </c>
      <c r="F30" s="2">
        <v>3.8356164383561597E-2</v>
      </c>
      <c r="H30" s="33">
        <v>1</v>
      </c>
      <c r="I30" t="s">
        <v>231</v>
      </c>
      <c r="J30" t="s">
        <v>188</v>
      </c>
      <c r="K30">
        <v>15</v>
      </c>
      <c r="L30" s="63">
        <v>6.0273972602739728E-2</v>
      </c>
      <c r="M30">
        <v>24</v>
      </c>
      <c r="P30" s="20" t="str">
        <f>INDEX(tb_distancias[CO],MATCH(Table6[[#This Row],[Sublanço]],tb_distancias[Sublanço],0))</f>
        <v>Leiria</v>
      </c>
      <c r="Q30" t="s">
        <v>186</v>
      </c>
      <c r="R30" t="s">
        <v>182</v>
      </c>
      <c r="S30">
        <v>42</v>
      </c>
      <c r="T30">
        <f>INDEX(Table7[Tempo],MATCH(Table6[[#This Row],[Tipo]],Table7[Tempo médio Ponderado Incidências],0))*Table6[[#This Row],[n_incidencias]]</f>
        <v>13.860000000000001</v>
      </c>
      <c r="W30" s="20" t="s">
        <v>2</v>
      </c>
      <c r="X30" s="20" t="s">
        <v>316</v>
      </c>
      <c r="Y30">
        <v>30.860924369747899</v>
      </c>
    </row>
    <row r="31" spans="2:25" x14ac:dyDescent="0.25">
      <c r="B31" s="33">
        <v>1</v>
      </c>
      <c r="C31" t="s">
        <v>59</v>
      </c>
      <c r="D31" t="s">
        <v>60</v>
      </c>
      <c r="E31">
        <v>15</v>
      </c>
      <c r="F31" s="2">
        <v>7.9452054794520596E-2</v>
      </c>
      <c r="H31" s="33">
        <v>1</v>
      </c>
      <c r="I31" t="s">
        <v>59</v>
      </c>
      <c r="J31" t="s">
        <v>60</v>
      </c>
      <c r="K31">
        <v>15</v>
      </c>
      <c r="L31" s="63">
        <v>0.24109589041095891</v>
      </c>
      <c r="M31">
        <v>103</v>
      </c>
      <c r="P31" s="20" t="str">
        <f>INDEX(tb_distancias[CO],MATCH(Table6[[#This Row],[Sublanço]],tb_distancias[Sublanço],0))</f>
        <v>Leiria</v>
      </c>
      <c r="Q31" t="s">
        <v>188</v>
      </c>
      <c r="R31" t="s">
        <v>180</v>
      </c>
      <c r="S31">
        <v>512</v>
      </c>
      <c r="T31">
        <f>INDEX(Table7[Tempo],MATCH(Table6[[#This Row],[Tipo]],Table7[Tempo médio Ponderado Incidências],0))*Table6[[#This Row],[n_incidencias]]</f>
        <v>168.96</v>
      </c>
      <c r="W31" s="20" t="s">
        <v>2</v>
      </c>
      <c r="X31" s="20" t="s">
        <v>26</v>
      </c>
      <c r="Y31">
        <v>30.183279742765272</v>
      </c>
    </row>
    <row r="32" spans="2:25" x14ac:dyDescent="0.25">
      <c r="B32" s="33">
        <v>1</v>
      </c>
      <c r="C32" t="s">
        <v>2</v>
      </c>
      <c r="D32" t="s">
        <v>36</v>
      </c>
      <c r="E32">
        <v>15</v>
      </c>
      <c r="F32" s="2">
        <v>6.3013698630137005E-2</v>
      </c>
      <c r="H32" s="33">
        <v>1</v>
      </c>
      <c r="I32" t="s">
        <v>2</v>
      </c>
      <c r="J32" t="s">
        <v>36</v>
      </c>
      <c r="K32">
        <v>15</v>
      </c>
      <c r="L32" s="63">
        <v>7.6712328767123292E-2</v>
      </c>
      <c r="M32">
        <v>32</v>
      </c>
      <c r="P32" s="20" t="str">
        <f>INDEX(tb_distancias[CO],MATCH(Table6[[#This Row],[Sublanço]],tb_distancias[Sublanço],0))</f>
        <v>Feira</v>
      </c>
      <c r="Q32" t="s">
        <v>66</v>
      </c>
      <c r="R32" t="s">
        <v>180</v>
      </c>
      <c r="S32">
        <v>741</v>
      </c>
      <c r="T32">
        <f>INDEX(Table7[Tempo],MATCH(Table6[[#This Row],[Tipo]],Table7[Tempo médio Ponderado Incidências],0))*Table6[[#This Row],[n_incidencias]]</f>
        <v>244.53</v>
      </c>
      <c r="W32" s="20" t="s">
        <v>2</v>
      </c>
      <c r="X32" s="20" t="s">
        <v>37</v>
      </c>
      <c r="Y32">
        <v>27.252739726027396</v>
      </c>
    </row>
    <row r="33" spans="2:25" x14ac:dyDescent="0.25">
      <c r="B33" s="33">
        <v>1</v>
      </c>
      <c r="C33" t="s">
        <v>231</v>
      </c>
      <c r="D33" t="s">
        <v>183</v>
      </c>
      <c r="E33">
        <v>16</v>
      </c>
      <c r="F33" s="2">
        <v>0.147945205479452</v>
      </c>
      <c r="H33" s="33">
        <v>1</v>
      </c>
      <c r="I33" t="s">
        <v>231</v>
      </c>
      <c r="J33" t="s">
        <v>183</v>
      </c>
      <c r="K33">
        <v>16</v>
      </c>
      <c r="L33" s="63">
        <v>0.17808219178082191</v>
      </c>
      <c r="M33">
        <v>86</v>
      </c>
      <c r="P33" s="20" t="str">
        <f>INDEX(tb_distancias[CO],MATCH(Table6[[#This Row],[Sublanço]],tb_distancias[Sublanço],0))</f>
        <v>Carcavelos</v>
      </c>
      <c r="Q33" t="s">
        <v>28</v>
      </c>
      <c r="R33" t="s">
        <v>180</v>
      </c>
      <c r="S33">
        <v>533</v>
      </c>
      <c r="T33">
        <f>INDEX(Table7[Tempo],MATCH(Table6[[#This Row],[Tipo]],Table7[Tempo médio Ponderado Incidências],0))*Table6[[#This Row],[n_incidencias]]</f>
        <v>175.89000000000001</v>
      </c>
      <c r="W33" s="20" t="s">
        <v>2</v>
      </c>
      <c r="X33" s="20" t="s">
        <v>21</v>
      </c>
      <c r="Y33">
        <v>28.864864864864863</v>
      </c>
    </row>
    <row r="34" spans="2:25" x14ac:dyDescent="0.25">
      <c r="B34" s="33">
        <v>1</v>
      </c>
      <c r="C34" t="s">
        <v>57</v>
      </c>
      <c r="D34" t="s">
        <v>69</v>
      </c>
      <c r="E34">
        <v>16</v>
      </c>
      <c r="F34" s="2">
        <v>4.9315068493150697E-2</v>
      </c>
      <c r="H34" s="33">
        <v>1</v>
      </c>
      <c r="I34" t="s">
        <v>57</v>
      </c>
      <c r="J34" t="s">
        <v>69</v>
      </c>
      <c r="K34">
        <v>16</v>
      </c>
      <c r="L34" s="63">
        <v>0.14794520547945206</v>
      </c>
      <c r="M34">
        <v>60</v>
      </c>
      <c r="P34" s="20" t="str">
        <f>INDEX(tb_distancias[CO],MATCH(Table6[[#This Row],[Sublanço]],tb_distancias[Sublanço],0))</f>
        <v>Mealhada</v>
      </c>
      <c r="Q34" t="s">
        <v>68</v>
      </c>
      <c r="R34" t="s">
        <v>180</v>
      </c>
      <c r="S34">
        <v>675</v>
      </c>
      <c r="T34">
        <f>INDEX(Table7[Tempo],MATCH(Table6[[#This Row],[Tipo]],Table7[Tempo médio Ponderado Incidências],0))*Table6[[#This Row],[n_incidencias]]</f>
        <v>222.75</v>
      </c>
      <c r="W34" s="20" t="s">
        <v>2</v>
      </c>
      <c r="X34" s="20" t="s">
        <v>317</v>
      </c>
      <c r="Y34">
        <v>32.067192784667412</v>
      </c>
    </row>
    <row r="35" spans="2:25" x14ac:dyDescent="0.25">
      <c r="B35" s="33">
        <v>1</v>
      </c>
      <c r="C35" t="s">
        <v>307</v>
      </c>
      <c r="D35" t="s">
        <v>308</v>
      </c>
      <c r="E35">
        <v>16</v>
      </c>
      <c r="F35" s="2">
        <v>2.19178082191781E-2</v>
      </c>
      <c r="H35" s="33">
        <v>1</v>
      </c>
      <c r="I35" t="s">
        <v>307</v>
      </c>
      <c r="J35" t="s">
        <v>308</v>
      </c>
      <c r="K35">
        <v>16</v>
      </c>
      <c r="L35" s="63">
        <v>1.643835616438356E-2</v>
      </c>
      <c r="M35">
        <v>8</v>
      </c>
      <c r="P35" s="20" t="str">
        <f>INDEX(tb_distancias[CO],MATCH(Table6[[#This Row],[Sublanço]],tb_distancias[Sublanço],0))</f>
        <v>Carregado</v>
      </c>
      <c r="Q35" t="s">
        <v>71</v>
      </c>
      <c r="R35" t="s">
        <v>180</v>
      </c>
      <c r="S35">
        <v>481</v>
      </c>
      <c r="T35">
        <f>INDEX(Table7[Tempo],MATCH(Table6[[#This Row],[Tipo]],Table7[Tempo médio Ponderado Incidências],0))*Table6[[#This Row],[n_incidencias]]</f>
        <v>158.73000000000002</v>
      </c>
      <c r="W35" s="20" t="s">
        <v>2</v>
      </c>
      <c r="X35" s="20" t="s">
        <v>32</v>
      </c>
      <c r="Y35">
        <v>26.76198347107438</v>
      </c>
    </row>
    <row r="36" spans="2:25" x14ac:dyDescent="0.25">
      <c r="B36" s="33">
        <v>1</v>
      </c>
      <c r="C36" t="s">
        <v>2</v>
      </c>
      <c r="D36" t="s">
        <v>17</v>
      </c>
      <c r="E36">
        <v>16</v>
      </c>
      <c r="F36" s="2">
        <v>0.106849315068493</v>
      </c>
      <c r="H36" s="33">
        <v>1</v>
      </c>
      <c r="I36" t="s">
        <v>2</v>
      </c>
      <c r="J36" t="s">
        <v>17</v>
      </c>
      <c r="K36">
        <v>16</v>
      </c>
      <c r="L36" s="63">
        <v>0.14794520547945206</v>
      </c>
      <c r="M36">
        <v>73</v>
      </c>
      <c r="P36" s="20" t="str">
        <f>INDEX(tb_distancias[CO],MATCH(Table6[[#This Row],[Sublanço]],tb_distancias[Sublanço],0))</f>
        <v>Carregado</v>
      </c>
      <c r="Q36" t="s">
        <v>65</v>
      </c>
      <c r="R36" t="s">
        <v>180</v>
      </c>
      <c r="S36">
        <v>727</v>
      </c>
      <c r="T36">
        <f>INDEX(Table7[Tempo],MATCH(Table6[[#This Row],[Tipo]],Table7[Tempo médio Ponderado Incidências],0))*Table6[[#This Row],[n_incidencias]]</f>
        <v>239.91000000000003</v>
      </c>
      <c r="W36" s="20" t="s">
        <v>2</v>
      </c>
      <c r="X36" s="20" t="s">
        <v>19</v>
      </c>
      <c r="Y36">
        <v>33.139667458432307</v>
      </c>
    </row>
    <row r="37" spans="2:25" x14ac:dyDescent="0.25">
      <c r="B37" s="33">
        <v>1</v>
      </c>
      <c r="C37" t="s">
        <v>57</v>
      </c>
      <c r="D37" t="s">
        <v>74</v>
      </c>
      <c r="E37">
        <v>16</v>
      </c>
      <c r="F37" s="2">
        <v>5.2054794520547898E-2</v>
      </c>
      <c r="H37" s="33">
        <v>1</v>
      </c>
      <c r="I37" t="s">
        <v>57</v>
      </c>
      <c r="J37" t="s">
        <v>74</v>
      </c>
      <c r="K37">
        <v>16</v>
      </c>
      <c r="L37" s="63">
        <v>0.1095890410958904</v>
      </c>
      <c r="M37">
        <v>45</v>
      </c>
      <c r="P37" s="20" t="str">
        <f>INDEX(tb_distancias[CO],MATCH(Table6[[#This Row],[Sublanço]],tb_distancias[Sublanço],0))</f>
        <v>A9</v>
      </c>
      <c r="Q37" t="s">
        <v>308</v>
      </c>
      <c r="R37" t="s">
        <v>180</v>
      </c>
      <c r="S37">
        <v>258</v>
      </c>
      <c r="T37">
        <f>INDEX(Table7[Tempo],MATCH(Table6[[#This Row],[Tipo]],Table7[Tempo médio Ponderado Incidências],0))*Table6[[#This Row],[n_incidencias]]</f>
        <v>85.14</v>
      </c>
      <c r="W37" s="20" t="s">
        <v>0</v>
      </c>
      <c r="X37" s="20" t="s">
        <v>72</v>
      </c>
      <c r="Y37">
        <v>27.003130434782605</v>
      </c>
    </row>
    <row r="38" spans="2:25" x14ac:dyDescent="0.25">
      <c r="B38" s="33">
        <v>1</v>
      </c>
      <c r="C38" t="s">
        <v>231</v>
      </c>
      <c r="D38" t="s">
        <v>189</v>
      </c>
      <c r="E38">
        <v>16</v>
      </c>
      <c r="F38" s="2">
        <v>7.9452054794520596E-2</v>
      </c>
      <c r="H38" s="33">
        <v>1</v>
      </c>
      <c r="I38" t="s">
        <v>231</v>
      </c>
      <c r="J38" t="s">
        <v>189</v>
      </c>
      <c r="K38">
        <v>16</v>
      </c>
      <c r="L38" s="63">
        <v>0.14520547945205478</v>
      </c>
      <c r="M38">
        <v>59</v>
      </c>
      <c r="P38" s="20" t="str">
        <f>INDEX(tb_distancias[CO],MATCH(Table6[[#This Row],[Sublanço]],tb_distancias[Sublanço],0))</f>
        <v>Leiria</v>
      </c>
      <c r="Q38" t="s">
        <v>183</v>
      </c>
      <c r="R38" t="s">
        <v>181</v>
      </c>
      <c r="S38">
        <v>107</v>
      </c>
      <c r="T38">
        <f>INDEX(Table7[Tempo],MATCH(Table6[[#This Row],[Tipo]],Table7[Tempo médio Ponderado Incidências],0))*Table6[[#This Row],[n_incidencias]]</f>
        <v>160.5</v>
      </c>
      <c r="W38" s="20" t="s">
        <v>0</v>
      </c>
      <c r="X38" s="20" t="s">
        <v>62</v>
      </c>
      <c r="Y38">
        <v>29.631932773109245</v>
      </c>
    </row>
    <row r="39" spans="2:25" x14ac:dyDescent="0.25">
      <c r="B39" s="33">
        <v>1</v>
      </c>
      <c r="C39" t="s">
        <v>231</v>
      </c>
      <c r="D39" t="s">
        <v>186</v>
      </c>
      <c r="E39">
        <v>16</v>
      </c>
      <c r="F39" s="2">
        <v>6.3013698630137005E-2</v>
      </c>
      <c r="H39" s="33">
        <v>1</v>
      </c>
      <c r="I39" t="s">
        <v>231</v>
      </c>
      <c r="J39" t="s">
        <v>186</v>
      </c>
      <c r="K39">
        <v>16</v>
      </c>
      <c r="L39" s="63">
        <v>5.4794520547945202E-2</v>
      </c>
      <c r="M39">
        <v>26</v>
      </c>
      <c r="P39" s="20" t="str">
        <f>INDEX(tb_distancias[CO],MATCH(Table6[[#This Row],[Sublanço]],tb_distancias[Sublanço],0))</f>
        <v>Carregado</v>
      </c>
      <c r="Q39" t="s">
        <v>64</v>
      </c>
      <c r="R39" t="s">
        <v>180</v>
      </c>
      <c r="S39">
        <v>725</v>
      </c>
      <c r="T39">
        <f>INDEX(Table7[Tempo],MATCH(Table6[[#This Row],[Tipo]],Table7[Tempo médio Ponderado Incidências],0))*Table6[[#This Row],[n_incidencias]]</f>
        <v>239.25</v>
      </c>
      <c r="W39" s="20" t="s">
        <v>0</v>
      </c>
      <c r="X39" s="20" t="s">
        <v>56</v>
      </c>
      <c r="Y39">
        <v>25.951546391752576</v>
      </c>
    </row>
    <row r="40" spans="2:25" x14ac:dyDescent="0.25">
      <c r="B40" s="33">
        <v>1</v>
      </c>
      <c r="C40" t="s">
        <v>59</v>
      </c>
      <c r="D40" t="s">
        <v>60</v>
      </c>
      <c r="E40">
        <v>17</v>
      </c>
      <c r="F40" s="2">
        <v>0.101369863013699</v>
      </c>
      <c r="H40" s="33">
        <v>1</v>
      </c>
      <c r="I40" t="s">
        <v>59</v>
      </c>
      <c r="J40" t="s">
        <v>60</v>
      </c>
      <c r="K40">
        <v>17</v>
      </c>
      <c r="L40" s="63">
        <v>0.15890410958904111</v>
      </c>
      <c r="M40">
        <v>64</v>
      </c>
      <c r="P40" s="20" t="str">
        <f>INDEX(tb_distancias[CO],MATCH(Table6[[#This Row],[Sublanço]],tb_distancias[Sublanço],0))</f>
        <v>Feira</v>
      </c>
      <c r="Q40" t="s">
        <v>67</v>
      </c>
      <c r="R40" t="s">
        <v>180</v>
      </c>
      <c r="S40">
        <v>899</v>
      </c>
      <c r="T40">
        <f>INDEX(Table7[Tempo],MATCH(Table6[[#This Row],[Tipo]],Table7[Tempo médio Ponderado Incidências],0))*Table6[[#This Row],[n_incidencias]]</f>
        <v>296.67</v>
      </c>
      <c r="W40" s="20" t="s">
        <v>0</v>
      </c>
      <c r="X40" s="20" t="s">
        <v>73</v>
      </c>
      <c r="Y40">
        <v>26.670106761565833</v>
      </c>
    </row>
    <row r="41" spans="2:25" x14ac:dyDescent="0.25">
      <c r="B41" s="33">
        <v>1</v>
      </c>
      <c r="C41" t="s">
        <v>231</v>
      </c>
      <c r="D41" t="s">
        <v>188</v>
      </c>
      <c r="E41">
        <v>17</v>
      </c>
      <c r="F41" s="2">
        <v>5.75342465753425E-2</v>
      </c>
      <c r="H41" s="33">
        <v>1</v>
      </c>
      <c r="I41" t="s">
        <v>231</v>
      </c>
      <c r="J41" t="s">
        <v>188</v>
      </c>
      <c r="K41">
        <v>17</v>
      </c>
      <c r="L41" s="63">
        <v>0.13972602739726028</v>
      </c>
      <c r="M41">
        <v>60</v>
      </c>
      <c r="P41" s="20" t="str">
        <f>INDEX(tb_distancias[CO],MATCH(Table6[[#This Row],[Sublanço]],tb_distancias[Sublanço],0))</f>
        <v>Mealhada</v>
      </c>
      <c r="Q41" t="s">
        <v>63</v>
      </c>
      <c r="R41" t="s">
        <v>182</v>
      </c>
      <c r="S41">
        <v>108</v>
      </c>
      <c r="T41">
        <f>INDEX(Table7[Tempo],MATCH(Table6[[#This Row],[Tipo]],Table7[Tempo médio Ponderado Incidências],0))*Table6[[#This Row],[n_incidencias]]</f>
        <v>35.64</v>
      </c>
      <c r="W41" s="20" t="s">
        <v>0</v>
      </c>
      <c r="X41" s="20" t="s">
        <v>71</v>
      </c>
      <c r="Y41">
        <v>27.4304347826087</v>
      </c>
    </row>
    <row r="42" spans="2:25" x14ac:dyDescent="0.25">
      <c r="B42" s="33">
        <v>1</v>
      </c>
      <c r="C42" t="s">
        <v>57</v>
      </c>
      <c r="D42" t="s">
        <v>66</v>
      </c>
      <c r="E42">
        <v>17</v>
      </c>
      <c r="F42" s="2">
        <v>7.9452054794520596E-2</v>
      </c>
      <c r="H42" s="33">
        <v>1</v>
      </c>
      <c r="I42" t="s">
        <v>57</v>
      </c>
      <c r="J42" t="s">
        <v>66</v>
      </c>
      <c r="K42">
        <v>17</v>
      </c>
      <c r="L42" s="63">
        <v>0.15342465753424658</v>
      </c>
      <c r="M42">
        <v>67</v>
      </c>
      <c r="P42" s="20" t="str">
        <f>INDEX(tb_distancias[CO],MATCH(Table6[[#This Row],[Sublanço]],tb_distancias[Sublanço],0))</f>
        <v>A9</v>
      </c>
      <c r="Q42" t="s">
        <v>311</v>
      </c>
      <c r="R42" t="s">
        <v>180</v>
      </c>
      <c r="S42">
        <v>617</v>
      </c>
      <c r="T42">
        <f>INDEX(Table7[Tempo],MATCH(Table6[[#This Row],[Tipo]],Table7[Tempo médio Ponderado Incidências],0))*Table6[[#This Row],[n_incidencias]]</f>
        <v>203.61</v>
      </c>
      <c r="W42" s="20" t="s">
        <v>0</v>
      </c>
      <c r="X42" s="20" t="s">
        <v>65</v>
      </c>
      <c r="Y42">
        <v>31.644444444444446</v>
      </c>
    </row>
    <row r="43" spans="2:25" x14ac:dyDescent="0.25">
      <c r="B43" s="33">
        <v>1</v>
      </c>
      <c r="C43" t="s">
        <v>276</v>
      </c>
      <c r="D43" t="s">
        <v>288</v>
      </c>
      <c r="E43">
        <v>17</v>
      </c>
      <c r="F43" s="2">
        <v>0.115068493150685</v>
      </c>
      <c r="H43" s="33">
        <v>1</v>
      </c>
      <c r="I43" t="s">
        <v>276</v>
      </c>
      <c r="J43" t="s">
        <v>288</v>
      </c>
      <c r="K43">
        <v>17</v>
      </c>
      <c r="L43" s="63">
        <v>0.1095890410958904</v>
      </c>
      <c r="M43">
        <v>42</v>
      </c>
      <c r="P43" s="20" t="str">
        <f>INDEX(tb_distancias[CO],MATCH(Table6[[#This Row],[Sublanço]],tb_distancias[Sublanço],0))</f>
        <v>Carregado</v>
      </c>
      <c r="Q43" t="s">
        <v>62</v>
      </c>
      <c r="R43" t="s">
        <v>182</v>
      </c>
      <c r="S43">
        <v>100</v>
      </c>
      <c r="T43">
        <f>INDEX(Table7[Tempo],MATCH(Table6[[#This Row],[Tipo]],Table7[Tempo médio Ponderado Incidências],0))*Table6[[#This Row],[n_incidencias]]</f>
        <v>33</v>
      </c>
      <c r="W43" s="20" t="s">
        <v>0</v>
      </c>
      <c r="X43" s="20" t="s">
        <v>64</v>
      </c>
      <c r="Y43">
        <v>25.447374301675978</v>
      </c>
    </row>
    <row r="44" spans="2:25" x14ac:dyDescent="0.25">
      <c r="B44" s="33">
        <v>1</v>
      </c>
      <c r="C44" t="s">
        <v>2</v>
      </c>
      <c r="D44" t="s">
        <v>28</v>
      </c>
      <c r="E44">
        <v>17</v>
      </c>
      <c r="F44" s="2">
        <v>6.8493150684931503E-2</v>
      </c>
      <c r="H44" s="33">
        <v>1</v>
      </c>
      <c r="I44" t="s">
        <v>2</v>
      </c>
      <c r="J44" t="s">
        <v>28</v>
      </c>
      <c r="K44">
        <v>17</v>
      </c>
      <c r="L44" s="63">
        <v>0.10136986301369863</v>
      </c>
      <c r="M44">
        <v>41</v>
      </c>
      <c r="P44" s="20" t="str">
        <f>INDEX(tb_distancias[CO],MATCH(Table6[[#This Row],[Sublanço]],tb_distancias[Sublanço],0))</f>
        <v>Mealhada</v>
      </c>
      <c r="Q44" t="s">
        <v>63</v>
      </c>
      <c r="R44" t="s">
        <v>180</v>
      </c>
      <c r="S44">
        <v>821</v>
      </c>
      <c r="T44">
        <f>INDEX(Table7[Tempo],MATCH(Table6[[#This Row],[Tipo]],Table7[Tempo médio Ponderado Incidências],0))*Table6[[#This Row],[n_incidencias]]</f>
        <v>270.93</v>
      </c>
      <c r="W44" s="20" t="s">
        <v>0</v>
      </c>
      <c r="X44" s="20" t="s">
        <v>79</v>
      </c>
      <c r="Y44">
        <v>32.926829268292686</v>
      </c>
    </row>
    <row r="45" spans="2:25" x14ac:dyDescent="0.25">
      <c r="B45" s="33">
        <v>1</v>
      </c>
      <c r="C45" t="s">
        <v>0</v>
      </c>
      <c r="D45" t="s">
        <v>56</v>
      </c>
      <c r="E45">
        <v>18</v>
      </c>
      <c r="F45" s="2">
        <v>0.147945205479452</v>
      </c>
      <c r="H45" s="33">
        <v>1</v>
      </c>
      <c r="I45" t="s">
        <v>0</v>
      </c>
      <c r="J45" t="s">
        <v>56</v>
      </c>
      <c r="K45">
        <v>18</v>
      </c>
      <c r="L45" s="63">
        <v>0.24109589041095891</v>
      </c>
      <c r="M45">
        <v>113</v>
      </c>
      <c r="P45" s="20" t="str">
        <f>INDEX(tb_distancias[CO],MATCH(Table6[[#This Row],[Sublanço]],tb_distancias[Sublanço],0))</f>
        <v>Leiria</v>
      </c>
      <c r="Q45" t="s">
        <v>189</v>
      </c>
      <c r="R45" t="s">
        <v>182</v>
      </c>
      <c r="S45">
        <v>126</v>
      </c>
      <c r="T45">
        <f>INDEX(Table7[Tempo],MATCH(Table6[[#This Row],[Tipo]],Table7[Tempo médio Ponderado Incidências],0))*Table6[[#This Row],[n_incidencias]]</f>
        <v>41.580000000000005</v>
      </c>
      <c r="W45" s="20" t="s">
        <v>0</v>
      </c>
      <c r="X45" s="20" t="s">
        <v>61</v>
      </c>
      <c r="Y45">
        <v>24.287671232876715</v>
      </c>
    </row>
    <row r="46" spans="2:25" x14ac:dyDescent="0.25">
      <c r="B46" s="33">
        <v>1</v>
      </c>
      <c r="C46" t="s">
        <v>59</v>
      </c>
      <c r="D46" t="s">
        <v>68</v>
      </c>
      <c r="E46">
        <v>18</v>
      </c>
      <c r="F46" s="2">
        <v>7.9452054794520596E-2</v>
      </c>
      <c r="H46" s="33">
        <v>1</v>
      </c>
      <c r="I46" t="s">
        <v>59</v>
      </c>
      <c r="J46" t="s">
        <v>68</v>
      </c>
      <c r="K46">
        <v>18</v>
      </c>
      <c r="L46" s="63">
        <v>0.18082191780821918</v>
      </c>
      <c r="M46">
        <v>77</v>
      </c>
      <c r="P46" s="20" t="str">
        <f>INDEX(tb_distancias[CO],MATCH(Table6[[#This Row],[Sublanço]],tb_distancias[Sublanço],0))</f>
        <v>A9</v>
      </c>
      <c r="Q46" t="s">
        <v>312</v>
      </c>
      <c r="R46" t="s">
        <v>180</v>
      </c>
      <c r="S46">
        <v>444</v>
      </c>
      <c r="T46">
        <f>INDEX(Table7[Tempo],MATCH(Table6[[#This Row],[Tipo]],Table7[Tempo médio Ponderado Incidências],0))*Table6[[#This Row],[n_incidencias]]</f>
        <v>146.52000000000001</v>
      </c>
      <c r="W46" s="20" t="s">
        <v>0</v>
      </c>
      <c r="X46" s="20" t="s">
        <v>70</v>
      </c>
      <c r="Y46">
        <v>25.240238450074514</v>
      </c>
    </row>
    <row r="47" spans="2:25" x14ac:dyDescent="0.25">
      <c r="B47" s="33">
        <v>1</v>
      </c>
      <c r="C47" t="s">
        <v>0</v>
      </c>
      <c r="D47" t="s">
        <v>71</v>
      </c>
      <c r="E47">
        <v>18</v>
      </c>
      <c r="F47" s="2">
        <v>3.8356164383561597E-2</v>
      </c>
      <c r="H47" s="33">
        <v>1</v>
      </c>
      <c r="I47" t="s">
        <v>0</v>
      </c>
      <c r="J47" t="s">
        <v>71</v>
      </c>
      <c r="K47">
        <v>18</v>
      </c>
      <c r="L47" s="63">
        <v>8.7671232876712329E-2</v>
      </c>
      <c r="M47">
        <v>36</v>
      </c>
      <c r="P47" s="20" t="str">
        <f>INDEX(tb_distancias[CO],MATCH(Table6[[#This Row],[Sublanço]],tb_distancias[Sublanço],0))</f>
        <v>Carregado</v>
      </c>
      <c r="Q47" t="s">
        <v>62</v>
      </c>
      <c r="R47" t="s">
        <v>181</v>
      </c>
      <c r="S47">
        <v>150</v>
      </c>
      <c r="T47">
        <f>INDEX(Table7[Tempo],MATCH(Table6[[#This Row],[Tipo]],Table7[Tempo médio Ponderado Incidências],0))*Table6[[#This Row],[n_incidencias]]</f>
        <v>225</v>
      </c>
      <c r="W47" s="20" t="s">
        <v>0</v>
      </c>
      <c r="X47" s="20" t="s">
        <v>78</v>
      </c>
      <c r="Y47">
        <v>23.310000000000002</v>
      </c>
    </row>
    <row r="48" spans="2:25" x14ac:dyDescent="0.25">
      <c r="B48" s="33">
        <v>1</v>
      </c>
      <c r="C48" t="s">
        <v>0</v>
      </c>
      <c r="D48" t="s">
        <v>65</v>
      </c>
      <c r="E48">
        <v>18</v>
      </c>
      <c r="F48" s="2">
        <v>0.150684931506849</v>
      </c>
      <c r="H48" s="33">
        <v>1</v>
      </c>
      <c r="I48" t="s">
        <v>0</v>
      </c>
      <c r="J48" t="s">
        <v>65</v>
      </c>
      <c r="K48">
        <v>18</v>
      </c>
      <c r="L48" s="63">
        <v>0.17808219178082191</v>
      </c>
      <c r="M48">
        <v>84</v>
      </c>
      <c r="P48" s="20" t="str">
        <f>INDEX(tb_distancias[CO],MATCH(Table6[[#This Row],[Sublanço]],tb_distancias[Sublanço],0))</f>
        <v>Carregado</v>
      </c>
      <c r="Q48" t="s">
        <v>79</v>
      </c>
      <c r="R48" t="s">
        <v>180</v>
      </c>
      <c r="S48">
        <v>93</v>
      </c>
      <c r="T48">
        <f>INDEX(Table7[Tempo],MATCH(Table6[[#This Row],[Tipo]],Table7[Tempo médio Ponderado Incidências],0))*Table6[[#This Row],[n_incidencias]]</f>
        <v>30.69</v>
      </c>
      <c r="W48" s="20" t="s">
        <v>57</v>
      </c>
      <c r="X48" s="20" t="s">
        <v>67</v>
      </c>
      <c r="Y48">
        <v>23.857431192660552</v>
      </c>
    </row>
    <row r="49" spans="2:25" x14ac:dyDescent="0.25">
      <c r="B49" s="33">
        <v>1</v>
      </c>
      <c r="C49" t="s">
        <v>307</v>
      </c>
      <c r="D49" t="s">
        <v>308</v>
      </c>
      <c r="E49">
        <v>18</v>
      </c>
      <c r="F49" s="2">
        <v>0.10958904109589</v>
      </c>
      <c r="H49" s="33">
        <v>1</v>
      </c>
      <c r="I49" t="s">
        <v>307</v>
      </c>
      <c r="J49" t="s">
        <v>308</v>
      </c>
      <c r="K49">
        <v>18</v>
      </c>
      <c r="L49" s="63">
        <v>9.8630136986301367E-2</v>
      </c>
      <c r="M49">
        <v>40</v>
      </c>
      <c r="P49" s="20" t="str">
        <f>INDEX(tb_distancias[CO],MATCH(Table6[[#This Row],[Sublanço]],tb_distancias[Sublanço],0))</f>
        <v>Carregado</v>
      </c>
      <c r="Q49" t="s">
        <v>61</v>
      </c>
      <c r="R49" t="s">
        <v>180</v>
      </c>
      <c r="S49">
        <v>905</v>
      </c>
      <c r="T49">
        <f>INDEX(Table7[Tempo],MATCH(Table6[[#This Row],[Tipo]],Table7[Tempo médio Ponderado Incidências],0))*Table6[[#This Row],[n_incidencias]]</f>
        <v>298.65000000000003</v>
      </c>
      <c r="W49" s="20" t="s">
        <v>57</v>
      </c>
      <c r="X49" s="20" t="s">
        <v>58</v>
      </c>
      <c r="Y49">
        <v>23.47058823529412</v>
      </c>
    </row>
    <row r="50" spans="2:25" x14ac:dyDescent="0.25">
      <c r="B50" s="33">
        <v>1</v>
      </c>
      <c r="C50" t="s">
        <v>231</v>
      </c>
      <c r="D50" t="s">
        <v>183</v>
      </c>
      <c r="E50">
        <v>18</v>
      </c>
      <c r="F50" s="2">
        <v>0.17534246575342499</v>
      </c>
      <c r="H50" s="33">
        <v>1</v>
      </c>
      <c r="I50" t="s">
        <v>231</v>
      </c>
      <c r="J50" t="s">
        <v>183</v>
      </c>
      <c r="K50">
        <v>18</v>
      </c>
      <c r="L50" s="63">
        <v>0.21643835616438356</v>
      </c>
      <c r="M50">
        <v>101</v>
      </c>
      <c r="P50" s="20" t="str">
        <f>INDEX(tb_distancias[CO],MATCH(Table6[[#This Row],[Sublanço]],tb_distancias[Sublanço],0))</f>
        <v>Carcavelos</v>
      </c>
      <c r="Q50" t="s">
        <v>38</v>
      </c>
      <c r="R50" t="s">
        <v>180</v>
      </c>
      <c r="S50">
        <v>41</v>
      </c>
      <c r="T50">
        <f>INDEX(Table7[Tempo],MATCH(Table6[[#This Row],[Tipo]],Table7[Tempo médio Ponderado Incidências],0))*Table6[[#This Row],[n_incidencias]]</f>
        <v>13.530000000000001</v>
      </c>
      <c r="W50" s="20" t="s">
        <v>57</v>
      </c>
      <c r="X50" s="20" t="s">
        <v>69</v>
      </c>
      <c r="Y50">
        <v>24.612518628912071</v>
      </c>
    </row>
    <row r="51" spans="2:25" x14ac:dyDescent="0.25">
      <c r="B51" s="33">
        <v>1</v>
      </c>
      <c r="C51" t="s">
        <v>0</v>
      </c>
      <c r="D51" t="s">
        <v>64</v>
      </c>
      <c r="E51">
        <v>18</v>
      </c>
      <c r="F51" s="2">
        <v>9.0410958904109606E-2</v>
      </c>
      <c r="H51" s="33">
        <v>1</v>
      </c>
      <c r="I51" t="s">
        <v>0</v>
      </c>
      <c r="J51" t="s">
        <v>64</v>
      </c>
      <c r="K51">
        <v>18</v>
      </c>
      <c r="L51" s="63">
        <v>0.22465753424657534</v>
      </c>
      <c r="M51">
        <v>100</v>
      </c>
      <c r="P51" s="20" t="str">
        <f>INDEX(tb_distancias[CO],MATCH(Table6[[#This Row],[Sublanço]],tb_distancias[Sublanço],0))</f>
        <v>A10</v>
      </c>
      <c r="Q51" t="s">
        <v>296</v>
      </c>
      <c r="R51" t="s">
        <v>180</v>
      </c>
      <c r="S51">
        <v>253</v>
      </c>
      <c r="T51">
        <f>INDEX(Table7[Tempo],MATCH(Table6[[#This Row],[Tipo]],Table7[Tempo médio Ponderado Incidências],0))*Table6[[#This Row],[n_incidencias]]</f>
        <v>83.490000000000009</v>
      </c>
      <c r="W51" s="20" t="s">
        <v>57</v>
      </c>
      <c r="X51" s="20" t="s">
        <v>74</v>
      </c>
      <c r="Y51">
        <v>28.846982055464927</v>
      </c>
    </row>
    <row r="52" spans="2:25" x14ac:dyDescent="0.25">
      <c r="B52" s="33">
        <v>1</v>
      </c>
      <c r="C52" t="s">
        <v>57</v>
      </c>
      <c r="D52" t="s">
        <v>58</v>
      </c>
      <c r="E52">
        <v>18</v>
      </c>
      <c r="F52" s="2">
        <v>0.115068493150685</v>
      </c>
      <c r="H52" s="33">
        <v>1</v>
      </c>
      <c r="I52" t="s">
        <v>57</v>
      </c>
      <c r="J52" t="s">
        <v>58</v>
      </c>
      <c r="K52">
        <v>18</v>
      </c>
      <c r="L52" s="63">
        <v>0.23561643835616439</v>
      </c>
      <c r="M52">
        <v>98</v>
      </c>
      <c r="P52" s="20" t="str">
        <f>INDEX(tb_distancias[CO],MATCH(Table6[[#This Row],[Sublanço]],tb_distancias[Sublanço],0))</f>
        <v>Carcavelos</v>
      </c>
      <c r="Q52" t="s">
        <v>316</v>
      </c>
      <c r="R52" t="s">
        <v>182</v>
      </c>
      <c r="S52">
        <v>79</v>
      </c>
      <c r="T52">
        <f>INDEX(Table7[Tempo],MATCH(Table6[[#This Row],[Tipo]],Table7[Tempo médio Ponderado Incidências],0))*Table6[[#This Row],[n_incidencias]]</f>
        <v>26.07</v>
      </c>
      <c r="W52" s="20" t="s">
        <v>57</v>
      </c>
      <c r="X52" s="20" t="s">
        <v>66</v>
      </c>
      <c r="Y52">
        <v>29.723908918406071</v>
      </c>
    </row>
    <row r="53" spans="2:25" x14ac:dyDescent="0.25">
      <c r="B53" s="33">
        <v>1</v>
      </c>
      <c r="C53" t="s">
        <v>0</v>
      </c>
      <c r="D53" t="s">
        <v>64</v>
      </c>
      <c r="E53">
        <v>19</v>
      </c>
      <c r="F53" s="2">
        <v>8.4931506849315094E-2</v>
      </c>
      <c r="H53" s="33">
        <v>1</v>
      </c>
      <c r="I53" t="s">
        <v>0</v>
      </c>
      <c r="J53" t="s">
        <v>64</v>
      </c>
      <c r="K53">
        <v>19</v>
      </c>
      <c r="L53" s="63">
        <v>0.15068493150684931</v>
      </c>
      <c r="M53">
        <v>66</v>
      </c>
      <c r="P53" s="20" t="str">
        <f>INDEX(tb_distancias[CO],MATCH(Table6[[#This Row],[Sublanço]],tb_distancias[Sublanço],0))</f>
        <v>Carcavelos</v>
      </c>
      <c r="Q53" t="s">
        <v>26</v>
      </c>
      <c r="R53" t="s">
        <v>180</v>
      </c>
      <c r="S53">
        <v>683</v>
      </c>
      <c r="T53">
        <f>INDEX(Table7[Tempo],MATCH(Table6[[#This Row],[Tipo]],Table7[Tempo médio Ponderado Incidências],0))*Table6[[#This Row],[n_incidencias]]</f>
        <v>225.39000000000001</v>
      </c>
      <c r="W53" s="20" t="s">
        <v>57</v>
      </c>
      <c r="X53" s="20" t="s">
        <v>75</v>
      </c>
      <c r="Y53">
        <v>37.564897959183668</v>
      </c>
    </row>
    <row r="54" spans="2:25" x14ac:dyDescent="0.25">
      <c r="B54" s="33">
        <v>1</v>
      </c>
      <c r="C54" t="s">
        <v>231</v>
      </c>
      <c r="D54" t="s">
        <v>185</v>
      </c>
      <c r="E54">
        <v>19</v>
      </c>
      <c r="F54" s="2">
        <v>0.18082191780821899</v>
      </c>
      <c r="H54" s="33">
        <v>1</v>
      </c>
      <c r="I54" t="s">
        <v>231</v>
      </c>
      <c r="J54" t="s">
        <v>185</v>
      </c>
      <c r="K54">
        <v>19</v>
      </c>
      <c r="L54" s="63">
        <v>0.32054794520547947</v>
      </c>
      <c r="M54">
        <v>150</v>
      </c>
      <c r="P54" s="20" t="str">
        <f>INDEX(tb_distancias[CO],MATCH(Table6[[#This Row],[Sublanço]],tb_distancias[Sublanço],0))</f>
        <v>A9</v>
      </c>
      <c r="Q54" t="s">
        <v>313</v>
      </c>
      <c r="R54" t="s">
        <v>180</v>
      </c>
      <c r="S54">
        <v>224</v>
      </c>
      <c r="T54">
        <f>INDEX(Table7[Tempo],MATCH(Table6[[#This Row],[Tipo]],Table7[Tempo médio Ponderado Incidências],0))*Table6[[#This Row],[n_incidencias]]</f>
        <v>73.92</v>
      </c>
      <c r="W54" s="20" t="s">
        <v>57</v>
      </c>
      <c r="X54" s="20" t="s">
        <v>77</v>
      </c>
      <c r="Y54">
        <v>27.478125000000002</v>
      </c>
    </row>
    <row r="55" spans="2:25" x14ac:dyDescent="0.25">
      <c r="B55" s="33">
        <v>1</v>
      </c>
      <c r="C55" t="s">
        <v>276</v>
      </c>
      <c r="D55" t="s">
        <v>288</v>
      </c>
      <c r="E55">
        <v>19</v>
      </c>
      <c r="F55" s="2">
        <v>7.3972602739726001E-2</v>
      </c>
      <c r="H55" s="33">
        <v>1</v>
      </c>
      <c r="I55" t="s">
        <v>276</v>
      </c>
      <c r="J55" t="s">
        <v>288</v>
      </c>
      <c r="K55">
        <v>19</v>
      </c>
      <c r="L55" s="63">
        <v>6.8493150684931503E-2</v>
      </c>
      <c r="M55">
        <v>27</v>
      </c>
      <c r="P55" s="20" t="str">
        <f>INDEX(tb_distancias[CO],MATCH(Table6[[#This Row],[Sublanço]],tb_distancias[Sublanço],0))</f>
        <v>Carregado</v>
      </c>
      <c r="Q55" t="s">
        <v>73</v>
      </c>
      <c r="R55" t="s">
        <v>182</v>
      </c>
      <c r="S55">
        <v>47</v>
      </c>
      <c r="T55">
        <f>INDEX(Table7[Tempo],MATCH(Table6[[#This Row],[Tipo]],Table7[Tempo médio Ponderado Incidências],0))*Table6[[#This Row],[n_incidencias]]</f>
        <v>15.510000000000002</v>
      </c>
      <c r="W55" s="20" t="s">
        <v>231</v>
      </c>
      <c r="X55" s="20" t="s">
        <v>183</v>
      </c>
      <c r="Y55">
        <v>24.655462184873951</v>
      </c>
    </row>
    <row r="56" spans="2:25" x14ac:dyDescent="0.25">
      <c r="B56" s="33">
        <v>1</v>
      </c>
      <c r="C56" t="s">
        <v>231</v>
      </c>
      <c r="D56" t="s">
        <v>183</v>
      </c>
      <c r="E56">
        <v>19</v>
      </c>
      <c r="F56" s="2">
        <v>0.150684931506849</v>
      </c>
      <c r="H56" s="33">
        <v>1</v>
      </c>
      <c r="I56" t="s">
        <v>231</v>
      </c>
      <c r="J56" t="s">
        <v>183</v>
      </c>
      <c r="K56">
        <v>19</v>
      </c>
      <c r="L56" s="63">
        <v>0.23287671232876711</v>
      </c>
      <c r="M56">
        <v>114</v>
      </c>
      <c r="P56" s="20" t="str">
        <f>INDEX(tb_distancias[CO],MATCH(Table6[[#This Row],[Sublanço]],tb_distancias[Sublanço],0))</f>
        <v>Carcavelos</v>
      </c>
      <c r="Q56" t="s">
        <v>37</v>
      </c>
      <c r="R56" t="s">
        <v>181</v>
      </c>
      <c r="S56">
        <v>31</v>
      </c>
      <c r="T56">
        <f>INDEX(Table7[Tempo],MATCH(Table6[[#This Row],[Tipo]],Table7[Tempo médio Ponderado Incidências],0))*Table6[[#This Row],[n_incidencias]]</f>
        <v>46.5</v>
      </c>
      <c r="W56" s="20" t="s">
        <v>231</v>
      </c>
      <c r="X56" s="20" t="s">
        <v>184</v>
      </c>
      <c r="Y56">
        <v>24.302482758620695</v>
      </c>
    </row>
    <row r="57" spans="2:25" x14ac:dyDescent="0.25">
      <c r="B57" s="33">
        <v>1</v>
      </c>
      <c r="C57" t="s">
        <v>57</v>
      </c>
      <c r="D57" t="s">
        <v>67</v>
      </c>
      <c r="E57">
        <v>20</v>
      </c>
      <c r="F57" s="2">
        <v>7.1232876712328794E-2</v>
      </c>
      <c r="H57" s="33">
        <v>1</v>
      </c>
      <c r="I57" t="s">
        <v>57</v>
      </c>
      <c r="J57" t="s">
        <v>67</v>
      </c>
      <c r="K57">
        <v>20</v>
      </c>
      <c r="L57" s="63">
        <v>0.14794520547945206</v>
      </c>
      <c r="M57">
        <v>65</v>
      </c>
      <c r="P57" s="20" t="str">
        <f>INDEX(tb_distancias[CO],MATCH(Table6[[#This Row],[Sublanço]],tb_distancias[Sublanço],0))</f>
        <v>Mealhada</v>
      </c>
      <c r="Q57" t="s">
        <v>68</v>
      </c>
      <c r="R57" t="s">
        <v>182</v>
      </c>
      <c r="S57">
        <v>135</v>
      </c>
      <c r="T57">
        <f>INDEX(Table7[Tempo],MATCH(Table6[[#This Row],[Tipo]],Table7[Tempo médio Ponderado Incidências],0))*Table6[[#This Row],[n_incidencias]]</f>
        <v>44.550000000000004</v>
      </c>
      <c r="W57" s="20" t="s">
        <v>231</v>
      </c>
      <c r="X57" s="20" t="s">
        <v>185</v>
      </c>
      <c r="Y57">
        <v>23.270338983050848</v>
      </c>
    </row>
    <row r="58" spans="2:25" x14ac:dyDescent="0.25">
      <c r="B58" s="33">
        <v>1</v>
      </c>
      <c r="C58" t="s">
        <v>59</v>
      </c>
      <c r="D58" t="s">
        <v>63</v>
      </c>
      <c r="E58">
        <v>20</v>
      </c>
      <c r="F58" s="2">
        <v>5.75342465753425E-2</v>
      </c>
      <c r="H58" s="33">
        <v>1</v>
      </c>
      <c r="I58" t="s">
        <v>59</v>
      </c>
      <c r="J58" t="s">
        <v>63</v>
      </c>
      <c r="K58">
        <v>20</v>
      </c>
      <c r="L58" s="63">
        <v>0.1095890410958904</v>
      </c>
      <c r="M58">
        <v>46</v>
      </c>
      <c r="P58" s="20" t="str">
        <f>INDEX(tb_distancias[CO],MATCH(Table6[[#This Row],[Sublanço]],tb_distancias[Sublanço],0))</f>
        <v>Leiria</v>
      </c>
      <c r="Q58" t="s">
        <v>185</v>
      </c>
      <c r="R58" t="s">
        <v>182</v>
      </c>
      <c r="S58">
        <v>283</v>
      </c>
      <c r="T58">
        <f>INDEX(Table7[Tempo],MATCH(Table6[[#This Row],[Tipo]],Table7[Tempo médio Ponderado Incidências],0))*Table6[[#This Row],[n_incidencias]]</f>
        <v>93.39</v>
      </c>
      <c r="W58" s="20" t="s">
        <v>231</v>
      </c>
      <c r="X58" s="20" t="s">
        <v>186</v>
      </c>
      <c r="Y58">
        <v>26.195031055900625</v>
      </c>
    </row>
    <row r="59" spans="2:25" x14ac:dyDescent="0.25">
      <c r="B59" s="33">
        <v>1</v>
      </c>
      <c r="C59" t="s">
        <v>307</v>
      </c>
      <c r="D59" t="s">
        <v>393</v>
      </c>
      <c r="E59">
        <v>20</v>
      </c>
      <c r="F59" s="2">
        <v>6.02739726027397E-2</v>
      </c>
      <c r="H59" s="33">
        <v>1</v>
      </c>
      <c r="I59" t="s">
        <v>307</v>
      </c>
      <c r="J59" t="s">
        <v>393</v>
      </c>
      <c r="K59">
        <v>20</v>
      </c>
      <c r="L59" s="63">
        <v>5.4794520547945202E-2</v>
      </c>
      <c r="M59">
        <v>22</v>
      </c>
      <c r="P59" s="20" t="str">
        <f>INDEX(tb_distancias[CO],MATCH(Table6[[#This Row],[Sublanço]],tb_distancias[Sublanço],0))</f>
        <v>Feira</v>
      </c>
      <c r="Q59" t="s">
        <v>75</v>
      </c>
      <c r="R59" t="s">
        <v>180</v>
      </c>
      <c r="S59">
        <v>347</v>
      </c>
      <c r="T59">
        <f>INDEX(Table7[Tempo],MATCH(Table6[[#This Row],[Tipo]],Table7[Tempo médio Ponderado Incidências],0))*Table6[[#This Row],[n_incidencias]]</f>
        <v>114.51</v>
      </c>
      <c r="W59" s="20" t="s">
        <v>231</v>
      </c>
      <c r="X59" s="20" t="s">
        <v>187</v>
      </c>
      <c r="Y59">
        <v>25.017121354656634</v>
      </c>
    </row>
    <row r="60" spans="2:25" x14ac:dyDescent="0.25">
      <c r="B60" s="33">
        <v>1</v>
      </c>
      <c r="C60" t="s">
        <v>0</v>
      </c>
      <c r="D60" t="s">
        <v>62</v>
      </c>
      <c r="E60">
        <v>20</v>
      </c>
      <c r="F60" s="2">
        <v>7.9452054794520596E-2</v>
      </c>
      <c r="H60" s="33">
        <v>1</v>
      </c>
      <c r="I60" t="s">
        <v>0</v>
      </c>
      <c r="J60" t="s">
        <v>62</v>
      </c>
      <c r="K60">
        <v>20</v>
      </c>
      <c r="L60" s="63">
        <v>9.5890410958904104E-2</v>
      </c>
      <c r="M60">
        <v>42</v>
      </c>
      <c r="P60" s="20" t="str">
        <f>INDEX(tb_distancias[CO],MATCH(Table6[[#This Row],[Sublanço]],tb_distancias[Sublanço],0))</f>
        <v>Carcavelos</v>
      </c>
      <c r="Q60" t="s">
        <v>316</v>
      </c>
      <c r="R60" t="s">
        <v>180</v>
      </c>
      <c r="S60">
        <v>723</v>
      </c>
      <c r="T60">
        <f>INDEX(Table7[Tempo],MATCH(Table6[[#This Row],[Tipo]],Table7[Tempo médio Ponderado Incidências],0))*Table6[[#This Row],[n_incidencias]]</f>
        <v>238.59</v>
      </c>
      <c r="W60" s="20" t="s">
        <v>231</v>
      </c>
      <c r="X60" s="20" t="s">
        <v>188</v>
      </c>
      <c r="Y60">
        <v>24.262325581395352</v>
      </c>
    </row>
    <row r="61" spans="2:25" x14ac:dyDescent="0.25">
      <c r="B61" s="33">
        <v>1</v>
      </c>
      <c r="C61" t="s">
        <v>0</v>
      </c>
      <c r="D61" t="s">
        <v>62</v>
      </c>
      <c r="E61">
        <v>21</v>
      </c>
      <c r="F61" s="2">
        <v>5.2054794520547898E-2</v>
      </c>
      <c r="H61" s="33">
        <v>1</v>
      </c>
      <c r="I61" t="s">
        <v>0</v>
      </c>
      <c r="J61" t="s">
        <v>62</v>
      </c>
      <c r="K61">
        <v>21</v>
      </c>
      <c r="L61" s="63">
        <v>0.12328767123287671</v>
      </c>
      <c r="M61">
        <v>48</v>
      </c>
      <c r="P61" s="20" t="str">
        <f>INDEX(tb_distancias[CO],MATCH(Table6[[#This Row],[Sublanço]],tb_distancias[Sublanço],0))</f>
        <v>Mealhada</v>
      </c>
      <c r="Q61" t="s">
        <v>68</v>
      </c>
      <c r="R61" t="s">
        <v>181</v>
      </c>
      <c r="S61">
        <v>54</v>
      </c>
      <c r="T61">
        <f>INDEX(Table7[Tempo],MATCH(Table6[[#This Row],[Tipo]],Table7[Tempo médio Ponderado Incidências],0))*Table6[[#This Row],[n_incidencias]]</f>
        <v>81</v>
      </c>
      <c r="W61" s="20" t="s">
        <v>231</v>
      </c>
      <c r="X61" s="20" t="s">
        <v>189</v>
      </c>
      <c r="Y61">
        <v>25.856136087484813</v>
      </c>
    </row>
    <row r="62" spans="2:25" x14ac:dyDescent="0.25">
      <c r="B62" s="33">
        <v>1</v>
      </c>
      <c r="C62" t="s">
        <v>231</v>
      </c>
      <c r="D62" t="s">
        <v>184</v>
      </c>
      <c r="E62">
        <v>22</v>
      </c>
      <c r="F62" s="2">
        <v>5.4794520547945202E-2</v>
      </c>
      <c r="H62" s="33">
        <v>1</v>
      </c>
      <c r="I62" t="s">
        <v>231</v>
      </c>
      <c r="J62" t="s">
        <v>184</v>
      </c>
      <c r="K62">
        <v>22</v>
      </c>
      <c r="L62" s="63">
        <v>9.0410958904109592E-2</v>
      </c>
      <c r="M62">
        <v>37</v>
      </c>
      <c r="P62" s="20" t="str">
        <f>INDEX(tb_distancias[CO],MATCH(Table6[[#This Row],[Sublanço]],tb_distancias[Sublanço],0))</f>
        <v>Feira</v>
      </c>
      <c r="Q62" t="s">
        <v>58</v>
      </c>
      <c r="R62" t="s">
        <v>181</v>
      </c>
      <c r="S62">
        <v>88</v>
      </c>
      <c r="T62">
        <f>INDEX(Table7[Tempo],MATCH(Table6[[#This Row],[Tipo]],Table7[Tempo médio Ponderado Incidências],0))*Table6[[#This Row],[n_incidencias]]</f>
        <v>132</v>
      </c>
      <c r="W62" s="20" t="s">
        <v>231</v>
      </c>
      <c r="X62" s="20" t="s">
        <v>190</v>
      </c>
      <c r="Y62">
        <v>33.092307692307692</v>
      </c>
    </row>
    <row r="63" spans="2:25" x14ac:dyDescent="0.25">
      <c r="B63" s="33">
        <v>1</v>
      </c>
      <c r="C63" t="s">
        <v>231</v>
      </c>
      <c r="D63" t="s">
        <v>189</v>
      </c>
      <c r="E63">
        <v>22</v>
      </c>
      <c r="F63" s="2">
        <v>4.1095890410958902E-2</v>
      </c>
      <c r="H63" s="33">
        <v>1</v>
      </c>
      <c r="I63" t="s">
        <v>231</v>
      </c>
      <c r="J63" t="s">
        <v>189</v>
      </c>
      <c r="K63">
        <v>22</v>
      </c>
      <c r="L63" s="63">
        <v>8.4931506849315067E-2</v>
      </c>
      <c r="M63">
        <v>33</v>
      </c>
      <c r="P63" s="20" t="str">
        <f>INDEX(tb_distancias[CO],MATCH(Table6[[#This Row],[Sublanço]],tb_distancias[Sublanço],0))</f>
        <v>Feira</v>
      </c>
      <c r="Q63" t="s">
        <v>66</v>
      </c>
      <c r="R63" t="s">
        <v>181</v>
      </c>
      <c r="S63">
        <v>149</v>
      </c>
      <c r="T63">
        <f>INDEX(Table7[Tempo],MATCH(Table6[[#This Row],[Tipo]],Table7[Tempo médio Ponderado Incidências],0))*Table6[[#This Row],[n_incidencias]]</f>
        <v>223.5</v>
      </c>
      <c r="W63" s="20" t="s">
        <v>59</v>
      </c>
      <c r="X63" s="20" t="s">
        <v>60</v>
      </c>
      <c r="Y63">
        <v>23.834981458590853</v>
      </c>
    </row>
    <row r="64" spans="2:25" x14ac:dyDescent="0.25">
      <c r="B64" s="33">
        <v>1</v>
      </c>
      <c r="C64" t="s">
        <v>0</v>
      </c>
      <c r="D64" t="s">
        <v>62</v>
      </c>
      <c r="E64">
        <v>22</v>
      </c>
      <c r="F64" s="2">
        <v>2.19178082191781E-2</v>
      </c>
      <c r="H64" s="33">
        <v>1</v>
      </c>
      <c r="I64" t="s">
        <v>0</v>
      </c>
      <c r="J64" t="s">
        <v>62</v>
      </c>
      <c r="K64">
        <v>22</v>
      </c>
      <c r="L64" s="63">
        <v>4.9315068493150684E-2</v>
      </c>
      <c r="M64">
        <v>23</v>
      </c>
      <c r="P64" s="20" t="str">
        <f>INDEX(tb_distancias[CO],MATCH(Table6[[#This Row],[Sublanço]],tb_distancias[Sublanço],0))</f>
        <v>Carregado</v>
      </c>
      <c r="Q64" t="s">
        <v>65</v>
      </c>
      <c r="R64" t="s">
        <v>181</v>
      </c>
      <c r="S64">
        <v>164</v>
      </c>
      <c r="T64">
        <f>INDEX(Table7[Tempo],MATCH(Table6[[#This Row],[Tipo]],Table7[Tempo médio Ponderado Incidências],0))*Table6[[#This Row],[n_incidencias]]</f>
        <v>246</v>
      </c>
      <c r="W64" s="20" t="s">
        <v>59</v>
      </c>
      <c r="X64" s="20" t="s">
        <v>68</v>
      </c>
      <c r="Y64">
        <v>24.1875</v>
      </c>
    </row>
    <row r="65" spans="2:25" x14ac:dyDescent="0.25">
      <c r="B65" s="33">
        <v>1</v>
      </c>
      <c r="C65" t="s">
        <v>231</v>
      </c>
      <c r="D65" t="s">
        <v>188</v>
      </c>
      <c r="E65">
        <v>22</v>
      </c>
      <c r="F65" s="2">
        <v>4.9315068493150697E-2</v>
      </c>
      <c r="H65" s="33">
        <v>1</v>
      </c>
      <c r="I65" t="s">
        <v>231</v>
      </c>
      <c r="J65" t="s">
        <v>188</v>
      </c>
      <c r="K65">
        <v>22</v>
      </c>
      <c r="L65" s="63">
        <v>5.4794520547945202E-2</v>
      </c>
      <c r="M65">
        <v>21</v>
      </c>
      <c r="P65" s="20" t="str">
        <f>INDEX(tb_distancias[CO],MATCH(Table6[[#This Row],[Sublanço]],tb_distancias[Sublanço],0))</f>
        <v>Carcavelos</v>
      </c>
      <c r="Q65" t="s">
        <v>17</v>
      </c>
      <c r="R65" t="s">
        <v>181</v>
      </c>
      <c r="S65">
        <v>200</v>
      </c>
      <c r="T65">
        <f>INDEX(Table7[Tempo],MATCH(Table6[[#This Row],[Tipo]],Table7[Tempo médio Ponderado Incidências],0))*Table6[[#This Row],[n_incidencias]]</f>
        <v>300</v>
      </c>
      <c r="W65" s="20" t="s">
        <v>59</v>
      </c>
      <c r="X65" s="20" t="s">
        <v>63</v>
      </c>
      <c r="Y65">
        <v>23.992105263157896</v>
      </c>
    </row>
    <row r="66" spans="2:25" x14ac:dyDescent="0.25">
      <c r="B66" s="33">
        <v>1</v>
      </c>
      <c r="C66" t="s">
        <v>307</v>
      </c>
      <c r="D66" t="s">
        <v>312</v>
      </c>
      <c r="E66">
        <v>22</v>
      </c>
      <c r="F66" s="2">
        <v>5.4794520547945202E-2</v>
      </c>
      <c r="H66" s="33">
        <v>1</v>
      </c>
      <c r="I66" t="s">
        <v>307</v>
      </c>
      <c r="J66" t="s">
        <v>312</v>
      </c>
      <c r="K66">
        <v>22</v>
      </c>
      <c r="L66" s="63">
        <v>5.2054794520547946E-2</v>
      </c>
      <c r="M66">
        <v>20</v>
      </c>
      <c r="P66" s="20" t="str">
        <f>INDEX(tb_distancias[CO],MATCH(Table6[[#This Row],[Sublanço]],tb_distancias[Sublanço],0))</f>
        <v>Carcavelos</v>
      </c>
      <c r="Q66" t="s">
        <v>26</v>
      </c>
      <c r="R66" t="s">
        <v>181</v>
      </c>
      <c r="S66">
        <v>138</v>
      </c>
      <c r="T66">
        <f>INDEX(Table7[Tempo],MATCH(Table6[[#This Row],[Tipo]],Table7[Tempo médio Ponderado Incidências],0))*Table6[[#This Row],[n_incidencias]]</f>
        <v>207</v>
      </c>
      <c r="W66" s="20" t="s">
        <v>59</v>
      </c>
      <c r="X66" s="20" t="s">
        <v>76</v>
      </c>
      <c r="Y66">
        <v>25.950000000000003</v>
      </c>
    </row>
    <row r="67" spans="2:25" x14ac:dyDescent="0.25">
      <c r="B67" s="33">
        <v>1</v>
      </c>
      <c r="C67" t="s">
        <v>57</v>
      </c>
      <c r="D67" t="s">
        <v>66</v>
      </c>
      <c r="E67">
        <v>22</v>
      </c>
      <c r="F67" s="2">
        <v>2.7397260273972601E-2</v>
      </c>
      <c r="H67" s="33">
        <v>1</v>
      </c>
      <c r="I67" t="s">
        <v>57</v>
      </c>
      <c r="J67" t="s">
        <v>66</v>
      </c>
      <c r="K67">
        <v>22</v>
      </c>
      <c r="L67" s="63">
        <v>5.7534246575342465E-2</v>
      </c>
      <c r="M67">
        <v>21</v>
      </c>
      <c r="P67" s="20" t="str">
        <f>INDEX(tb_distancias[CO],MATCH(Table6[[#This Row],[Sublanço]],tb_distancias[Sublanço],0))</f>
        <v>Carcavelos</v>
      </c>
      <c r="Q67" t="s">
        <v>21</v>
      </c>
      <c r="R67" t="s">
        <v>181</v>
      </c>
      <c r="S67">
        <v>43</v>
      </c>
      <c r="T67">
        <f>INDEX(Table7[Tempo],MATCH(Table6[[#This Row],[Tipo]],Table7[Tempo médio Ponderado Incidências],0))*Table6[[#This Row],[n_incidencias]]</f>
        <v>64.5</v>
      </c>
    </row>
    <row r="68" spans="2:25" x14ac:dyDescent="0.25">
      <c r="B68" s="33">
        <v>1</v>
      </c>
      <c r="C68" t="s">
        <v>0</v>
      </c>
      <c r="D68" t="s">
        <v>79</v>
      </c>
      <c r="E68">
        <v>23</v>
      </c>
      <c r="F68" s="2">
        <v>2.7397260273972599E-3</v>
      </c>
      <c r="H68" s="33">
        <v>1</v>
      </c>
      <c r="I68" t="s">
        <v>0</v>
      </c>
      <c r="J68" t="s">
        <v>79</v>
      </c>
      <c r="K68">
        <v>23</v>
      </c>
      <c r="L68" s="63">
        <v>1.0958904109589041E-2</v>
      </c>
      <c r="M68">
        <v>4</v>
      </c>
      <c r="P68" s="20" t="str">
        <f>INDEX(tb_distancias[CO],MATCH(Table6[[#This Row],[Sublanço]],tb_distancias[Sublanço],0))</f>
        <v>A9</v>
      </c>
      <c r="Q68" t="s">
        <v>314</v>
      </c>
      <c r="R68" t="s">
        <v>180</v>
      </c>
      <c r="S68">
        <v>226</v>
      </c>
      <c r="T68">
        <f>INDEX(Table7[Tempo],MATCH(Table6[[#This Row],[Tipo]],Table7[Tempo médio Ponderado Incidências],0))*Table6[[#This Row],[n_incidencias]]</f>
        <v>74.58</v>
      </c>
    </row>
    <row r="69" spans="2:25" x14ac:dyDescent="0.25">
      <c r="B69" s="33">
        <v>1</v>
      </c>
      <c r="C69" t="s">
        <v>0</v>
      </c>
      <c r="D69" t="s">
        <v>61</v>
      </c>
      <c r="E69">
        <v>23</v>
      </c>
      <c r="F69" s="2">
        <v>4.1095890410958902E-2</v>
      </c>
      <c r="H69" s="33">
        <v>1</v>
      </c>
      <c r="I69" t="s">
        <v>0</v>
      </c>
      <c r="J69" t="s">
        <v>61</v>
      </c>
      <c r="K69">
        <v>23</v>
      </c>
      <c r="L69" s="63">
        <v>6.8493150684931503E-2</v>
      </c>
      <c r="M69">
        <v>33</v>
      </c>
      <c r="P69" s="20" t="str">
        <f>INDEX(tb_distancias[CO],MATCH(Table6[[#This Row],[Sublanço]],tb_distancias[Sublanço],0))</f>
        <v>Carcavelos</v>
      </c>
      <c r="Q69" t="s">
        <v>21</v>
      </c>
      <c r="R69" t="s">
        <v>180</v>
      </c>
      <c r="S69">
        <v>265</v>
      </c>
      <c r="T69">
        <f>INDEX(Table7[Tempo],MATCH(Table6[[#This Row],[Tipo]],Table7[Tempo médio Ponderado Incidências],0))*Table6[[#This Row],[n_incidencias]]</f>
        <v>87.45</v>
      </c>
    </row>
    <row r="70" spans="2:25" x14ac:dyDescent="0.25">
      <c r="B70" s="33">
        <v>1</v>
      </c>
      <c r="C70" t="s">
        <v>2</v>
      </c>
      <c r="D70" t="s">
        <v>38</v>
      </c>
      <c r="E70">
        <v>23</v>
      </c>
      <c r="F70" s="2">
        <v>0</v>
      </c>
      <c r="H70" s="33">
        <v>1</v>
      </c>
      <c r="I70" t="s">
        <v>2</v>
      </c>
      <c r="J70" t="s">
        <v>38</v>
      </c>
      <c r="K70">
        <v>23</v>
      </c>
      <c r="L70" s="63">
        <v>2.7397260273972603E-3</v>
      </c>
      <c r="M70">
        <v>1</v>
      </c>
      <c r="P70" s="20" t="str">
        <f>INDEX(tb_distancias[CO],MATCH(Table6[[#This Row],[Sublanço]],tb_distancias[Sublanço],0))</f>
        <v>A14</v>
      </c>
      <c r="Q70" t="s">
        <v>318</v>
      </c>
      <c r="R70" t="s">
        <v>180</v>
      </c>
      <c r="S70">
        <v>87</v>
      </c>
      <c r="T70">
        <f>INDEX(Table7[Tempo],MATCH(Table6[[#This Row],[Tipo]],Table7[Tempo médio Ponderado Incidências],0))*Table6[[#This Row],[n_incidencias]]</f>
        <v>28.71</v>
      </c>
    </row>
    <row r="71" spans="2:25" x14ac:dyDescent="0.25">
      <c r="B71" s="33">
        <v>1</v>
      </c>
      <c r="C71" t="s">
        <v>57</v>
      </c>
      <c r="D71" t="s">
        <v>67</v>
      </c>
      <c r="E71">
        <v>0</v>
      </c>
      <c r="F71" s="2">
        <v>3.0136986301369899E-2</v>
      </c>
      <c r="H71" s="33">
        <v>1</v>
      </c>
      <c r="I71" t="s">
        <v>57</v>
      </c>
      <c r="J71" t="s">
        <v>67</v>
      </c>
      <c r="K71">
        <v>0</v>
      </c>
      <c r="L71" s="63">
        <v>7.1232876712328766E-2</v>
      </c>
      <c r="M71">
        <v>31</v>
      </c>
      <c r="P71" s="20" t="str">
        <f>INDEX(tb_distancias[CO],MATCH(Table6[[#This Row],[Sublanço]],tb_distancias[Sublanço],0))</f>
        <v>Carcavelos</v>
      </c>
      <c r="Q71" t="s">
        <v>317</v>
      </c>
      <c r="R71" t="s">
        <v>180</v>
      </c>
      <c r="S71">
        <v>642</v>
      </c>
      <c r="T71">
        <f>INDEX(Table7[Tempo],MATCH(Table6[[#This Row],[Tipo]],Table7[Tempo médio Ponderado Incidências],0))*Table6[[#This Row],[n_incidencias]]</f>
        <v>211.86</v>
      </c>
    </row>
    <row r="72" spans="2:25" x14ac:dyDescent="0.25">
      <c r="B72" s="33">
        <v>1</v>
      </c>
      <c r="C72" t="s">
        <v>231</v>
      </c>
      <c r="D72" t="s">
        <v>183</v>
      </c>
      <c r="E72">
        <v>0</v>
      </c>
      <c r="F72" s="2">
        <v>2.19178082191781E-2</v>
      </c>
      <c r="H72" s="33">
        <v>1</v>
      </c>
      <c r="I72" t="s">
        <v>231</v>
      </c>
      <c r="J72" t="s">
        <v>183</v>
      </c>
      <c r="K72">
        <v>0</v>
      </c>
      <c r="L72" s="63">
        <v>4.1095890410958902E-2</v>
      </c>
      <c r="M72">
        <v>18</v>
      </c>
      <c r="P72" s="20" t="str">
        <f>INDEX(tb_distancias[CO],MATCH(Table6[[#This Row],[Sublanço]],tb_distancias[Sublanço],0))</f>
        <v>Feira</v>
      </c>
      <c r="Q72" t="s">
        <v>69</v>
      </c>
      <c r="R72" t="s">
        <v>182</v>
      </c>
      <c r="S72">
        <v>54</v>
      </c>
      <c r="T72">
        <f>INDEX(Table7[Tempo],MATCH(Table6[[#This Row],[Tipo]],Table7[Tempo médio Ponderado Incidências],0))*Table6[[#This Row],[n_incidencias]]</f>
        <v>17.82</v>
      </c>
    </row>
    <row r="73" spans="2:25" x14ac:dyDescent="0.25">
      <c r="B73" s="33">
        <v>1</v>
      </c>
      <c r="C73" t="s">
        <v>59</v>
      </c>
      <c r="D73" t="s">
        <v>68</v>
      </c>
      <c r="E73">
        <v>3</v>
      </c>
      <c r="F73" s="2">
        <v>5.4794520547945197E-3</v>
      </c>
      <c r="H73" s="33">
        <v>1</v>
      </c>
      <c r="I73" t="s">
        <v>59</v>
      </c>
      <c r="J73" t="s">
        <v>68</v>
      </c>
      <c r="K73">
        <v>3</v>
      </c>
      <c r="L73" s="63">
        <v>3.5616438356164383E-2</v>
      </c>
      <c r="M73">
        <v>13</v>
      </c>
      <c r="P73" s="20" t="str">
        <f>INDEX(tb_distancias[CO],MATCH(Table6[[#This Row],[Sublanço]],tb_distancias[Sublanço],0))</f>
        <v>Carregado</v>
      </c>
      <c r="Q73" t="s">
        <v>70</v>
      </c>
      <c r="R73" t="s">
        <v>182</v>
      </c>
      <c r="S73">
        <v>80</v>
      </c>
      <c r="T73">
        <f>INDEX(Table7[Tempo],MATCH(Table6[[#This Row],[Tipo]],Table7[Tempo médio Ponderado Incidências],0))*Table6[[#This Row],[n_incidencias]]</f>
        <v>26.400000000000002</v>
      </c>
    </row>
    <row r="74" spans="2:25" x14ac:dyDescent="0.25">
      <c r="B74" s="33">
        <v>1</v>
      </c>
      <c r="C74" t="s">
        <v>292</v>
      </c>
      <c r="D74" t="s">
        <v>296</v>
      </c>
      <c r="E74">
        <v>4</v>
      </c>
      <c r="F74" s="2">
        <v>1.0958904109589E-2</v>
      </c>
      <c r="H74" s="33">
        <v>1</v>
      </c>
      <c r="I74" t="s">
        <v>292</v>
      </c>
      <c r="J74" t="s">
        <v>296</v>
      </c>
      <c r="K74">
        <v>4</v>
      </c>
      <c r="L74" s="63">
        <v>8.21917808219178E-3</v>
      </c>
      <c r="M74">
        <v>4</v>
      </c>
      <c r="P74" s="20" t="str">
        <f>INDEX(tb_distancias[CO],MATCH(Table6[[#This Row],[Sublanço]],tb_distancias[Sublanço],0))</f>
        <v>Mealhada</v>
      </c>
      <c r="Q74" t="s">
        <v>60</v>
      </c>
      <c r="R74" t="s">
        <v>182</v>
      </c>
      <c r="S74">
        <v>158</v>
      </c>
      <c r="T74">
        <f>INDEX(Table7[Tempo],MATCH(Table6[[#This Row],[Tipo]],Table7[Tempo médio Ponderado Incidências],0))*Table6[[#This Row],[n_incidencias]]</f>
        <v>52.14</v>
      </c>
    </row>
    <row r="75" spans="2:25" x14ac:dyDescent="0.25">
      <c r="B75" s="33">
        <v>1</v>
      </c>
      <c r="C75" t="s">
        <v>59</v>
      </c>
      <c r="D75" t="s">
        <v>60</v>
      </c>
      <c r="E75">
        <v>5</v>
      </c>
      <c r="F75" s="2">
        <v>2.19178082191781E-2</v>
      </c>
      <c r="H75" s="33">
        <v>1</v>
      </c>
      <c r="I75" t="s">
        <v>59</v>
      </c>
      <c r="J75" t="s">
        <v>60</v>
      </c>
      <c r="K75">
        <v>5</v>
      </c>
      <c r="L75" s="63">
        <v>4.3835616438356165E-2</v>
      </c>
      <c r="M75">
        <v>19</v>
      </c>
      <c r="P75" s="20" t="str">
        <f>INDEX(tb_distancias[CO],MATCH(Table6[[#This Row],[Sublanço]],tb_distancias[Sublanço],0))</f>
        <v>A9</v>
      </c>
      <c r="Q75" t="s">
        <v>311</v>
      </c>
      <c r="R75" t="s">
        <v>182</v>
      </c>
      <c r="S75">
        <v>54</v>
      </c>
      <c r="T75">
        <f>INDEX(Table7[Tempo],MATCH(Table6[[#This Row],[Tipo]],Table7[Tempo médio Ponderado Incidências],0))*Table6[[#This Row],[n_incidencias]]</f>
        <v>17.82</v>
      </c>
    </row>
    <row r="76" spans="2:25" x14ac:dyDescent="0.25">
      <c r="B76" s="33">
        <v>1</v>
      </c>
      <c r="C76" t="s">
        <v>231</v>
      </c>
      <c r="D76" t="s">
        <v>183</v>
      </c>
      <c r="E76">
        <v>7</v>
      </c>
      <c r="F76" s="2">
        <v>7.1232876712328794E-2</v>
      </c>
      <c r="H76" s="33">
        <v>1</v>
      </c>
      <c r="I76" t="s">
        <v>231</v>
      </c>
      <c r="J76" t="s">
        <v>183</v>
      </c>
      <c r="K76">
        <v>7</v>
      </c>
      <c r="L76" s="63">
        <v>0.10136986301369863</v>
      </c>
      <c r="M76">
        <v>40</v>
      </c>
      <c r="P76" s="20" t="str">
        <f>INDEX(tb_distancias[CO],MATCH(Table6[[#This Row],[Sublanço]],tb_distancias[Sublanço],0))</f>
        <v>Carregado</v>
      </c>
      <c r="Q76" t="s">
        <v>71</v>
      </c>
      <c r="R76" t="s">
        <v>181</v>
      </c>
      <c r="S76">
        <v>65</v>
      </c>
      <c r="T76">
        <f>INDEX(Table7[Tempo],MATCH(Table6[[#This Row],[Tipo]],Table7[Tempo médio Ponderado Incidências],0))*Table6[[#This Row],[n_incidencias]]</f>
        <v>97.5</v>
      </c>
    </row>
    <row r="77" spans="2:25" x14ac:dyDescent="0.25">
      <c r="B77" s="33">
        <v>1</v>
      </c>
      <c r="C77" t="s">
        <v>59</v>
      </c>
      <c r="D77" t="s">
        <v>63</v>
      </c>
      <c r="E77">
        <v>7</v>
      </c>
      <c r="F77" s="2">
        <v>3.8356164383561597E-2</v>
      </c>
      <c r="H77" s="33">
        <v>1</v>
      </c>
      <c r="I77" t="s">
        <v>59</v>
      </c>
      <c r="J77" t="s">
        <v>63</v>
      </c>
      <c r="K77">
        <v>7</v>
      </c>
      <c r="L77" s="63">
        <v>7.3972602739726029E-2</v>
      </c>
      <c r="M77">
        <v>31</v>
      </c>
      <c r="P77" s="20" t="str">
        <f>INDEX(tb_distancias[CO],MATCH(Table6[[#This Row],[Sublanço]],tb_distancias[Sublanço],0))</f>
        <v>Carregado</v>
      </c>
      <c r="Q77" t="s">
        <v>61</v>
      </c>
      <c r="R77" t="s">
        <v>181</v>
      </c>
      <c r="S77">
        <v>70</v>
      </c>
      <c r="T77">
        <f>INDEX(Table7[Tempo],MATCH(Table6[[#This Row],[Tipo]],Table7[Tempo médio Ponderado Incidências],0))*Table6[[#This Row],[n_incidencias]]</f>
        <v>105</v>
      </c>
    </row>
    <row r="78" spans="2:25" x14ac:dyDescent="0.25">
      <c r="B78" s="33">
        <v>1</v>
      </c>
      <c r="C78" t="s">
        <v>0</v>
      </c>
      <c r="D78" t="s">
        <v>65</v>
      </c>
      <c r="E78">
        <v>7</v>
      </c>
      <c r="F78" s="2">
        <v>9.5890410958904104E-2</v>
      </c>
      <c r="H78" s="33">
        <v>1</v>
      </c>
      <c r="I78" t="s">
        <v>0</v>
      </c>
      <c r="J78" t="s">
        <v>65</v>
      </c>
      <c r="K78">
        <v>7</v>
      </c>
      <c r="L78" s="63">
        <v>9.3150684931506855E-2</v>
      </c>
      <c r="M78">
        <v>41</v>
      </c>
      <c r="P78" s="20" t="str">
        <f>INDEX(tb_distancias[CO],MATCH(Table6[[#This Row],[Sublanço]],tb_distancias[Sublanço],0))</f>
        <v>Carregado</v>
      </c>
      <c r="Q78" t="s">
        <v>70</v>
      </c>
      <c r="R78" t="s">
        <v>180</v>
      </c>
      <c r="S78">
        <v>539</v>
      </c>
      <c r="T78">
        <f>INDEX(Table7[Tempo],MATCH(Table6[[#This Row],[Tipo]],Table7[Tempo médio Ponderado Incidências],0))*Table6[[#This Row],[n_incidencias]]</f>
        <v>177.87</v>
      </c>
    </row>
    <row r="79" spans="2:25" x14ac:dyDescent="0.25">
      <c r="B79" s="33">
        <v>1</v>
      </c>
      <c r="C79" t="s">
        <v>59</v>
      </c>
      <c r="D79" t="s">
        <v>68</v>
      </c>
      <c r="E79">
        <v>7</v>
      </c>
      <c r="F79" s="2">
        <v>4.65753424657534E-2</v>
      </c>
      <c r="H79" s="33">
        <v>1</v>
      </c>
      <c r="I79" t="s">
        <v>59</v>
      </c>
      <c r="J79" t="s">
        <v>68</v>
      </c>
      <c r="K79">
        <v>7</v>
      </c>
      <c r="L79" s="63">
        <v>8.4931506849315067E-2</v>
      </c>
      <c r="M79">
        <v>35</v>
      </c>
      <c r="P79" s="20" t="str">
        <f>INDEX(tb_distancias[CO],MATCH(Table6[[#This Row],[Sublanço]],tb_distancias[Sublanço],0))</f>
        <v>Carregado</v>
      </c>
      <c r="Q79" t="s">
        <v>78</v>
      </c>
      <c r="R79" t="s">
        <v>180</v>
      </c>
      <c r="S79">
        <v>139</v>
      </c>
      <c r="T79">
        <f>INDEX(Table7[Tempo],MATCH(Table6[[#This Row],[Tipo]],Table7[Tempo médio Ponderado Incidências],0))*Table6[[#This Row],[n_incidencias]]</f>
        <v>45.870000000000005</v>
      </c>
    </row>
    <row r="80" spans="2:25" x14ac:dyDescent="0.25">
      <c r="B80" s="33">
        <v>1</v>
      </c>
      <c r="C80" t="s">
        <v>2</v>
      </c>
      <c r="D80" t="s">
        <v>316</v>
      </c>
      <c r="E80">
        <v>8</v>
      </c>
      <c r="F80" s="2">
        <v>0.123287671232877</v>
      </c>
      <c r="H80" s="33">
        <v>1</v>
      </c>
      <c r="I80" t="s">
        <v>2</v>
      </c>
      <c r="J80" t="s">
        <v>316</v>
      </c>
      <c r="K80">
        <v>8</v>
      </c>
      <c r="L80" s="63">
        <v>0.10410958904109589</v>
      </c>
      <c r="M80">
        <v>45</v>
      </c>
      <c r="P80" s="20" t="str">
        <f>INDEX(tb_distancias[CO],MATCH(Table6[[#This Row],[Sublanço]],tb_distancias[Sublanço],0))</f>
        <v>Leiria</v>
      </c>
      <c r="Q80" t="s">
        <v>188</v>
      </c>
      <c r="R80" t="s">
        <v>181</v>
      </c>
      <c r="S80">
        <v>41</v>
      </c>
      <c r="T80">
        <f>INDEX(Table7[Tempo],MATCH(Table6[[#This Row],[Tipo]],Table7[Tempo médio Ponderado Incidências],0))*Table6[[#This Row],[n_incidencias]]</f>
        <v>61.5</v>
      </c>
    </row>
    <row r="81" spans="2:20" x14ac:dyDescent="0.25">
      <c r="B81" s="33">
        <v>1</v>
      </c>
      <c r="C81" t="s">
        <v>0</v>
      </c>
      <c r="D81" t="s">
        <v>65</v>
      </c>
      <c r="E81">
        <v>8</v>
      </c>
      <c r="F81" s="2">
        <v>9.0410958904109606E-2</v>
      </c>
      <c r="H81" s="33">
        <v>1</v>
      </c>
      <c r="I81" t="s">
        <v>0</v>
      </c>
      <c r="J81" t="s">
        <v>65</v>
      </c>
      <c r="K81">
        <v>8</v>
      </c>
      <c r="L81" s="63">
        <v>0.16986301369863013</v>
      </c>
      <c r="M81">
        <v>74</v>
      </c>
      <c r="P81" s="20" t="str">
        <f>INDEX(tb_distancias[CO],MATCH(Table6[[#This Row],[Sublanço]],tb_distancias[Sublanço],0))</f>
        <v>Leiria</v>
      </c>
      <c r="Q81" t="s">
        <v>185</v>
      </c>
      <c r="R81" t="s">
        <v>181</v>
      </c>
      <c r="S81">
        <v>105</v>
      </c>
      <c r="T81">
        <f>INDEX(Table7[Tempo],MATCH(Table6[[#This Row],[Tipo]],Table7[Tempo médio Ponderado Incidências],0))*Table6[[#This Row],[n_incidencias]]</f>
        <v>157.5</v>
      </c>
    </row>
    <row r="82" spans="2:20" x14ac:dyDescent="0.25">
      <c r="B82" s="33">
        <v>1</v>
      </c>
      <c r="C82" t="s">
        <v>231</v>
      </c>
      <c r="D82" t="s">
        <v>184</v>
      </c>
      <c r="E82">
        <v>8</v>
      </c>
      <c r="F82" s="2">
        <v>8.4931506849315094E-2</v>
      </c>
      <c r="H82" s="33">
        <v>1</v>
      </c>
      <c r="I82" t="s">
        <v>231</v>
      </c>
      <c r="J82" t="s">
        <v>184</v>
      </c>
      <c r="K82">
        <v>8</v>
      </c>
      <c r="L82" s="63">
        <v>0.18904109589041096</v>
      </c>
      <c r="M82">
        <v>80</v>
      </c>
      <c r="P82" s="20" t="str">
        <f>INDEX(tb_distancias[CO],MATCH(Table6[[#This Row],[Sublanço]],tb_distancias[Sublanço],0))</f>
        <v>Feira</v>
      </c>
      <c r="Q82" t="s">
        <v>67</v>
      </c>
      <c r="R82" t="s">
        <v>181</v>
      </c>
      <c r="S82">
        <v>63</v>
      </c>
      <c r="T82">
        <f>INDEX(Table7[Tempo],MATCH(Table6[[#This Row],[Tipo]],Table7[Tempo médio Ponderado Incidências],0))*Table6[[#This Row],[n_incidencias]]</f>
        <v>94.5</v>
      </c>
    </row>
    <row r="83" spans="2:20" x14ac:dyDescent="0.25">
      <c r="B83" s="33">
        <v>1</v>
      </c>
      <c r="C83" t="s">
        <v>2</v>
      </c>
      <c r="D83" t="s">
        <v>26</v>
      </c>
      <c r="E83">
        <v>8</v>
      </c>
      <c r="F83" s="2">
        <v>6.5753424657534199E-2</v>
      </c>
      <c r="H83" s="33">
        <v>1</v>
      </c>
      <c r="I83" t="s">
        <v>2</v>
      </c>
      <c r="J83" t="s">
        <v>26</v>
      </c>
      <c r="K83">
        <v>8</v>
      </c>
      <c r="L83" s="63">
        <v>0.11780821917808219</v>
      </c>
      <c r="M83">
        <v>45</v>
      </c>
      <c r="P83" s="20" t="str">
        <f>INDEX(tb_distancias[CO],MATCH(Table6[[#This Row],[Sublanço]],tb_distancias[Sublanço],0))</f>
        <v>Carregado</v>
      </c>
      <c r="Q83" t="s">
        <v>56</v>
      </c>
      <c r="R83" t="s">
        <v>182</v>
      </c>
      <c r="S83">
        <v>229</v>
      </c>
      <c r="T83">
        <f>INDEX(Table7[Tempo],MATCH(Table6[[#This Row],[Tipo]],Table7[Tempo médio Ponderado Incidências],0))*Table6[[#This Row],[n_incidencias]]</f>
        <v>75.570000000000007</v>
      </c>
    </row>
    <row r="84" spans="2:20" x14ac:dyDescent="0.25">
      <c r="B84" s="33">
        <v>1</v>
      </c>
      <c r="C84" t="s">
        <v>231</v>
      </c>
      <c r="D84" t="s">
        <v>183</v>
      </c>
      <c r="E84">
        <v>8</v>
      </c>
      <c r="F84" s="2">
        <v>0.12876712328767101</v>
      </c>
      <c r="H84" s="33">
        <v>1</v>
      </c>
      <c r="I84" t="s">
        <v>231</v>
      </c>
      <c r="J84" t="s">
        <v>183</v>
      </c>
      <c r="K84">
        <v>8</v>
      </c>
      <c r="L84" s="63">
        <v>0.15616438356164383</v>
      </c>
      <c r="M84">
        <v>68</v>
      </c>
      <c r="P84" s="20" t="str">
        <f>INDEX(tb_distancias[CO],MATCH(Table6[[#This Row],[Sublanço]],tb_distancias[Sublanço],0))</f>
        <v>Carregado</v>
      </c>
      <c r="Q84" t="s">
        <v>78</v>
      </c>
      <c r="R84" t="s">
        <v>182</v>
      </c>
      <c r="S84">
        <v>13</v>
      </c>
      <c r="T84">
        <f>INDEX(Table7[Tempo],MATCH(Table6[[#This Row],[Tipo]],Table7[Tempo médio Ponderado Incidências],0))*Table6[[#This Row],[n_incidencias]]</f>
        <v>4.29</v>
      </c>
    </row>
    <row r="85" spans="2:20" x14ac:dyDescent="0.25">
      <c r="B85" s="33">
        <v>1</v>
      </c>
      <c r="C85" t="s">
        <v>2</v>
      </c>
      <c r="D85" t="s">
        <v>26</v>
      </c>
      <c r="E85">
        <v>9</v>
      </c>
      <c r="F85" s="2">
        <v>9.5890410958904104E-2</v>
      </c>
      <c r="H85" s="33">
        <v>1</v>
      </c>
      <c r="I85" t="s">
        <v>2</v>
      </c>
      <c r="J85" t="s">
        <v>26</v>
      </c>
      <c r="K85">
        <v>9</v>
      </c>
      <c r="L85" s="63">
        <v>0.12602739726027398</v>
      </c>
      <c r="M85">
        <v>52</v>
      </c>
      <c r="P85" s="20" t="str">
        <f>INDEX(tb_distancias[CO],MATCH(Table6[[#This Row],[Sublanço]],tb_distancias[Sublanço],0))</f>
        <v>Carcavelos</v>
      </c>
      <c r="Q85" t="s">
        <v>32</v>
      </c>
      <c r="R85" t="s">
        <v>180</v>
      </c>
      <c r="S85">
        <v>101</v>
      </c>
      <c r="T85">
        <f>INDEX(Table7[Tempo],MATCH(Table6[[#This Row],[Tipo]],Table7[Tempo médio Ponderado Incidências],0))*Table6[[#This Row],[n_incidencias]]</f>
        <v>33.33</v>
      </c>
    </row>
    <row r="86" spans="2:20" x14ac:dyDescent="0.25">
      <c r="B86" s="33">
        <v>1</v>
      </c>
      <c r="C86" t="s">
        <v>231</v>
      </c>
      <c r="D86" t="s">
        <v>187</v>
      </c>
      <c r="E86">
        <v>9</v>
      </c>
      <c r="F86" s="2">
        <v>0.106849315068493</v>
      </c>
      <c r="H86" s="33">
        <v>1</v>
      </c>
      <c r="I86" t="s">
        <v>231</v>
      </c>
      <c r="J86" t="s">
        <v>187</v>
      </c>
      <c r="K86">
        <v>9</v>
      </c>
      <c r="L86" s="63">
        <v>0.12054794520547946</v>
      </c>
      <c r="M86">
        <v>50</v>
      </c>
      <c r="P86" s="20" t="str">
        <f>INDEX(tb_distancias[CO],MATCH(Table6[[#This Row],[Sublanço]],tb_distancias[Sublanço],0))</f>
        <v>Leiria</v>
      </c>
      <c r="Q86" t="s">
        <v>186</v>
      </c>
      <c r="R86" t="s">
        <v>181</v>
      </c>
      <c r="S86">
        <v>44</v>
      </c>
      <c r="T86">
        <f>INDEX(Table7[Tempo],MATCH(Table6[[#This Row],[Tipo]],Table7[Tempo médio Ponderado Incidências],0))*Table6[[#This Row],[n_incidencias]]</f>
        <v>66</v>
      </c>
    </row>
    <row r="87" spans="2:20" x14ac:dyDescent="0.25">
      <c r="B87" s="33">
        <v>1</v>
      </c>
      <c r="C87" t="s">
        <v>0</v>
      </c>
      <c r="D87" t="s">
        <v>56</v>
      </c>
      <c r="E87">
        <v>9</v>
      </c>
      <c r="F87" s="2">
        <v>0.101369863013699</v>
      </c>
      <c r="H87" s="33">
        <v>1</v>
      </c>
      <c r="I87" t="s">
        <v>0</v>
      </c>
      <c r="J87" t="s">
        <v>56</v>
      </c>
      <c r="K87">
        <v>9</v>
      </c>
      <c r="L87" s="63">
        <v>0.13972602739726028</v>
      </c>
      <c r="M87">
        <v>61</v>
      </c>
      <c r="P87" s="20" t="str">
        <f>INDEX(tb_distancias[CO],MATCH(Table6[[#This Row],[Sublanço]],tb_distancias[Sublanço],0))</f>
        <v>Feira</v>
      </c>
      <c r="Q87" t="s">
        <v>58</v>
      </c>
      <c r="R87" t="s">
        <v>182</v>
      </c>
      <c r="S87">
        <v>190</v>
      </c>
      <c r="T87">
        <f>INDEX(Table7[Tempo],MATCH(Table6[[#This Row],[Tipo]],Table7[Tempo médio Ponderado Incidências],0))*Table6[[#This Row],[n_incidencias]]</f>
        <v>62.7</v>
      </c>
    </row>
    <row r="88" spans="2:20" x14ac:dyDescent="0.25">
      <c r="B88" s="33">
        <v>1</v>
      </c>
      <c r="C88" t="s">
        <v>0</v>
      </c>
      <c r="D88" t="s">
        <v>73</v>
      </c>
      <c r="E88">
        <v>9</v>
      </c>
      <c r="F88" s="2">
        <v>4.1095890410958902E-2</v>
      </c>
      <c r="H88" s="33">
        <v>1</v>
      </c>
      <c r="I88" t="s">
        <v>0</v>
      </c>
      <c r="J88" t="s">
        <v>73</v>
      </c>
      <c r="K88">
        <v>9</v>
      </c>
      <c r="L88" s="63">
        <v>7.3972602739726029E-2</v>
      </c>
      <c r="M88">
        <v>31</v>
      </c>
      <c r="P88" s="20" t="str">
        <f>INDEX(tb_distancias[CO],MATCH(Table6[[#This Row],[Sublanço]],tb_distancias[Sublanço],0))</f>
        <v>Carcavelos</v>
      </c>
      <c r="Q88" t="s">
        <v>19</v>
      </c>
      <c r="R88" t="s">
        <v>180</v>
      </c>
      <c r="S88">
        <v>642</v>
      </c>
      <c r="T88">
        <f>INDEX(Table7[Tempo],MATCH(Table6[[#This Row],[Tipo]],Table7[Tempo médio Ponderado Incidências],0))*Table6[[#This Row],[n_incidencias]]</f>
        <v>211.86</v>
      </c>
    </row>
    <row r="89" spans="2:20" x14ac:dyDescent="0.25">
      <c r="B89" s="33">
        <v>1</v>
      </c>
      <c r="C89" t="s">
        <v>307</v>
      </c>
      <c r="D89" t="s">
        <v>313</v>
      </c>
      <c r="E89">
        <v>9</v>
      </c>
      <c r="F89" s="2">
        <v>0.115068493150685</v>
      </c>
      <c r="H89" s="33">
        <v>1</v>
      </c>
      <c r="I89" t="s">
        <v>307</v>
      </c>
      <c r="J89" t="s">
        <v>313</v>
      </c>
      <c r="K89">
        <v>9</v>
      </c>
      <c r="L89" s="63">
        <v>0.10684931506849316</v>
      </c>
      <c r="M89">
        <v>42</v>
      </c>
      <c r="P89" s="20" t="str">
        <f>INDEX(tb_distancias[CO],MATCH(Table6[[#This Row],[Sublanço]],tb_distancias[Sublanço],0))</f>
        <v>A10</v>
      </c>
      <c r="Q89" t="s">
        <v>321</v>
      </c>
      <c r="R89" t="s">
        <v>182</v>
      </c>
      <c r="S89">
        <v>32</v>
      </c>
      <c r="T89">
        <f>INDEX(Table7[Tempo],MATCH(Table6[[#This Row],[Tipo]],Table7[Tempo médio Ponderado Incidências],0))*Table6[[#This Row],[n_incidencias]]</f>
        <v>10.56</v>
      </c>
    </row>
    <row r="90" spans="2:20" x14ac:dyDescent="0.25">
      <c r="B90" s="33">
        <v>1</v>
      </c>
      <c r="C90" t="s">
        <v>59</v>
      </c>
      <c r="D90" t="s">
        <v>60</v>
      </c>
      <c r="E90">
        <v>9</v>
      </c>
      <c r="F90" s="2">
        <v>0.106849315068493</v>
      </c>
      <c r="H90" s="33">
        <v>1</v>
      </c>
      <c r="I90" t="s">
        <v>59</v>
      </c>
      <c r="J90" t="s">
        <v>60</v>
      </c>
      <c r="K90">
        <v>9</v>
      </c>
      <c r="L90" s="63">
        <v>0.17534246575342466</v>
      </c>
      <c r="M90">
        <v>73</v>
      </c>
      <c r="P90" s="20" t="str">
        <f>INDEX(tb_distancias[CO],MATCH(Table6[[#This Row],[Sublanço]],tb_distancias[Sublanço],0))</f>
        <v>Feira</v>
      </c>
      <c r="Q90" t="s">
        <v>75</v>
      </c>
      <c r="R90" t="s">
        <v>181</v>
      </c>
      <c r="S90">
        <v>124</v>
      </c>
      <c r="T90">
        <f>INDEX(Table7[Tempo],MATCH(Table6[[#This Row],[Tipo]],Table7[Tempo médio Ponderado Incidências],0))*Table6[[#This Row],[n_incidencias]]</f>
        <v>186</v>
      </c>
    </row>
    <row r="91" spans="2:20" x14ac:dyDescent="0.25">
      <c r="B91" s="33">
        <v>1</v>
      </c>
      <c r="C91" t="s">
        <v>231</v>
      </c>
      <c r="D91" t="s">
        <v>188</v>
      </c>
      <c r="E91">
        <v>9</v>
      </c>
      <c r="F91" s="2">
        <v>4.65753424657534E-2</v>
      </c>
      <c r="H91" s="33">
        <v>1</v>
      </c>
      <c r="I91" t="s">
        <v>231</v>
      </c>
      <c r="J91" t="s">
        <v>188</v>
      </c>
      <c r="K91">
        <v>9</v>
      </c>
      <c r="L91" s="63">
        <v>0.10136986301369863</v>
      </c>
      <c r="M91">
        <v>40</v>
      </c>
      <c r="P91" s="20" t="str">
        <f>INDEX(tb_distancias[CO],MATCH(Table6[[#This Row],[Sublanço]],tb_distancias[Sublanço],0))</f>
        <v>A14</v>
      </c>
      <c r="Q91" t="s">
        <v>286</v>
      </c>
      <c r="R91" t="s">
        <v>180</v>
      </c>
      <c r="S91">
        <v>123</v>
      </c>
      <c r="T91">
        <f>INDEX(Table7[Tempo],MATCH(Table6[[#This Row],[Tipo]],Table7[Tempo médio Ponderado Incidências],0))*Table6[[#This Row],[n_incidencias]]</f>
        <v>40.590000000000003</v>
      </c>
    </row>
    <row r="92" spans="2:20" x14ac:dyDescent="0.25">
      <c r="B92" s="33">
        <v>1</v>
      </c>
      <c r="C92" t="s">
        <v>57</v>
      </c>
      <c r="D92" t="s">
        <v>74</v>
      </c>
      <c r="E92">
        <v>9</v>
      </c>
      <c r="F92" s="2">
        <v>3.8356164383561597E-2</v>
      </c>
      <c r="H92" s="33">
        <v>1</v>
      </c>
      <c r="I92" t="s">
        <v>57</v>
      </c>
      <c r="J92" t="s">
        <v>74</v>
      </c>
      <c r="K92">
        <v>9</v>
      </c>
      <c r="L92" s="63">
        <v>8.2191780821917804E-2</v>
      </c>
      <c r="M92">
        <v>31</v>
      </c>
      <c r="P92" s="20" t="str">
        <f>INDEX(tb_distancias[CO],MATCH(Table6[[#This Row],[Sublanço]],tb_distancias[Sublanço],0))</f>
        <v>Carcavelos</v>
      </c>
      <c r="Q92" t="s">
        <v>28</v>
      </c>
      <c r="R92" t="s">
        <v>182</v>
      </c>
      <c r="S92">
        <v>73</v>
      </c>
      <c r="T92">
        <f>INDEX(Table7[Tempo],MATCH(Table6[[#This Row],[Tipo]],Table7[Tempo médio Ponderado Incidências],0))*Table6[[#This Row],[n_incidencias]]</f>
        <v>24.09</v>
      </c>
    </row>
    <row r="93" spans="2:20" x14ac:dyDescent="0.25">
      <c r="B93" s="33">
        <v>1</v>
      </c>
      <c r="C93" t="s">
        <v>307</v>
      </c>
      <c r="D93" t="s">
        <v>312</v>
      </c>
      <c r="E93">
        <v>10</v>
      </c>
      <c r="F93" s="2">
        <v>0.13150684931506801</v>
      </c>
      <c r="H93" s="33">
        <v>1</v>
      </c>
      <c r="I93" t="s">
        <v>307</v>
      </c>
      <c r="J93" t="s">
        <v>312</v>
      </c>
      <c r="K93">
        <v>10</v>
      </c>
      <c r="L93" s="63">
        <v>0.11506849315068493</v>
      </c>
      <c r="M93">
        <v>48</v>
      </c>
      <c r="P93" s="20" t="str">
        <f>INDEX(tb_distancias[CO],MATCH(Table6[[#This Row],[Sublanço]],tb_distancias[Sublanço],0))</f>
        <v>Leiria</v>
      </c>
      <c r="Q93" t="s">
        <v>189</v>
      </c>
      <c r="R93" t="s">
        <v>181</v>
      </c>
      <c r="S93">
        <v>71</v>
      </c>
      <c r="T93">
        <f>INDEX(Table7[Tempo],MATCH(Table6[[#This Row],[Tipo]],Table7[Tempo médio Ponderado Incidências],0))*Table6[[#This Row],[n_incidencias]]</f>
        <v>106.5</v>
      </c>
    </row>
    <row r="94" spans="2:20" x14ac:dyDescent="0.25">
      <c r="B94" s="33">
        <v>1</v>
      </c>
      <c r="C94" t="s">
        <v>2</v>
      </c>
      <c r="D94" t="s">
        <v>28</v>
      </c>
      <c r="E94">
        <v>10</v>
      </c>
      <c r="F94" s="2">
        <v>7.3972602739726001E-2</v>
      </c>
      <c r="H94" s="33">
        <v>1</v>
      </c>
      <c r="I94" t="s">
        <v>2</v>
      </c>
      <c r="J94" t="s">
        <v>28</v>
      </c>
      <c r="K94">
        <v>10</v>
      </c>
      <c r="L94" s="63">
        <v>0.13972602739726028</v>
      </c>
      <c r="M94">
        <v>62</v>
      </c>
      <c r="P94" s="20" t="str">
        <f>INDEX(tb_distancias[CO],MATCH(Table6[[#This Row],[Sublanço]],tb_distancias[Sublanço],0))</f>
        <v>Mealhada</v>
      </c>
      <c r="Q94" t="s">
        <v>60</v>
      </c>
      <c r="R94" t="s">
        <v>181</v>
      </c>
      <c r="S94">
        <v>93</v>
      </c>
      <c r="T94">
        <f>INDEX(Table7[Tempo],MATCH(Table6[[#This Row],[Tipo]],Table7[Tempo médio Ponderado Incidências],0))*Table6[[#This Row],[n_incidencias]]</f>
        <v>139.5</v>
      </c>
    </row>
    <row r="95" spans="2:20" x14ac:dyDescent="0.25">
      <c r="B95" s="33">
        <v>1</v>
      </c>
      <c r="C95" t="s">
        <v>59</v>
      </c>
      <c r="D95" t="s">
        <v>60</v>
      </c>
      <c r="E95">
        <v>10</v>
      </c>
      <c r="F95" s="2">
        <v>0.115068493150685</v>
      </c>
      <c r="H95" s="33">
        <v>1</v>
      </c>
      <c r="I95" t="s">
        <v>59</v>
      </c>
      <c r="J95" t="s">
        <v>60</v>
      </c>
      <c r="K95">
        <v>10</v>
      </c>
      <c r="L95" s="63">
        <v>0.26301369863013696</v>
      </c>
      <c r="M95">
        <v>123</v>
      </c>
      <c r="P95" s="20" t="str">
        <f>INDEX(tb_distancias[CO],MATCH(Table6[[#This Row],[Sublanço]],tb_distancias[Sublanço],0))</f>
        <v>Feira</v>
      </c>
      <c r="Q95" t="s">
        <v>77</v>
      </c>
      <c r="R95" t="s">
        <v>181</v>
      </c>
      <c r="S95">
        <v>28</v>
      </c>
      <c r="T95">
        <f>INDEX(Table7[Tempo],MATCH(Table6[[#This Row],[Tipo]],Table7[Tempo médio Ponderado Incidências],0))*Table6[[#This Row],[n_incidencias]]</f>
        <v>42</v>
      </c>
    </row>
    <row r="96" spans="2:20" x14ac:dyDescent="0.25">
      <c r="B96" s="33">
        <v>1</v>
      </c>
      <c r="C96" t="s">
        <v>231</v>
      </c>
      <c r="D96" t="s">
        <v>184</v>
      </c>
      <c r="E96">
        <v>10</v>
      </c>
      <c r="F96" s="2">
        <v>0.10958904109589</v>
      </c>
      <c r="H96" s="33">
        <v>1</v>
      </c>
      <c r="I96" t="s">
        <v>231</v>
      </c>
      <c r="J96" t="s">
        <v>184</v>
      </c>
      <c r="K96">
        <v>10</v>
      </c>
      <c r="L96" s="63">
        <v>0.25205479452054796</v>
      </c>
      <c r="M96">
        <v>107</v>
      </c>
      <c r="P96" s="20" t="str">
        <f>INDEX(tb_distancias[CO],MATCH(Table6[[#This Row],[Sublanço]],tb_distancias[Sublanço],0))</f>
        <v>Feira</v>
      </c>
      <c r="Q96" t="s">
        <v>74</v>
      </c>
      <c r="R96" t="s">
        <v>181</v>
      </c>
      <c r="S96">
        <v>79</v>
      </c>
      <c r="T96">
        <f>INDEX(Table7[Tempo],MATCH(Table6[[#This Row],[Tipo]],Table7[Tempo médio Ponderado Incidências],0))*Table6[[#This Row],[n_incidencias]]</f>
        <v>118.5</v>
      </c>
    </row>
    <row r="97" spans="2:20" x14ac:dyDescent="0.25">
      <c r="B97" s="33">
        <v>1</v>
      </c>
      <c r="C97" t="s">
        <v>57</v>
      </c>
      <c r="D97" t="s">
        <v>66</v>
      </c>
      <c r="E97">
        <v>10</v>
      </c>
      <c r="F97" s="2">
        <v>0.106849315068493</v>
      </c>
      <c r="H97" s="33">
        <v>1</v>
      </c>
      <c r="I97" t="s">
        <v>57</v>
      </c>
      <c r="J97" t="s">
        <v>66</v>
      </c>
      <c r="K97">
        <v>10</v>
      </c>
      <c r="L97" s="63">
        <v>0.25205479452054796</v>
      </c>
      <c r="M97">
        <v>108</v>
      </c>
      <c r="P97" s="20" t="str">
        <f>INDEX(tb_distancias[CO],MATCH(Table6[[#This Row],[Sublanço]],tb_distancias[Sublanço],0))</f>
        <v>A14</v>
      </c>
      <c r="Q97" t="s">
        <v>290</v>
      </c>
      <c r="R97" t="s">
        <v>180</v>
      </c>
      <c r="S97">
        <v>155</v>
      </c>
      <c r="T97">
        <f>INDEX(Table7[Tempo],MATCH(Table6[[#This Row],[Tipo]],Table7[Tempo médio Ponderado Incidências],0))*Table6[[#This Row],[n_incidencias]]</f>
        <v>51.150000000000006</v>
      </c>
    </row>
    <row r="98" spans="2:20" x14ac:dyDescent="0.25">
      <c r="B98" s="33">
        <v>1</v>
      </c>
      <c r="C98" t="s">
        <v>2</v>
      </c>
      <c r="D98" t="s">
        <v>37</v>
      </c>
      <c r="E98">
        <v>10</v>
      </c>
      <c r="F98" s="2">
        <v>2.19178082191781E-2</v>
      </c>
      <c r="H98" s="33">
        <v>1</v>
      </c>
      <c r="I98" t="s">
        <v>2</v>
      </c>
      <c r="J98" t="s">
        <v>37</v>
      </c>
      <c r="K98">
        <v>10</v>
      </c>
      <c r="L98" s="63">
        <v>4.9315068493150684E-2</v>
      </c>
      <c r="M98">
        <v>20</v>
      </c>
      <c r="P98" s="20" t="str">
        <f>INDEX(tb_distancias[CO],MATCH(Table6[[#This Row],[Sublanço]],tb_distancias[Sublanço],0))</f>
        <v>A9</v>
      </c>
      <c r="Q98" t="s">
        <v>314</v>
      </c>
      <c r="R98" t="s">
        <v>181</v>
      </c>
      <c r="S98">
        <v>25</v>
      </c>
      <c r="T98">
        <f>INDEX(Table7[Tempo],MATCH(Table6[[#This Row],[Tipo]],Table7[Tempo médio Ponderado Incidências],0))*Table6[[#This Row],[n_incidencias]]</f>
        <v>37.5</v>
      </c>
    </row>
    <row r="99" spans="2:20" x14ac:dyDescent="0.25">
      <c r="B99" s="33">
        <v>1</v>
      </c>
      <c r="C99" t="s">
        <v>231</v>
      </c>
      <c r="D99" t="s">
        <v>189</v>
      </c>
      <c r="E99">
        <v>11</v>
      </c>
      <c r="F99" s="2">
        <v>5.2054794520547898E-2</v>
      </c>
      <c r="H99" s="33">
        <v>1</v>
      </c>
      <c r="I99" t="s">
        <v>231</v>
      </c>
      <c r="J99" t="s">
        <v>189</v>
      </c>
      <c r="K99">
        <v>11</v>
      </c>
      <c r="L99" s="63">
        <v>9.8630136986301367E-2</v>
      </c>
      <c r="M99">
        <v>37</v>
      </c>
      <c r="P99" s="20" t="str">
        <f>INDEX(tb_distancias[CO],MATCH(Table6[[#This Row],[Sublanço]],tb_distancias[Sublanço],0))</f>
        <v>Carcavelos</v>
      </c>
      <c r="Q99" t="s">
        <v>38</v>
      </c>
      <c r="R99" t="s">
        <v>182</v>
      </c>
      <c r="S99">
        <v>9</v>
      </c>
      <c r="T99">
        <f>INDEX(Table7[Tempo],MATCH(Table6[[#This Row],[Tipo]],Table7[Tempo médio Ponderado Incidências],0))*Table6[[#This Row],[n_incidencias]]</f>
        <v>2.97</v>
      </c>
    </row>
    <row r="100" spans="2:20" x14ac:dyDescent="0.25">
      <c r="B100" s="33">
        <v>1</v>
      </c>
      <c r="C100" t="s">
        <v>59</v>
      </c>
      <c r="D100" t="s">
        <v>68</v>
      </c>
      <c r="E100">
        <v>11</v>
      </c>
      <c r="F100" s="2">
        <v>9.8630136986301395E-2</v>
      </c>
      <c r="H100" s="33">
        <v>1</v>
      </c>
      <c r="I100" t="s">
        <v>59</v>
      </c>
      <c r="J100" t="s">
        <v>68</v>
      </c>
      <c r="K100">
        <v>11</v>
      </c>
      <c r="L100" s="63">
        <v>0.13150684931506848</v>
      </c>
      <c r="M100">
        <v>59</v>
      </c>
      <c r="P100" s="20" t="str">
        <f>INDEX(tb_distancias[CO],MATCH(Table6[[#This Row],[Sublanço]],tb_distancias[Sublanço],0))</f>
        <v>Carcavelos</v>
      </c>
      <c r="Q100" t="s">
        <v>37</v>
      </c>
      <c r="R100" t="s">
        <v>180</v>
      </c>
      <c r="S100">
        <v>224</v>
      </c>
      <c r="T100">
        <f>INDEX(Table7[Tempo],MATCH(Table6[[#This Row],[Tipo]],Table7[Tempo médio Ponderado Incidências],0))*Table6[[#This Row],[n_incidencias]]</f>
        <v>73.92</v>
      </c>
    </row>
    <row r="101" spans="2:20" x14ac:dyDescent="0.25">
      <c r="B101" s="33">
        <v>1</v>
      </c>
      <c r="C101" t="s">
        <v>2</v>
      </c>
      <c r="D101" t="s">
        <v>17</v>
      </c>
      <c r="E101">
        <v>11</v>
      </c>
      <c r="F101" s="2">
        <v>0.104109589041096</v>
      </c>
      <c r="H101" s="33">
        <v>1</v>
      </c>
      <c r="I101" t="s">
        <v>2</v>
      </c>
      <c r="J101" t="s">
        <v>17</v>
      </c>
      <c r="K101">
        <v>11</v>
      </c>
      <c r="L101" s="63">
        <v>0.11232876712328767</v>
      </c>
      <c r="M101">
        <v>52</v>
      </c>
      <c r="P101" s="20" t="str">
        <f>INDEX(tb_distancias[CO],MATCH(Table6[[#This Row],[Sublanço]],tb_distancias[Sublanço],0))</f>
        <v>Mealhada</v>
      </c>
      <c r="Q101" t="s">
        <v>76</v>
      </c>
      <c r="R101" t="s">
        <v>180</v>
      </c>
      <c r="S101">
        <v>390</v>
      </c>
      <c r="T101">
        <f>INDEX(Table7[Tempo],MATCH(Table6[[#This Row],[Tipo]],Table7[Tempo médio Ponderado Incidências],0))*Table6[[#This Row],[n_incidencias]]</f>
        <v>128.70000000000002</v>
      </c>
    </row>
    <row r="102" spans="2:20" x14ac:dyDescent="0.25">
      <c r="B102" s="33">
        <v>1</v>
      </c>
      <c r="C102" t="s">
        <v>231</v>
      </c>
      <c r="D102" t="s">
        <v>185</v>
      </c>
      <c r="E102">
        <v>11</v>
      </c>
      <c r="F102" s="2">
        <v>0.17534246575342499</v>
      </c>
      <c r="H102" s="33">
        <v>1</v>
      </c>
      <c r="I102" t="s">
        <v>231</v>
      </c>
      <c r="J102" t="s">
        <v>185</v>
      </c>
      <c r="K102">
        <v>11</v>
      </c>
      <c r="L102" s="63">
        <v>0.34520547945205482</v>
      </c>
      <c r="M102">
        <v>164</v>
      </c>
      <c r="P102" s="20" t="str">
        <f>INDEX(tb_distancias[CO],MATCH(Table6[[#This Row],[Sublanço]],tb_distancias[Sublanço],0))</f>
        <v>Carcavelos</v>
      </c>
      <c r="Q102" t="s">
        <v>19</v>
      </c>
      <c r="R102" t="s">
        <v>181</v>
      </c>
      <c r="S102">
        <v>160</v>
      </c>
      <c r="T102">
        <f>INDEX(Table7[Tempo],MATCH(Table6[[#This Row],[Tipo]],Table7[Tempo médio Ponderado Incidências],0))*Table6[[#This Row],[n_incidencias]]</f>
        <v>240</v>
      </c>
    </row>
    <row r="103" spans="2:20" x14ac:dyDescent="0.25">
      <c r="B103" s="33">
        <v>1</v>
      </c>
      <c r="C103" t="s">
        <v>57</v>
      </c>
      <c r="D103" t="s">
        <v>67</v>
      </c>
      <c r="E103">
        <v>11</v>
      </c>
      <c r="F103" s="2">
        <v>7.1232876712328794E-2</v>
      </c>
      <c r="H103" s="33">
        <v>1</v>
      </c>
      <c r="I103" t="s">
        <v>57</v>
      </c>
      <c r="J103" t="s">
        <v>67</v>
      </c>
      <c r="K103">
        <v>11</v>
      </c>
      <c r="L103" s="63">
        <v>0.20547945205479451</v>
      </c>
      <c r="M103">
        <v>95</v>
      </c>
      <c r="P103" s="20" t="str">
        <f>INDEX(tb_distancias[CO],MATCH(Table6[[#This Row],[Sublanço]],tb_distancias[Sublanço],0))</f>
        <v>A10</v>
      </c>
      <c r="Q103" t="s">
        <v>320</v>
      </c>
      <c r="R103" t="s">
        <v>181</v>
      </c>
      <c r="S103">
        <v>17</v>
      </c>
      <c r="T103">
        <f>INDEX(Table7[Tempo],MATCH(Table6[[#This Row],[Tipo]],Table7[Tempo médio Ponderado Incidências],0))*Table6[[#This Row],[n_incidencias]]</f>
        <v>25.5</v>
      </c>
    </row>
    <row r="104" spans="2:20" x14ac:dyDescent="0.25">
      <c r="B104" s="33">
        <v>1</v>
      </c>
      <c r="C104" t="s">
        <v>231</v>
      </c>
      <c r="D104" t="s">
        <v>185</v>
      </c>
      <c r="E104">
        <v>12</v>
      </c>
      <c r="F104" s="2">
        <v>0.112328767123288</v>
      </c>
      <c r="H104" s="33">
        <v>1</v>
      </c>
      <c r="I104" t="s">
        <v>231</v>
      </c>
      <c r="J104" t="s">
        <v>185</v>
      </c>
      <c r="K104">
        <v>12</v>
      </c>
      <c r="L104" s="63">
        <v>0.20547945205479451</v>
      </c>
      <c r="M104">
        <v>87</v>
      </c>
      <c r="P104" s="20" t="str">
        <f>INDEX(tb_distancias[CO],MATCH(Table6[[#This Row],[Sublanço]],tb_distancias[Sublanço],0))</f>
        <v>Feira</v>
      </c>
      <c r="Q104" t="s">
        <v>77</v>
      </c>
      <c r="R104" t="s">
        <v>180</v>
      </c>
      <c r="S104">
        <v>204</v>
      </c>
      <c r="T104">
        <f>INDEX(Table7[Tempo],MATCH(Table6[[#This Row],[Tipo]],Table7[Tempo médio Ponderado Incidências],0))*Table6[[#This Row],[n_incidencias]]</f>
        <v>67.320000000000007</v>
      </c>
    </row>
    <row r="105" spans="2:20" x14ac:dyDescent="0.25">
      <c r="B105" s="33">
        <v>1</v>
      </c>
      <c r="C105" t="s">
        <v>57</v>
      </c>
      <c r="D105" t="s">
        <v>58</v>
      </c>
      <c r="E105">
        <v>12</v>
      </c>
      <c r="F105" s="2">
        <v>0.101369863013699</v>
      </c>
      <c r="H105" s="33">
        <v>1</v>
      </c>
      <c r="I105" t="s">
        <v>57</v>
      </c>
      <c r="J105" t="s">
        <v>58</v>
      </c>
      <c r="K105">
        <v>12</v>
      </c>
      <c r="L105" s="63">
        <v>0.23013698630136986</v>
      </c>
      <c r="M105">
        <v>103</v>
      </c>
      <c r="P105" s="20" t="str">
        <f>INDEX(tb_distancias[CO],MATCH(Table6[[#This Row],[Sublanço]],tb_distancias[Sublanço],0))</f>
        <v>Carcavelos</v>
      </c>
      <c r="Q105" t="s">
        <v>26</v>
      </c>
      <c r="R105" t="s">
        <v>182</v>
      </c>
      <c r="S105">
        <v>112</v>
      </c>
      <c r="T105">
        <f>INDEX(Table7[Tempo],MATCH(Table6[[#This Row],[Tipo]],Table7[Tempo médio Ponderado Incidências],0))*Table6[[#This Row],[n_incidencias]]</f>
        <v>36.96</v>
      </c>
    </row>
    <row r="106" spans="2:20" x14ac:dyDescent="0.25">
      <c r="B106" s="33">
        <v>1</v>
      </c>
      <c r="C106" t="s">
        <v>231</v>
      </c>
      <c r="D106" t="s">
        <v>183</v>
      </c>
      <c r="E106">
        <v>12</v>
      </c>
      <c r="F106" s="2">
        <v>8.4931506849315094E-2</v>
      </c>
      <c r="H106" s="33">
        <v>1</v>
      </c>
      <c r="I106" t="s">
        <v>231</v>
      </c>
      <c r="J106" t="s">
        <v>183</v>
      </c>
      <c r="K106">
        <v>12</v>
      </c>
      <c r="L106" s="63">
        <v>0.25753424657534246</v>
      </c>
      <c r="M106">
        <v>118</v>
      </c>
      <c r="P106" s="20" t="str">
        <f>INDEX(tb_distancias[CO],MATCH(Table6[[#This Row],[Sublanço]],tb_distancias[Sublanço],0))</f>
        <v>Leiria</v>
      </c>
      <c r="Q106" t="s">
        <v>190</v>
      </c>
      <c r="R106" t="s">
        <v>180</v>
      </c>
      <c r="S106">
        <v>114</v>
      </c>
      <c r="T106">
        <f>INDEX(Table7[Tempo],MATCH(Table6[[#This Row],[Tipo]],Table7[Tempo médio Ponderado Incidências],0))*Table6[[#This Row],[n_incidencias]]</f>
        <v>37.620000000000005</v>
      </c>
    </row>
    <row r="107" spans="2:20" x14ac:dyDescent="0.25">
      <c r="B107" s="33">
        <v>1</v>
      </c>
      <c r="C107" t="s">
        <v>59</v>
      </c>
      <c r="D107" t="s">
        <v>60</v>
      </c>
      <c r="E107">
        <v>12</v>
      </c>
      <c r="F107" s="2">
        <v>0.142465753424658</v>
      </c>
      <c r="H107" s="33">
        <v>1</v>
      </c>
      <c r="I107" t="s">
        <v>59</v>
      </c>
      <c r="J107" t="s">
        <v>60</v>
      </c>
      <c r="K107">
        <v>12</v>
      </c>
      <c r="L107" s="63">
        <v>0.27123287671232876</v>
      </c>
      <c r="M107">
        <v>127</v>
      </c>
      <c r="P107" s="20" t="str">
        <f>INDEX(tb_distancias[CO],MATCH(Table6[[#This Row],[Sublanço]],tb_distancias[Sublanço],0))</f>
        <v>Carregado</v>
      </c>
      <c r="Q107" t="s">
        <v>72</v>
      </c>
      <c r="R107" t="s">
        <v>182</v>
      </c>
      <c r="S107">
        <v>41</v>
      </c>
      <c r="T107">
        <f>INDEX(Table7[Tempo],MATCH(Table6[[#This Row],[Tipo]],Table7[Tempo médio Ponderado Incidências],0))*Table6[[#This Row],[n_incidencias]]</f>
        <v>13.530000000000001</v>
      </c>
    </row>
    <row r="108" spans="2:20" x14ac:dyDescent="0.25">
      <c r="B108" s="33">
        <v>1</v>
      </c>
      <c r="C108" t="s">
        <v>59</v>
      </c>
      <c r="D108" t="s">
        <v>63</v>
      </c>
      <c r="E108">
        <v>13</v>
      </c>
      <c r="F108" s="2">
        <v>5.4794520547945202E-2</v>
      </c>
      <c r="H108" s="33">
        <v>1</v>
      </c>
      <c r="I108" t="s">
        <v>59</v>
      </c>
      <c r="J108" t="s">
        <v>63</v>
      </c>
      <c r="K108">
        <v>13</v>
      </c>
      <c r="L108" s="63">
        <v>8.2191780821917804E-2</v>
      </c>
      <c r="M108">
        <v>34</v>
      </c>
      <c r="P108" s="20" t="str">
        <f>INDEX(tb_distancias[CO],MATCH(Table6[[#This Row],[Sublanço]],tb_distancias[Sublanço],0))</f>
        <v>Leiria</v>
      </c>
      <c r="Q108" t="s">
        <v>187</v>
      </c>
      <c r="R108" t="s">
        <v>182</v>
      </c>
      <c r="S108">
        <v>113</v>
      </c>
      <c r="T108">
        <f>INDEX(Table7[Tempo],MATCH(Table6[[#This Row],[Tipo]],Table7[Tempo médio Ponderado Incidências],0))*Table6[[#This Row],[n_incidencias]]</f>
        <v>37.29</v>
      </c>
    </row>
    <row r="109" spans="2:20" x14ac:dyDescent="0.25">
      <c r="B109" s="33">
        <v>1</v>
      </c>
      <c r="C109" t="s">
        <v>231</v>
      </c>
      <c r="D109" t="s">
        <v>184</v>
      </c>
      <c r="E109">
        <v>14</v>
      </c>
      <c r="F109" s="2">
        <v>6.5753424657534199E-2</v>
      </c>
      <c r="H109" s="33">
        <v>1</v>
      </c>
      <c r="I109" t="s">
        <v>231</v>
      </c>
      <c r="J109" t="s">
        <v>184</v>
      </c>
      <c r="K109">
        <v>14</v>
      </c>
      <c r="L109" s="63">
        <v>0.13424657534246576</v>
      </c>
      <c r="M109">
        <v>55</v>
      </c>
      <c r="P109" s="20" t="str">
        <f>INDEX(tb_distancias[CO],MATCH(Table6[[#This Row],[Sublanço]],tb_distancias[Sublanço],0))</f>
        <v>Feira</v>
      </c>
      <c r="Q109" t="s">
        <v>69</v>
      </c>
      <c r="R109" t="s">
        <v>181</v>
      </c>
      <c r="S109">
        <v>46</v>
      </c>
      <c r="T109">
        <f>INDEX(Table7[Tempo],MATCH(Table6[[#This Row],[Tipo]],Table7[Tempo médio Ponderado Incidências],0))*Table6[[#This Row],[n_incidencias]]</f>
        <v>69</v>
      </c>
    </row>
    <row r="110" spans="2:20" x14ac:dyDescent="0.25">
      <c r="B110" s="33">
        <v>1</v>
      </c>
      <c r="C110" t="s">
        <v>57</v>
      </c>
      <c r="D110" t="s">
        <v>75</v>
      </c>
      <c r="E110">
        <v>14</v>
      </c>
      <c r="F110" s="2">
        <v>2.7397260273972601E-2</v>
      </c>
      <c r="H110" s="33">
        <v>1</v>
      </c>
      <c r="I110" t="s">
        <v>57</v>
      </c>
      <c r="J110" t="s">
        <v>75</v>
      </c>
      <c r="K110">
        <v>14</v>
      </c>
      <c r="L110" s="63">
        <v>6.575342465753424E-2</v>
      </c>
      <c r="M110">
        <v>27</v>
      </c>
      <c r="P110" s="20" t="str">
        <f>INDEX(tb_distancias[CO],MATCH(Table6[[#This Row],[Sublanço]],tb_distancias[Sublanço],0))</f>
        <v>A9</v>
      </c>
      <c r="Q110" t="s">
        <v>309</v>
      </c>
      <c r="R110" t="s">
        <v>180</v>
      </c>
      <c r="S110">
        <v>113</v>
      </c>
      <c r="T110">
        <f>INDEX(Table7[Tempo],MATCH(Table6[[#This Row],[Tipo]],Table7[Tempo médio Ponderado Incidências],0))*Table6[[#This Row],[n_incidencias]]</f>
        <v>37.29</v>
      </c>
    </row>
    <row r="111" spans="2:20" x14ac:dyDescent="0.25">
      <c r="B111" s="33">
        <v>1</v>
      </c>
      <c r="C111" t="s">
        <v>59</v>
      </c>
      <c r="D111" t="s">
        <v>60</v>
      </c>
      <c r="E111">
        <v>14</v>
      </c>
      <c r="F111" s="2">
        <v>9.8630136986301395E-2</v>
      </c>
      <c r="H111" s="33">
        <v>1</v>
      </c>
      <c r="I111" t="s">
        <v>59</v>
      </c>
      <c r="J111" t="s">
        <v>60</v>
      </c>
      <c r="K111">
        <v>14</v>
      </c>
      <c r="L111" s="63">
        <v>0.18630136986301371</v>
      </c>
      <c r="M111">
        <v>84</v>
      </c>
      <c r="P111" s="20" t="str">
        <f>INDEX(tb_distancias[CO],MATCH(Table6[[#This Row],[Sublanço]],tb_distancias[Sublanço],0))</f>
        <v>A14</v>
      </c>
      <c r="Q111" t="s">
        <v>291</v>
      </c>
      <c r="R111" t="s">
        <v>180</v>
      </c>
      <c r="S111">
        <v>155</v>
      </c>
      <c r="T111">
        <f>INDEX(Table7[Tempo],MATCH(Table6[[#This Row],[Tipo]],Table7[Tempo médio Ponderado Incidências],0))*Table6[[#This Row],[n_incidencias]]</f>
        <v>51.150000000000006</v>
      </c>
    </row>
    <row r="112" spans="2:20" x14ac:dyDescent="0.25">
      <c r="B112" s="33">
        <v>1</v>
      </c>
      <c r="C112" t="s">
        <v>0</v>
      </c>
      <c r="D112" t="s">
        <v>73</v>
      </c>
      <c r="E112">
        <v>14</v>
      </c>
      <c r="F112" s="2">
        <v>4.9315068493150697E-2</v>
      </c>
      <c r="H112" s="33">
        <v>1</v>
      </c>
      <c r="I112" t="s">
        <v>0</v>
      </c>
      <c r="J112" t="s">
        <v>73</v>
      </c>
      <c r="K112">
        <v>14</v>
      </c>
      <c r="L112" s="63">
        <v>0.10136986301369863</v>
      </c>
      <c r="M112">
        <v>43</v>
      </c>
      <c r="P112" s="20" t="str">
        <f>INDEX(tb_distancias[CO],MATCH(Table6[[#This Row],[Sublanço]],tb_distancias[Sublanço],0))</f>
        <v>A10</v>
      </c>
      <c r="Q112" t="s">
        <v>321</v>
      </c>
      <c r="R112" t="s">
        <v>180</v>
      </c>
      <c r="S112">
        <v>221</v>
      </c>
      <c r="T112">
        <f>INDEX(Table7[Tempo],MATCH(Table6[[#This Row],[Tipo]],Table7[Tempo médio Ponderado Incidências],0))*Table6[[#This Row],[n_incidencias]]</f>
        <v>72.930000000000007</v>
      </c>
    </row>
    <row r="113" spans="2:20" x14ac:dyDescent="0.25">
      <c r="B113" s="33">
        <v>1</v>
      </c>
      <c r="C113" t="s">
        <v>2</v>
      </c>
      <c r="D113" t="s">
        <v>316</v>
      </c>
      <c r="E113">
        <v>14</v>
      </c>
      <c r="F113" s="2">
        <v>9.0410958904109606E-2</v>
      </c>
      <c r="H113" s="33">
        <v>1</v>
      </c>
      <c r="I113" t="s">
        <v>2</v>
      </c>
      <c r="J113" t="s">
        <v>316</v>
      </c>
      <c r="K113">
        <v>14</v>
      </c>
      <c r="L113" s="63">
        <v>7.9452054794520555E-2</v>
      </c>
      <c r="M113">
        <v>33</v>
      </c>
      <c r="P113" s="20" t="str">
        <f>INDEX(tb_distancias[CO],MATCH(Table6[[#This Row],[Sublanço]],tb_distancias[Sublanço],0))</f>
        <v>Carregado</v>
      </c>
      <c r="Q113" t="s">
        <v>70</v>
      </c>
      <c r="R113" t="s">
        <v>181</v>
      </c>
      <c r="S113">
        <v>52</v>
      </c>
      <c r="T113">
        <f>INDEX(Table7[Tempo],MATCH(Table6[[#This Row],[Tipo]],Table7[Tempo médio Ponderado Incidências],0))*Table6[[#This Row],[n_incidencias]]</f>
        <v>78</v>
      </c>
    </row>
    <row r="114" spans="2:20" x14ac:dyDescent="0.25">
      <c r="B114" s="33">
        <v>1</v>
      </c>
      <c r="C114" t="s">
        <v>59</v>
      </c>
      <c r="D114" t="s">
        <v>68</v>
      </c>
      <c r="E114">
        <v>14</v>
      </c>
      <c r="F114" s="2">
        <v>6.3013698630137005E-2</v>
      </c>
      <c r="H114" s="33">
        <v>1</v>
      </c>
      <c r="I114" t="s">
        <v>59</v>
      </c>
      <c r="J114" t="s">
        <v>68</v>
      </c>
      <c r="K114">
        <v>14</v>
      </c>
      <c r="L114" s="63">
        <v>0.1095890410958904</v>
      </c>
      <c r="M114">
        <v>41</v>
      </c>
      <c r="P114" s="20" t="str">
        <f>INDEX(tb_distancias[CO],MATCH(Table6[[#This Row],[Sublanço]],tb_distancias[Sublanço],0))</f>
        <v>Carcavelos</v>
      </c>
      <c r="Q114" t="s">
        <v>317</v>
      </c>
      <c r="R114" t="s">
        <v>181</v>
      </c>
      <c r="S114">
        <v>155</v>
      </c>
      <c r="T114">
        <f>INDEX(Table7[Tempo],MATCH(Table6[[#This Row],[Tipo]],Table7[Tempo médio Ponderado Incidências],0))*Table6[[#This Row],[n_incidencias]]</f>
        <v>232.5</v>
      </c>
    </row>
    <row r="115" spans="2:20" x14ac:dyDescent="0.25">
      <c r="B115" s="33">
        <v>1</v>
      </c>
      <c r="C115" t="s">
        <v>2</v>
      </c>
      <c r="D115" t="s">
        <v>26</v>
      </c>
      <c r="E115">
        <v>15</v>
      </c>
      <c r="F115" s="2">
        <v>7.9452054794520596E-2</v>
      </c>
      <c r="H115" s="33">
        <v>1</v>
      </c>
      <c r="I115" t="s">
        <v>2</v>
      </c>
      <c r="J115" t="s">
        <v>26</v>
      </c>
      <c r="K115">
        <v>15</v>
      </c>
      <c r="L115" s="63">
        <v>0.17534246575342466</v>
      </c>
      <c r="M115">
        <v>72</v>
      </c>
      <c r="P115" s="20" t="str">
        <f>INDEX(tb_distancias[CO],MATCH(Table6[[#This Row],[Sublanço]],tb_distancias[Sublanço],0))</f>
        <v>Carregado</v>
      </c>
      <c r="Q115" t="s">
        <v>56</v>
      </c>
      <c r="R115" t="s">
        <v>181</v>
      </c>
      <c r="S115">
        <v>136</v>
      </c>
      <c r="T115">
        <f>INDEX(Table7[Tempo],MATCH(Table6[[#This Row],[Tipo]],Table7[Tempo médio Ponderado Incidências],0))*Table6[[#This Row],[n_incidencias]]</f>
        <v>204</v>
      </c>
    </row>
    <row r="116" spans="2:20" x14ac:dyDescent="0.25">
      <c r="B116" s="33">
        <v>1</v>
      </c>
      <c r="C116" t="s">
        <v>292</v>
      </c>
      <c r="D116" t="s">
        <v>320</v>
      </c>
      <c r="E116">
        <v>15</v>
      </c>
      <c r="F116" s="2">
        <v>7.6712328767123306E-2</v>
      </c>
      <c r="H116" s="33">
        <v>1</v>
      </c>
      <c r="I116" t="s">
        <v>292</v>
      </c>
      <c r="J116" t="s">
        <v>320</v>
      </c>
      <c r="K116">
        <v>15</v>
      </c>
      <c r="L116" s="63">
        <v>7.3972602739726029E-2</v>
      </c>
      <c r="M116">
        <v>28</v>
      </c>
      <c r="P116" s="20" t="str">
        <f>INDEX(tb_distancias[CO],MATCH(Table6[[#This Row],[Sublanço]],tb_distancias[Sublanço],0))</f>
        <v>A10</v>
      </c>
      <c r="Q116" t="s">
        <v>297</v>
      </c>
      <c r="R116" t="s">
        <v>180</v>
      </c>
      <c r="S116">
        <v>82</v>
      </c>
      <c r="T116">
        <f>INDEX(Table7[Tempo],MATCH(Table6[[#This Row],[Tipo]],Table7[Tempo médio Ponderado Incidências],0))*Table6[[#This Row],[n_incidencias]]</f>
        <v>27.060000000000002</v>
      </c>
    </row>
    <row r="117" spans="2:20" x14ac:dyDescent="0.25">
      <c r="B117" s="33">
        <v>1</v>
      </c>
      <c r="C117" t="s">
        <v>57</v>
      </c>
      <c r="D117" t="s">
        <v>58</v>
      </c>
      <c r="E117">
        <v>15</v>
      </c>
      <c r="F117" s="2">
        <v>0.145205479452055</v>
      </c>
      <c r="H117" s="33">
        <v>1</v>
      </c>
      <c r="I117" t="s">
        <v>57</v>
      </c>
      <c r="J117" t="s">
        <v>58</v>
      </c>
      <c r="K117">
        <v>15</v>
      </c>
      <c r="L117" s="63">
        <v>0.30684931506849317</v>
      </c>
      <c r="M117">
        <v>135</v>
      </c>
      <c r="P117" s="20" t="str">
        <f>INDEX(tb_distancias[CO],MATCH(Table6[[#This Row],[Sublanço]],tb_distancias[Sublanço],0))</f>
        <v>Leiria</v>
      </c>
      <c r="Q117" t="s">
        <v>190</v>
      </c>
      <c r="R117" t="s">
        <v>182</v>
      </c>
      <c r="S117">
        <v>23</v>
      </c>
      <c r="T117">
        <f>INDEX(Table7[Tempo],MATCH(Table6[[#This Row],[Tipo]],Table7[Tempo médio Ponderado Incidências],0))*Table6[[#This Row],[n_incidencias]]</f>
        <v>7.5900000000000007</v>
      </c>
    </row>
    <row r="118" spans="2:20" x14ac:dyDescent="0.25">
      <c r="B118" s="33">
        <v>1</v>
      </c>
      <c r="C118" t="s">
        <v>57</v>
      </c>
      <c r="D118" t="s">
        <v>66</v>
      </c>
      <c r="E118">
        <v>16</v>
      </c>
      <c r="F118" s="2">
        <v>7.1232876712328794E-2</v>
      </c>
      <c r="H118" s="33">
        <v>1</v>
      </c>
      <c r="I118" t="s">
        <v>57</v>
      </c>
      <c r="J118" t="s">
        <v>66</v>
      </c>
      <c r="K118">
        <v>16</v>
      </c>
      <c r="L118" s="63">
        <v>0.20821917808219179</v>
      </c>
      <c r="M118">
        <v>86</v>
      </c>
      <c r="P118" s="20" t="str">
        <f>INDEX(tb_distancias[CO],MATCH(Table6[[#This Row],[Sublanço]],tb_distancias[Sublanço],0))</f>
        <v>Feira</v>
      </c>
      <c r="Q118" t="s">
        <v>66</v>
      </c>
      <c r="R118" t="s">
        <v>182</v>
      </c>
      <c r="S118">
        <v>164</v>
      </c>
      <c r="T118">
        <f>INDEX(Table7[Tempo],MATCH(Table6[[#This Row],[Tipo]],Table7[Tempo médio Ponderado Incidências],0))*Table6[[#This Row],[n_incidencias]]</f>
        <v>54.120000000000005</v>
      </c>
    </row>
    <row r="119" spans="2:20" x14ac:dyDescent="0.25">
      <c r="B119" s="33">
        <v>1</v>
      </c>
      <c r="C119" t="s">
        <v>57</v>
      </c>
      <c r="D119" t="s">
        <v>58</v>
      </c>
      <c r="E119">
        <v>16</v>
      </c>
      <c r="F119" s="2">
        <v>0.164383561643836</v>
      </c>
      <c r="H119" s="33">
        <v>1</v>
      </c>
      <c r="I119" t="s">
        <v>57</v>
      </c>
      <c r="J119" t="s">
        <v>58</v>
      </c>
      <c r="K119">
        <v>16</v>
      </c>
      <c r="L119" s="63">
        <v>0.31232876712328766</v>
      </c>
      <c r="M119">
        <v>146</v>
      </c>
      <c r="P119" s="20" t="str">
        <f>INDEX(tb_distancias[CO],MATCH(Table6[[#This Row],[Sublanço]],tb_distancias[Sublanço],0))</f>
        <v>A10</v>
      </c>
      <c r="Q119" t="s">
        <v>296</v>
      </c>
      <c r="R119" t="s">
        <v>181</v>
      </c>
      <c r="S119">
        <v>12</v>
      </c>
      <c r="T119">
        <f>INDEX(Table7[Tempo],MATCH(Table6[[#This Row],[Tipo]],Table7[Tempo médio Ponderado Incidências],0))*Table6[[#This Row],[n_incidencias]]</f>
        <v>18</v>
      </c>
    </row>
    <row r="120" spans="2:20" x14ac:dyDescent="0.25">
      <c r="B120" s="33">
        <v>1</v>
      </c>
      <c r="C120" t="s">
        <v>231</v>
      </c>
      <c r="D120" t="s">
        <v>187</v>
      </c>
      <c r="E120">
        <v>16</v>
      </c>
      <c r="F120" s="2">
        <v>8.2191780821917804E-2</v>
      </c>
      <c r="H120" s="33">
        <v>1</v>
      </c>
      <c r="I120" t="s">
        <v>231</v>
      </c>
      <c r="J120" t="s">
        <v>187</v>
      </c>
      <c r="K120">
        <v>16</v>
      </c>
      <c r="L120" s="63">
        <v>0.19726027397260273</v>
      </c>
      <c r="M120">
        <v>81</v>
      </c>
      <c r="P120" s="20" t="str">
        <f>INDEX(tb_distancias[CO],MATCH(Table6[[#This Row],[Sublanço]],tb_distancias[Sublanço],0))</f>
        <v>Carcavelos</v>
      </c>
      <c r="Q120" t="s">
        <v>316</v>
      </c>
      <c r="R120" t="s">
        <v>181</v>
      </c>
      <c r="S120">
        <v>150</v>
      </c>
      <c r="T120">
        <f>INDEX(Table7[Tempo],MATCH(Table6[[#This Row],[Tipo]],Table7[Tempo médio Ponderado Incidências],0))*Table6[[#This Row],[n_incidencias]]</f>
        <v>225</v>
      </c>
    </row>
    <row r="121" spans="2:20" x14ac:dyDescent="0.25">
      <c r="B121" s="33">
        <v>1</v>
      </c>
      <c r="C121" t="s">
        <v>0</v>
      </c>
      <c r="D121" t="s">
        <v>71</v>
      </c>
      <c r="E121">
        <v>16</v>
      </c>
      <c r="F121" s="2">
        <v>2.46575342465753E-2</v>
      </c>
      <c r="H121" s="33">
        <v>1</v>
      </c>
      <c r="I121" t="s">
        <v>0</v>
      </c>
      <c r="J121" t="s">
        <v>71</v>
      </c>
      <c r="K121">
        <v>16</v>
      </c>
      <c r="L121" s="63">
        <v>7.6712328767123292E-2</v>
      </c>
      <c r="M121">
        <v>29</v>
      </c>
      <c r="P121" s="20" t="str">
        <f>INDEX(tb_distancias[CO],MATCH(Table6[[#This Row],[Sublanço]],tb_distancias[Sublanço],0))</f>
        <v>Mealhada</v>
      </c>
      <c r="Q121" t="s">
        <v>76</v>
      </c>
      <c r="R121" t="s">
        <v>181</v>
      </c>
      <c r="S121">
        <v>41</v>
      </c>
      <c r="T121">
        <f>INDEX(Table7[Tempo],MATCH(Table6[[#This Row],[Tipo]],Table7[Tempo médio Ponderado Incidências],0))*Table6[[#This Row],[n_incidencias]]</f>
        <v>61.5</v>
      </c>
    </row>
    <row r="122" spans="2:20" x14ac:dyDescent="0.25">
      <c r="B122" s="33">
        <v>1</v>
      </c>
      <c r="C122" t="s">
        <v>2</v>
      </c>
      <c r="D122" t="s">
        <v>36</v>
      </c>
      <c r="E122">
        <v>16</v>
      </c>
      <c r="F122" s="2">
        <v>8.4931506849315094E-2</v>
      </c>
      <c r="H122" s="33">
        <v>1</v>
      </c>
      <c r="I122" t="s">
        <v>2</v>
      </c>
      <c r="J122" t="s">
        <v>36</v>
      </c>
      <c r="K122">
        <v>16</v>
      </c>
      <c r="L122" s="63">
        <v>9.5890410958904104E-2</v>
      </c>
      <c r="M122">
        <v>43</v>
      </c>
      <c r="P122" s="20" t="str">
        <f>INDEX(tb_distancias[CO],MATCH(Table6[[#This Row],[Sublanço]],tb_distancias[Sublanço],0))</f>
        <v>Feira</v>
      </c>
      <c r="Q122" t="s">
        <v>77</v>
      </c>
      <c r="R122" t="s">
        <v>182</v>
      </c>
      <c r="S122">
        <v>24</v>
      </c>
      <c r="T122">
        <f>INDEX(Table7[Tempo],MATCH(Table6[[#This Row],[Tipo]],Table7[Tempo médio Ponderado Incidências],0))*Table6[[#This Row],[n_incidencias]]</f>
        <v>7.92</v>
      </c>
    </row>
    <row r="123" spans="2:20" x14ac:dyDescent="0.25">
      <c r="B123" s="33">
        <v>1</v>
      </c>
      <c r="C123" t="s">
        <v>2</v>
      </c>
      <c r="D123" t="s">
        <v>38</v>
      </c>
      <c r="E123">
        <v>16</v>
      </c>
      <c r="F123" s="2">
        <v>8.21917808219178E-3</v>
      </c>
      <c r="H123" s="33">
        <v>1</v>
      </c>
      <c r="I123" t="s">
        <v>2</v>
      </c>
      <c r="J123" t="s">
        <v>38</v>
      </c>
      <c r="K123">
        <v>16</v>
      </c>
      <c r="L123" s="63">
        <v>8.21917808219178E-3</v>
      </c>
      <c r="M123">
        <v>3</v>
      </c>
      <c r="P123" s="20" t="str">
        <f>INDEX(tb_distancias[CO],MATCH(Table6[[#This Row],[Sublanço]],tb_distancias[Sublanço],0))</f>
        <v>A9</v>
      </c>
      <c r="Q123" t="s">
        <v>310</v>
      </c>
      <c r="R123" t="s">
        <v>180</v>
      </c>
      <c r="S123">
        <v>166</v>
      </c>
      <c r="T123">
        <f>INDEX(Table7[Tempo],MATCH(Table6[[#This Row],[Tipo]],Table7[Tempo médio Ponderado Incidências],0))*Table6[[#This Row],[n_incidencias]]</f>
        <v>54.78</v>
      </c>
    </row>
    <row r="124" spans="2:20" x14ac:dyDescent="0.25">
      <c r="B124" s="33">
        <v>1</v>
      </c>
      <c r="C124" t="s">
        <v>0</v>
      </c>
      <c r="D124" t="s">
        <v>61</v>
      </c>
      <c r="E124">
        <v>16</v>
      </c>
      <c r="F124" s="2">
        <v>0.150684931506849</v>
      </c>
      <c r="H124" s="33">
        <v>1</v>
      </c>
      <c r="I124" t="s">
        <v>0</v>
      </c>
      <c r="J124" t="s">
        <v>61</v>
      </c>
      <c r="K124">
        <v>16</v>
      </c>
      <c r="L124" s="63">
        <v>0.18356164383561643</v>
      </c>
      <c r="M124">
        <v>85</v>
      </c>
      <c r="P124" s="20" t="str">
        <f>INDEX(tb_distancias[CO],MATCH(Table6[[#This Row],[Sublanço]],tb_distancias[Sublanço],0))</f>
        <v>Carregado</v>
      </c>
      <c r="Q124" t="s">
        <v>72</v>
      </c>
      <c r="R124" t="s">
        <v>181</v>
      </c>
      <c r="S124">
        <v>59</v>
      </c>
      <c r="T124">
        <f>INDEX(Table7[Tempo],MATCH(Table6[[#This Row],[Tipo]],Table7[Tempo médio Ponderado Incidências],0))*Table6[[#This Row],[n_incidencias]]</f>
        <v>88.5</v>
      </c>
    </row>
    <row r="125" spans="2:20" x14ac:dyDescent="0.25">
      <c r="B125" s="33">
        <v>1</v>
      </c>
      <c r="C125" t="s">
        <v>276</v>
      </c>
      <c r="D125" t="s">
        <v>288</v>
      </c>
      <c r="E125">
        <v>16</v>
      </c>
      <c r="F125" s="2">
        <v>3.0136986301369899E-2</v>
      </c>
      <c r="H125" s="33">
        <v>1</v>
      </c>
      <c r="I125" t="s">
        <v>276</v>
      </c>
      <c r="J125" t="s">
        <v>288</v>
      </c>
      <c r="K125">
        <v>16</v>
      </c>
      <c r="L125" s="63">
        <v>3.0136986301369864E-2</v>
      </c>
      <c r="M125">
        <v>11</v>
      </c>
      <c r="P125" s="20" t="str">
        <f>INDEX(tb_distancias[CO],MATCH(Table6[[#This Row],[Sublanço]],tb_distancias[Sublanço],0))</f>
        <v>Leiria</v>
      </c>
      <c r="Q125" t="s">
        <v>183</v>
      </c>
      <c r="R125" t="s">
        <v>182</v>
      </c>
      <c r="S125">
        <v>150</v>
      </c>
      <c r="T125">
        <f>INDEX(Table7[Tempo],MATCH(Table6[[#This Row],[Tipo]],Table7[Tempo médio Ponderado Incidências],0))*Table6[[#This Row],[n_incidencias]]</f>
        <v>49.5</v>
      </c>
    </row>
    <row r="126" spans="2:20" x14ac:dyDescent="0.25">
      <c r="B126" s="33">
        <v>1</v>
      </c>
      <c r="C126" t="s">
        <v>231</v>
      </c>
      <c r="D126" t="s">
        <v>185</v>
      </c>
      <c r="E126">
        <v>17</v>
      </c>
      <c r="F126" s="2">
        <v>0.16986301369862999</v>
      </c>
      <c r="H126" s="33">
        <v>1</v>
      </c>
      <c r="I126" t="s">
        <v>231</v>
      </c>
      <c r="J126" t="s">
        <v>185</v>
      </c>
      <c r="K126">
        <v>17</v>
      </c>
      <c r="L126" s="63">
        <v>0.32602739726027397</v>
      </c>
      <c r="M126">
        <v>144</v>
      </c>
      <c r="P126" s="20" t="str">
        <f>INDEX(tb_distancias[CO],MATCH(Table6[[#This Row],[Sublanço]],tb_distancias[Sublanço],0))</f>
        <v>Carregado</v>
      </c>
      <c r="Q126" t="s">
        <v>79</v>
      </c>
      <c r="R126" t="s">
        <v>181</v>
      </c>
      <c r="S126">
        <v>23</v>
      </c>
      <c r="T126">
        <f>INDEX(Table7[Tempo],MATCH(Table6[[#This Row],[Tipo]],Table7[Tempo médio Ponderado Incidências],0))*Table6[[#This Row],[n_incidencias]]</f>
        <v>34.5</v>
      </c>
    </row>
    <row r="127" spans="2:20" x14ac:dyDescent="0.25">
      <c r="B127" s="33">
        <v>1</v>
      </c>
      <c r="C127" t="s">
        <v>231</v>
      </c>
      <c r="D127" t="s">
        <v>187</v>
      </c>
      <c r="E127">
        <v>17</v>
      </c>
      <c r="F127" s="2">
        <v>0.117808219178082</v>
      </c>
      <c r="H127" s="33">
        <v>1</v>
      </c>
      <c r="I127" t="s">
        <v>231</v>
      </c>
      <c r="J127" t="s">
        <v>187</v>
      </c>
      <c r="K127">
        <v>17</v>
      </c>
      <c r="L127" s="63">
        <v>0.13698630136986301</v>
      </c>
      <c r="M127">
        <v>57</v>
      </c>
      <c r="P127" s="20" t="str">
        <f>INDEX(tb_distancias[CO],MATCH(Table6[[#This Row],[Sublanço]],tb_distancias[Sublanço],0))</f>
        <v>Carcavelos</v>
      </c>
      <c r="Q127" t="s">
        <v>317</v>
      </c>
      <c r="R127" t="s">
        <v>182</v>
      </c>
      <c r="S127">
        <v>90</v>
      </c>
      <c r="T127">
        <f>INDEX(Table7[Tempo],MATCH(Table6[[#This Row],[Tipo]],Table7[Tempo médio Ponderado Incidências],0))*Table6[[#This Row],[n_incidencias]]</f>
        <v>29.700000000000003</v>
      </c>
    </row>
    <row r="128" spans="2:20" x14ac:dyDescent="0.25">
      <c r="B128" s="33">
        <v>1</v>
      </c>
      <c r="C128" t="s">
        <v>0</v>
      </c>
      <c r="D128" t="s">
        <v>65</v>
      </c>
      <c r="E128">
        <v>17</v>
      </c>
      <c r="F128" s="2">
        <v>9.8630136986301395E-2</v>
      </c>
      <c r="H128" s="33">
        <v>1</v>
      </c>
      <c r="I128" t="s">
        <v>0</v>
      </c>
      <c r="J128" t="s">
        <v>65</v>
      </c>
      <c r="K128">
        <v>17</v>
      </c>
      <c r="L128" s="63">
        <v>0.12328767123287671</v>
      </c>
      <c r="M128">
        <v>49</v>
      </c>
      <c r="P128" s="20" t="str">
        <f>INDEX(tb_distancias[CO],MATCH(Table6[[#This Row],[Sublanço]],tb_distancias[Sublanço],0))</f>
        <v>Leiria</v>
      </c>
      <c r="Q128" t="s">
        <v>187</v>
      </c>
      <c r="R128" t="s">
        <v>181</v>
      </c>
      <c r="S128">
        <v>79</v>
      </c>
      <c r="T128">
        <f>INDEX(Table7[Tempo],MATCH(Table6[[#This Row],[Tipo]],Table7[Tempo médio Ponderado Incidências],0))*Table6[[#This Row],[n_incidencias]]</f>
        <v>118.5</v>
      </c>
    </row>
    <row r="129" spans="2:20" x14ac:dyDescent="0.25">
      <c r="B129" s="33">
        <v>1</v>
      </c>
      <c r="C129" t="s">
        <v>231</v>
      </c>
      <c r="D129" t="s">
        <v>183</v>
      </c>
      <c r="E129">
        <v>17</v>
      </c>
      <c r="F129" s="2">
        <v>0.17260273972602699</v>
      </c>
      <c r="H129" s="33">
        <v>1</v>
      </c>
      <c r="I129" t="s">
        <v>231</v>
      </c>
      <c r="J129" t="s">
        <v>183</v>
      </c>
      <c r="K129">
        <v>17</v>
      </c>
      <c r="L129" s="63">
        <v>0.33424657534246577</v>
      </c>
      <c r="M129">
        <v>151</v>
      </c>
      <c r="P129" s="20" t="str">
        <f>INDEX(tb_distancias[CO],MATCH(Table6[[#This Row],[Sublanço]],tb_distancias[Sublanço],0))</f>
        <v>Carregado</v>
      </c>
      <c r="Q129" t="s">
        <v>71</v>
      </c>
      <c r="R129" t="s">
        <v>182</v>
      </c>
      <c r="S129">
        <v>52</v>
      </c>
      <c r="T129">
        <f>INDEX(Table7[Tempo],MATCH(Table6[[#This Row],[Tipo]],Table7[Tempo médio Ponderado Incidências],0))*Table6[[#This Row],[n_incidencias]]</f>
        <v>17.16</v>
      </c>
    </row>
    <row r="130" spans="2:20" x14ac:dyDescent="0.25">
      <c r="B130" s="33">
        <v>1</v>
      </c>
      <c r="C130" t="s">
        <v>57</v>
      </c>
      <c r="D130" t="s">
        <v>58</v>
      </c>
      <c r="E130">
        <v>17</v>
      </c>
      <c r="F130" s="2">
        <v>0.13150684931506801</v>
      </c>
      <c r="H130" s="33">
        <v>1</v>
      </c>
      <c r="I130" t="s">
        <v>57</v>
      </c>
      <c r="J130" t="s">
        <v>58</v>
      </c>
      <c r="K130">
        <v>17</v>
      </c>
      <c r="L130" s="63">
        <v>0.28493150684931506</v>
      </c>
      <c r="M130">
        <v>137</v>
      </c>
      <c r="P130" s="20" t="str">
        <f>INDEX(tb_distancias[CO],MATCH(Table6[[#This Row],[Sublanço]],tb_distancias[Sublanço],0))</f>
        <v>Leiria</v>
      </c>
      <c r="Q130" t="s">
        <v>184</v>
      </c>
      <c r="R130" t="s">
        <v>181</v>
      </c>
      <c r="S130">
        <v>93</v>
      </c>
      <c r="T130">
        <f>INDEX(Table7[Tempo],MATCH(Table6[[#This Row],[Tipo]],Table7[Tempo médio Ponderado Incidências],0))*Table6[[#This Row],[n_incidencias]]</f>
        <v>139.5</v>
      </c>
    </row>
    <row r="131" spans="2:20" x14ac:dyDescent="0.25">
      <c r="B131" s="33">
        <v>1</v>
      </c>
      <c r="C131" t="s">
        <v>292</v>
      </c>
      <c r="D131" t="s">
        <v>296</v>
      </c>
      <c r="E131">
        <v>17</v>
      </c>
      <c r="F131" s="2">
        <v>4.65753424657534E-2</v>
      </c>
      <c r="H131" s="33">
        <v>1</v>
      </c>
      <c r="I131" t="s">
        <v>292</v>
      </c>
      <c r="J131" t="s">
        <v>296</v>
      </c>
      <c r="K131">
        <v>17</v>
      </c>
      <c r="L131" s="63">
        <v>4.1095890410958902E-2</v>
      </c>
      <c r="M131">
        <v>17</v>
      </c>
      <c r="P131" s="20" t="str">
        <f>INDEX(tb_distancias[CO],MATCH(Table6[[#This Row],[Sublanço]],tb_distancias[Sublanço],0))</f>
        <v>Feira</v>
      </c>
      <c r="Q131" t="s">
        <v>74</v>
      </c>
      <c r="R131" t="s">
        <v>182</v>
      </c>
      <c r="S131">
        <v>95</v>
      </c>
      <c r="T131">
        <f>INDEX(Table7[Tempo],MATCH(Table6[[#This Row],[Tipo]],Table7[Tempo médio Ponderado Incidências],0))*Table6[[#This Row],[n_incidencias]]</f>
        <v>31.35</v>
      </c>
    </row>
    <row r="132" spans="2:20" x14ac:dyDescent="0.25">
      <c r="B132" s="33">
        <v>1</v>
      </c>
      <c r="C132" t="s">
        <v>2</v>
      </c>
      <c r="D132" t="s">
        <v>26</v>
      </c>
      <c r="E132">
        <v>18</v>
      </c>
      <c r="F132" s="2">
        <v>0.17260273972602699</v>
      </c>
      <c r="H132" s="33">
        <v>1</v>
      </c>
      <c r="I132" t="s">
        <v>2</v>
      </c>
      <c r="J132" t="s">
        <v>26</v>
      </c>
      <c r="K132">
        <v>18</v>
      </c>
      <c r="L132" s="63">
        <v>0.18904109589041096</v>
      </c>
      <c r="M132">
        <v>90</v>
      </c>
      <c r="P132" s="20" t="str">
        <f>INDEX(tb_distancias[CO],MATCH(Table6[[#This Row],[Sublanço]],tb_distancias[Sublanço],0))</f>
        <v>A9</v>
      </c>
      <c r="Q132" t="s">
        <v>313</v>
      </c>
      <c r="R132" t="s">
        <v>181</v>
      </c>
      <c r="S132">
        <v>44</v>
      </c>
      <c r="T132">
        <f>INDEX(Table7[Tempo],MATCH(Table6[[#This Row],[Tipo]],Table7[Tempo médio Ponderado Incidências],0))*Table6[[#This Row],[n_incidencias]]</f>
        <v>66</v>
      </c>
    </row>
    <row r="133" spans="2:20" x14ac:dyDescent="0.25">
      <c r="B133" s="33">
        <v>1</v>
      </c>
      <c r="C133" t="s">
        <v>2</v>
      </c>
      <c r="D133" t="s">
        <v>17</v>
      </c>
      <c r="E133">
        <v>18</v>
      </c>
      <c r="F133" s="2">
        <v>0.17534246575342499</v>
      </c>
      <c r="H133" s="33">
        <v>1</v>
      </c>
      <c r="I133" t="s">
        <v>2</v>
      </c>
      <c r="J133" t="s">
        <v>17</v>
      </c>
      <c r="K133">
        <v>18</v>
      </c>
      <c r="L133" s="63">
        <v>0.18630136986301371</v>
      </c>
      <c r="M133">
        <v>93</v>
      </c>
      <c r="P133" s="20" t="str">
        <f>INDEX(tb_distancias[CO],MATCH(Table6[[#This Row],[Sublanço]],tb_distancias[Sublanço],0))</f>
        <v>Carregado</v>
      </c>
      <c r="Q133" t="s">
        <v>79</v>
      </c>
      <c r="R133" t="s">
        <v>182</v>
      </c>
      <c r="S133">
        <v>7</v>
      </c>
      <c r="T133">
        <f>INDEX(Table7[Tempo],MATCH(Table6[[#This Row],[Tipo]],Table7[Tempo médio Ponderado Incidências],0))*Table6[[#This Row],[n_incidencias]]</f>
        <v>2.31</v>
      </c>
    </row>
    <row r="134" spans="2:20" x14ac:dyDescent="0.25">
      <c r="B134" s="33">
        <v>1</v>
      </c>
      <c r="C134" t="s">
        <v>57</v>
      </c>
      <c r="D134" t="s">
        <v>66</v>
      </c>
      <c r="E134">
        <v>18</v>
      </c>
      <c r="F134" s="2">
        <v>9.5890410958904104E-2</v>
      </c>
      <c r="H134" s="33">
        <v>1</v>
      </c>
      <c r="I134" t="s">
        <v>57</v>
      </c>
      <c r="J134" t="s">
        <v>66</v>
      </c>
      <c r="K134">
        <v>18</v>
      </c>
      <c r="L134" s="63">
        <v>0.23287671232876711</v>
      </c>
      <c r="M134">
        <v>107</v>
      </c>
      <c r="P134" s="20" t="str">
        <f>INDEX(tb_distancias[CO],MATCH(Table6[[#This Row],[Sublanço]],tb_distancias[Sublanço],0))</f>
        <v>Carregado</v>
      </c>
      <c r="Q134" t="s">
        <v>64</v>
      </c>
      <c r="R134" t="s">
        <v>182</v>
      </c>
      <c r="S134">
        <v>98</v>
      </c>
      <c r="T134">
        <f>INDEX(Table7[Tempo],MATCH(Table6[[#This Row],[Tipo]],Table7[Tempo médio Ponderado Incidências],0))*Table6[[#This Row],[n_incidencias]]</f>
        <v>32.340000000000003</v>
      </c>
    </row>
    <row r="135" spans="2:20" x14ac:dyDescent="0.25">
      <c r="B135" s="33">
        <v>1</v>
      </c>
      <c r="C135" t="s">
        <v>231</v>
      </c>
      <c r="D135" t="s">
        <v>187</v>
      </c>
      <c r="E135">
        <v>18</v>
      </c>
      <c r="F135" s="2">
        <v>9.0410958904109606E-2</v>
      </c>
      <c r="H135" s="33">
        <v>1</v>
      </c>
      <c r="I135" t="s">
        <v>231</v>
      </c>
      <c r="J135" t="s">
        <v>187</v>
      </c>
      <c r="K135">
        <v>18</v>
      </c>
      <c r="L135" s="63">
        <v>0.18630136986301371</v>
      </c>
      <c r="M135">
        <v>77</v>
      </c>
      <c r="P135" s="20" t="str">
        <f>INDEX(tb_distancias[CO],MATCH(Table6[[#This Row],[Sublanço]],tb_distancias[Sublanço],0))</f>
        <v>Feira</v>
      </c>
      <c r="Q135" t="s">
        <v>75</v>
      </c>
      <c r="R135" t="s">
        <v>182</v>
      </c>
      <c r="S135">
        <v>19</v>
      </c>
      <c r="T135">
        <f>INDEX(Table7[Tempo],MATCH(Table6[[#This Row],[Tipo]],Table7[Tempo médio Ponderado Incidências],0))*Table6[[#This Row],[n_incidencias]]</f>
        <v>6.2700000000000005</v>
      </c>
    </row>
    <row r="136" spans="2:20" x14ac:dyDescent="0.25">
      <c r="B136" s="33">
        <v>1</v>
      </c>
      <c r="C136" t="s">
        <v>0</v>
      </c>
      <c r="D136" t="s">
        <v>61</v>
      </c>
      <c r="E136">
        <v>18</v>
      </c>
      <c r="F136" s="2">
        <v>0.101369863013699</v>
      </c>
      <c r="H136" s="33">
        <v>1</v>
      </c>
      <c r="I136" t="s">
        <v>0</v>
      </c>
      <c r="J136" t="s">
        <v>61</v>
      </c>
      <c r="K136">
        <v>18</v>
      </c>
      <c r="L136" s="63">
        <v>0.17808219178082191</v>
      </c>
      <c r="M136">
        <v>84</v>
      </c>
      <c r="P136" s="20" t="str">
        <f>INDEX(tb_distancias[CO],MATCH(Table6[[#This Row],[Sublanço]],tb_distancias[Sublanço],0))</f>
        <v>A10</v>
      </c>
      <c r="Q136" t="s">
        <v>321</v>
      </c>
      <c r="R136" t="s">
        <v>181</v>
      </c>
      <c r="S136">
        <v>29</v>
      </c>
      <c r="T136">
        <f>INDEX(Table7[Tempo],MATCH(Table6[[#This Row],[Tipo]],Table7[Tempo médio Ponderado Incidências],0))*Table6[[#This Row],[n_incidencias]]</f>
        <v>43.5</v>
      </c>
    </row>
    <row r="137" spans="2:20" x14ac:dyDescent="0.25">
      <c r="B137" s="33">
        <v>1</v>
      </c>
      <c r="C137" t="s">
        <v>0</v>
      </c>
      <c r="D137" t="s">
        <v>62</v>
      </c>
      <c r="E137">
        <v>18</v>
      </c>
      <c r="F137" s="2">
        <v>0.13150684931506801</v>
      </c>
      <c r="H137" s="33">
        <v>1</v>
      </c>
      <c r="I137" t="s">
        <v>0</v>
      </c>
      <c r="J137" t="s">
        <v>62</v>
      </c>
      <c r="K137">
        <v>18</v>
      </c>
      <c r="L137" s="63">
        <v>0.20821917808219179</v>
      </c>
      <c r="M137">
        <v>90</v>
      </c>
      <c r="P137" s="20" t="str">
        <f>INDEX(tb_distancias[CO],MATCH(Table6[[#This Row],[Sublanço]],tb_distancias[Sublanço],0))</f>
        <v>Leiria</v>
      </c>
      <c r="Q137" t="s">
        <v>184</v>
      </c>
      <c r="R137" t="s">
        <v>182</v>
      </c>
      <c r="S137">
        <v>159</v>
      </c>
      <c r="T137">
        <f>INDEX(Table7[Tempo],MATCH(Table6[[#This Row],[Tipo]],Table7[Tempo médio Ponderado Incidências],0))*Table6[[#This Row],[n_incidencias]]</f>
        <v>52.470000000000006</v>
      </c>
    </row>
    <row r="138" spans="2:20" x14ac:dyDescent="0.25">
      <c r="B138" s="33">
        <v>1</v>
      </c>
      <c r="C138" t="s">
        <v>2</v>
      </c>
      <c r="D138" t="s">
        <v>21</v>
      </c>
      <c r="E138">
        <v>18</v>
      </c>
      <c r="F138" s="2">
        <v>5.4794520547945202E-2</v>
      </c>
      <c r="H138" s="33">
        <v>1</v>
      </c>
      <c r="I138" t="s">
        <v>2</v>
      </c>
      <c r="J138" t="s">
        <v>21</v>
      </c>
      <c r="K138">
        <v>18</v>
      </c>
      <c r="L138" s="63">
        <v>6.575342465753424E-2</v>
      </c>
      <c r="M138">
        <v>28</v>
      </c>
      <c r="P138" s="20" t="str">
        <f>INDEX(tb_distancias[CO],MATCH(Table6[[#This Row],[Sublanço]],tb_distancias[Sublanço],0))</f>
        <v>Carcavelos</v>
      </c>
      <c r="Q138" t="s">
        <v>32</v>
      </c>
      <c r="R138" t="s">
        <v>181</v>
      </c>
      <c r="S138">
        <v>12</v>
      </c>
      <c r="T138">
        <f>INDEX(Table7[Tempo],MATCH(Table6[[#This Row],[Tipo]],Table7[Tempo médio Ponderado Incidências],0))*Table6[[#This Row],[n_incidencias]]</f>
        <v>18</v>
      </c>
    </row>
    <row r="139" spans="2:20" x14ac:dyDescent="0.25">
      <c r="B139" s="33">
        <v>1</v>
      </c>
      <c r="C139" t="s">
        <v>307</v>
      </c>
      <c r="D139" t="s">
        <v>394</v>
      </c>
      <c r="E139">
        <v>18</v>
      </c>
      <c r="F139" s="2">
        <v>7.3972602739726001E-2</v>
      </c>
      <c r="H139" s="33">
        <v>1</v>
      </c>
      <c r="I139" t="s">
        <v>307</v>
      </c>
      <c r="J139" t="s">
        <v>314</v>
      </c>
      <c r="K139">
        <v>18</v>
      </c>
      <c r="L139" s="63">
        <v>7.1232876712328766E-2</v>
      </c>
      <c r="M139">
        <v>27</v>
      </c>
      <c r="P139" s="20" t="str">
        <f>INDEX(tb_distancias[CO],MATCH(Table6[[#This Row],[Sublanço]],tb_distancias[Sublanço],0))</f>
        <v>Carregado</v>
      </c>
      <c r="Q139" t="s">
        <v>61</v>
      </c>
      <c r="R139" t="s">
        <v>182</v>
      </c>
      <c r="S139">
        <v>120</v>
      </c>
      <c r="T139">
        <f>INDEX(Table7[Tempo],MATCH(Table6[[#This Row],[Tipo]],Table7[Tempo médio Ponderado Incidências],0))*Table6[[#This Row],[n_incidencias]]</f>
        <v>39.6</v>
      </c>
    </row>
    <row r="140" spans="2:20" x14ac:dyDescent="0.25">
      <c r="B140" s="33">
        <v>1</v>
      </c>
      <c r="C140" t="s">
        <v>59</v>
      </c>
      <c r="D140" t="s">
        <v>60</v>
      </c>
      <c r="E140">
        <v>18</v>
      </c>
      <c r="F140" s="2">
        <v>0.13972602739726001</v>
      </c>
      <c r="H140" s="33">
        <v>1</v>
      </c>
      <c r="I140" t="s">
        <v>59</v>
      </c>
      <c r="J140" t="s">
        <v>60</v>
      </c>
      <c r="K140">
        <v>18</v>
      </c>
      <c r="L140" s="63">
        <v>0.29863013698630136</v>
      </c>
      <c r="M140">
        <v>139</v>
      </c>
      <c r="P140" s="20" t="str">
        <f>INDEX(tb_distancias[CO],MATCH(Table6[[#This Row],[Sublanço]],tb_distancias[Sublanço],0))</f>
        <v>Carregado</v>
      </c>
      <c r="Q140" t="s">
        <v>65</v>
      </c>
      <c r="R140" t="s">
        <v>182</v>
      </c>
      <c r="S140">
        <v>81</v>
      </c>
      <c r="T140">
        <f>INDEX(Table7[Tempo],MATCH(Table6[[#This Row],[Tipo]],Table7[Tempo médio Ponderado Incidências],0))*Table6[[#This Row],[n_incidencias]]</f>
        <v>26.73</v>
      </c>
    </row>
    <row r="141" spans="2:20" x14ac:dyDescent="0.25">
      <c r="B141" s="33">
        <v>1</v>
      </c>
      <c r="C141" t="s">
        <v>2</v>
      </c>
      <c r="D141" t="s">
        <v>21</v>
      </c>
      <c r="E141">
        <v>19</v>
      </c>
      <c r="F141" s="2">
        <v>4.65753424657534E-2</v>
      </c>
      <c r="H141" s="33">
        <v>1</v>
      </c>
      <c r="I141" t="s">
        <v>2</v>
      </c>
      <c r="J141" t="s">
        <v>21</v>
      </c>
      <c r="K141">
        <v>19</v>
      </c>
      <c r="L141" s="63">
        <v>7.6712328767123292E-2</v>
      </c>
      <c r="M141">
        <v>32</v>
      </c>
      <c r="P141" s="20" t="str">
        <f>INDEX(tb_distancias[CO],MATCH(Table6[[#This Row],[Sublanço]],tb_distancias[Sublanço],0))</f>
        <v>A10</v>
      </c>
      <c r="Q141" t="s">
        <v>296</v>
      </c>
      <c r="R141" t="s">
        <v>182</v>
      </c>
      <c r="S141">
        <v>33</v>
      </c>
      <c r="T141">
        <f>INDEX(Table7[Tempo],MATCH(Table6[[#This Row],[Tipo]],Table7[Tempo médio Ponderado Incidências],0))*Table6[[#This Row],[n_incidencias]]</f>
        <v>10.89</v>
      </c>
    </row>
    <row r="142" spans="2:20" x14ac:dyDescent="0.25">
      <c r="B142" s="33">
        <v>1</v>
      </c>
      <c r="C142" t="s">
        <v>59</v>
      </c>
      <c r="D142" t="s">
        <v>68</v>
      </c>
      <c r="E142">
        <v>19</v>
      </c>
      <c r="F142" s="2">
        <v>7.6712328767123306E-2</v>
      </c>
      <c r="H142" s="33">
        <v>1</v>
      </c>
      <c r="I142" t="s">
        <v>59</v>
      </c>
      <c r="J142" t="s">
        <v>68</v>
      </c>
      <c r="K142">
        <v>19</v>
      </c>
      <c r="L142" s="63">
        <v>0.10136986301369863</v>
      </c>
      <c r="M142">
        <v>39</v>
      </c>
      <c r="P142" s="20" t="str">
        <f>INDEX(tb_distancias[CO],MATCH(Table6[[#This Row],[Sublanço]],tb_distancias[Sublanço],0))</f>
        <v>Mealhada</v>
      </c>
      <c r="Q142" t="s">
        <v>63</v>
      </c>
      <c r="R142" t="s">
        <v>181</v>
      </c>
      <c r="S142">
        <v>59</v>
      </c>
      <c r="T142">
        <f>INDEX(Table7[Tempo],MATCH(Table6[[#This Row],[Tipo]],Table7[Tempo médio Ponderado Incidências],0))*Table6[[#This Row],[n_incidencias]]</f>
        <v>88.5</v>
      </c>
    </row>
    <row r="143" spans="2:20" x14ac:dyDescent="0.25">
      <c r="B143" s="33">
        <v>1</v>
      </c>
      <c r="C143" t="s">
        <v>276</v>
      </c>
      <c r="D143" t="s">
        <v>318</v>
      </c>
      <c r="E143">
        <v>19</v>
      </c>
      <c r="F143" s="2">
        <v>3.5616438356164397E-2</v>
      </c>
      <c r="H143" s="33">
        <v>1</v>
      </c>
      <c r="I143" t="s">
        <v>276</v>
      </c>
      <c r="J143" t="s">
        <v>318</v>
      </c>
      <c r="K143">
        <v>19</v>
      </c>
      <c r="L143" s="63">
        <v>3.5616438356164383E-2</v>
      </c>
      <c r="M143">
        <v>13</v>
      </c>
      <c r="P143" s="20" t="str">
        <f>INDEX(tb_distancias[CO],MATCH(Table6[[#This Row],[Sublanço]],tb_distancias[Sublanço],0))</f>
        <v>A14</v>
      </c>
      <c r="Q143" t="s">
        <v>288</v>
      </c>
      <c r="R143" t="s">
        <v>181</v>
      </c>
      <c r="S143">
        <v>32</v>
      </c>
      <c r="T143">
        <f>INDEX(Table7[Tempo],MATCH(Table6[[#This Row],[Tipo]],Table7[Tempo médio Ponderado Incidências],0))*Table6[[#This Row],[n_incidencias]]</f>
        <v>48</v>
      </c>
    </row>
    <row r="144" spans="2:20" x14ac:dyDescent="0.25">
      <c r="B144" s="33">
        <v>1</v>
      </c>
      <c r="C144" t="s">
        <v>0</v>
      </c>
      <c r="D144" t="s">
        <v>62</v>
      </c>
      <c r="E144">
        <v>19</v>
      </c>
      <c r="F144" s="2">
        <v>0.117808219178082</v>
      </c>
      <c r="H144" s="33">
        <v>1</v>
      </c>
      <c r="I144" t="s">
        <v>0</v>
      </c>
      <c r="J144" t="s">
        <v>62</v>
      </c>
      <c r="K144">
        <v>19</v>
      </c>
      <c r="L144" s="63">
        <v>0.21095890410958903</v>
      </c>
      <c r="M144">
        <v>84</v>
      </c>
      <c r="P144" s="20" t="str">
        <f>INDEX(tb_distancias[CO],MATCH(Table6[[#This Row],[Sublanço]],tb_distancias[Sublanço],0))</f>
        <v>A9</v>
      </c>
      <c r="Q144" t="s">
        <v>312</v>
      </c>
      <c r="R144" t="s">
        <v>181</v>
      </c>
      <c r="S144">
        <v>55</v>
      </c>
      <c r="T144">
        <f>INDEX(Table7[Tempo],MATCH(Table6[[#This Row],[Tipo]],Table7[Tempo médio Ponderado Incidências],0))*Table6[[#This Row],[n_incidencias]]</f>
        <v>82.5</v>
      </c>
    </row>
    <row r="145" spans="2:20" x14ac:dyDescent="0.25">
      <c r="B145" s="33">
        <v>1</v>
      </c>
      <c r="C145" t="s">
        <v>59</v>
      </c>
      <c r="D145" t="s">
        <v>60</v>
      </c>
      <c r="E145">
        <v>19</v>
      </c>
      <c r="F145" s="2">
        <v>0.115068493150685</v>
      </c>
      <c r="H145" s="33">
        <v>1</v>
      </c>
      <c r="I145" t="s">
        <v>59</v>
      </c>
      <c r="J145" t="s">
        <v>60</v>
      </c>
      <c r="K145">
        <v>19</v>
      </c>
      <c r="L145" s="63">
        <v>0.24383561643835616</v>
      </c>
      <c r="M145">
        <v>106</v>
      </c>
      <c r="P145" s="20" t="str">
        <f>INDEX(tb_distancias[CO],MATCH(Table6[[#This Row],[Sublanço]],tb_distancias[Sublanço],0))</f>
        <v>Carcavelos</v>
      </c>
      <c r="Q145" t="s">
        <v>28</v>
      </c>
      <c r="R145" t="s">
        <v>181</v>
      </c>
      <c r="S145">
        <v>42</v>
      </c>
      <c r="T145">
        <f>INDEX(Table7[Tempo],MATCH(Table6[[#This Row],[Tipo]],Table7[Tempo médio Ponderado Incidências],0))*Table6[[#This Row],[n_incidencias]]</f>
        <v>63</v>
      </c>
    </row>
    <row r="146" spans="2:20" x14ac:dyDescent="0.25">
      <c r="B146" s="33">
        <v>1</v>
      </c>
      <c r="C146" t="s">
        <v>57</v>
      </c>
      <c r="D146" t="s">
        <v>67</v>
      </c>
      <c r="E146">
        <v>19</v>
      </c>
      <c r="F146" s="2">
        <v>5.4794520547945202E-2</v>
      </c>
      <c r="H146" s="33">
        <v>1</v>
      </c>
      <c r="I146" t="s">
        <v>57</v>
      </c>
      <c r="J146" t="s">
        <v>67</v>
      </c>
      <c r="K146">
        <v>19</v>
      </c>
      <c r="L146" s="63">
        <v>0.15068493150684931</v>
      </c>
      <c r="M146">
        <v>60</v>
      </c>
      <c r="P146" s="20" t="str">
        <f>INDEX(tb_distancias[CO],MATCH(Table6[[#This Row],[Sublanço]],tb_distancias[Sublanço],0))</f>
        <v>Leiria</v>
      </c>
      <c r="Q146" t="s">
        <v>190</v>
      </c>
      <c r="R146" t="s">
        <v>181</v>
      </c>
      <c r="S146">
        <v>32</v>
      </c>
      <c r="T146">
        <f>INDEX(Table7[Tempo],MATCH(Table6[[#This Row],[Tipo]],Table7[Tempo médio Ponderado Incidências],0))*Table6[[#This Row],[n_incidencias]]</f>
        <v>48</v>
      </c>
    </row>
    <row r="147" spans="2:20" x14ac:dyDescent="0.25">
      <c r="B147" s="33">
        <v>1</v>
      </c>
      <c r="C147" t="s">
        <v>307</v>
      </c>
      <c r="D147" t="s">
        <v>394</v>
      </c>
      <c r="E147">
        <v>19</v>
      </c>
      <c r="F147" s="2">
        <v>6.8493150684931503E-2</v>
      </c>
      <c r="H147" s="33">
        <v>1</v>
      </c>
      <c r="I147" t="s">
        <v>307</v>
      </c>
      <c r="J147" t="s">
        <v>314</v>
      </c>
      <c r="K147">
        <v>19</v>
      </c>
      <c r="L147" s="63">
        <v>6.8493150684931503E-2</v>
      </c>
      <c r="M147">
        <v>25</v>
      </c>
      <c r="P147" s="20" t="str">
        <f>INDEX(tb_distancias[CO],MATCH(Table6[[#This Row],[Sublanço]],tb_distancias[Sublanço],0))</f>
        <v>Carregado</v>
      </c>
      <c r="Q147" t="s">
        <v>73</v>
      </c>
      <c r="R147" t="s">
        <v>181</v>
      </c>
      <c r="S147">
        <v>55</v>
      </c>
      <c r="T147">
        <f>INDEX(Table7[Tempo],MATCH(Table6[[#This Row],[Tipo]],Table7[Tempo médio Ponderado Incidências],0))*Table6[[#This Row],[n_incidencias]]</f>
        <v>82.5</v>
      </c>
    </row>
    <row r="148" spans="2:20" x14ac:dyDescent="0.25">
      <c r="B148" s="33">
        <v>1</v>
      </c>
      <c r="C148" t="s">
        <v>2</v>
      </c>
      <c r="D148" t="s">
        <v>317</v>
      </c>
      <c r="E148">
        <v>20</v>
      </c>
      <c r="F148" s="2">
        <v>0.101369863013699</v>
      </c>
      <c r="H148" s="33">
        <v>1</v>
      </c>
      <c r="I148" t="s">
        <v>2</v>
      </c>
      <c r="J148" t="s">
        <v>317</v>
      </c>
      <c r="K148">
        <v>20</v>
      </c>
      <c r="L148" s="63">
        <v>9.0410958904109592E-2</v>
      </c>
      <c r="M148">
        <v>37</v>
      </c>
      <c r="P148" s="20" t="str">
        <f>INDEX(tb_distancias[CO],MATCH(Table6[[#This Row],[Sublanço]],tb_distancias[Sublanço],0))</f>
        <v>A9</v>
      </c>
      <c r="Q148" t="s">
        <v>309</v>
      </c>
      <c r="R148" t="s">
        <v>181</v>
      </c>
      <c r="S148">
        <v>13</v>
      </c>
      <c r="T148">
        <f>INDEX(Table7[Tempo],MATCH(Table6[[#This Row],[Tipo]],Table7[Tempo médio Ponderado Incidências],0))*Table6[[#This Row],[n_incidencias]]</f>
        <v>19.5</v>
      </c>
    </row>
    <row r="149" spans="2:20" x14ac:dyDescent="0.25">
      <c r="B149" s="33">
        <v>1</v>
      </c>
      <c r="C149" t="s">
        <v>57</v>
      </c>
      <c r="D149" t="s">
        <v>58</v>
      </c>
      <c r="E149">
        <v>20</v>
      </c>
      <c r="F149" s="2">
        <v>8.7671232876712302E-2</v>
      </c>
      <c r="H149" s="33">
        <v>1</v>
      </c>
      <c r="I149" t="s">
        <v>57</v>
      </c>
      <c r="J149" t="s">
        <v>58</v>
      </c>
      <c r="K149">
        <v>20</v>
      </c>
      <c r="L149" s="63">
        <v>0.18082191780821918</v>
      </c>
      <c r="M149">
        <v>79</v>
      </c>
      <c r="P149" s="20" t="str">
        <f>INDEX(tb_distancias[CO],MATCH(Table6[[#This Row],[Sublanço]],tb_distancias[Sublanço],0))</f>
        <v>Carcavelos</v>
      </c>
      <c r="Q149" t="s">
        <v>19</v>
      </c>
      <c r="R149" t="s">
        <v>182</v>
      </c>
      <c r="S149">
        <v>40</v>
      </c>
      <c r="T149">
        <f>INDEX(Table7[Tempo],MATCH(Table6[[#This Row],[Tipo]],Table7[Tempo médio Ponderado Incidências],0))*Table6[[#This Row],[n_incidencias]]</f>
        <v>13.200000000000001</v>
      </c>
    </row>
    <row r="150" spans="2:20" x14ac:dyDescent="0.25">
      <c r="B150" s="33">
        <v>1</v>
      </c>
      <c r="C150" t="s">
        <v>57</v>
      </c>
      <c r="D150" t="s">
        <v>66</v>
      </c>
      <c r="E150">
        <v>20</v>
      </c>
      <c r="F150" s="2">
        <v>5.75342465753425E-2</v>
      </c>
      <c r="H150" s="33">
        <v>1</v>
      </c>
      <c r="I150" t="s">
        <v>57</v>
      </c>
      <c r="J150" t="s">
        <v>66</v>
      </c>
      <c r="K150">
        <v>20</v>
      </c>
      <c r="L150" s="63">
        <v>8.2191780821917804E-2</v>
      </c>
      <c r="M150">
        <v>34</v>
      </c>
      <c r="P150" s="20" t="str">
        <f>INDEX(tb_distancias[CO],MATCH(Table6[[#This Row],[Sublanço]],tb_distancias[Sublanço],0))</f>
        <v>Mealhada</v>
      </c>
      <c r="Q150" t="s">
        <v>76</v>
      </c>
      <c r="R150" t="s">
        <v>182</v>
      </c>
      <c r="S150">
        <v>37</v>
      </c>
      <c r="T150">
        <f>INDEX(Table7[Tempo],MATCH(Table6[[#This Row],[Tipo]],Table7[Tempo médio Ponderado Incidências],0))*Table6[[#This Row],[n_incidencias]]</f>
        <v>12.21</v>
      </c>
    </row>
    <row r="151" spans="2:20" x14ac:dyDescent="0.25">
      <c r="B151" s="33">
        <v>1</v>
      </c>
      <c r="C151" t="s">
        <v>57</v>
      </c>
      <c r="D151" t="s">
        <v>69</v>
      </c>
      <c r="E151">
        <v>21</v>
      </c>
      <c r="F151" s="2">
        <v>2.19178082191781E-2</v>
      </c>
      <c r="H151" s="33">
        <v>1</v>
      </c>
      <c r="I151" t="s">
        <v>57</v>
      </c>
      <c r="J151" t="s">
        <v>69</v>
      </c>
      <c r="K151">
        <v>21</v>
      </c>
      <c r="L151" s="63">
        <v>5.4794520547945202E-2</v>
      </c>
      <c r="M151">
        <v>21</v>
      </c>
      <c r="P151" s="20" t="str">
        <f>INDEX(tb_distancias[CO],MATCH(Table6[[#This Row],[Sublanço]],tb_distancias[Sublanço],0))</f>
        <v>Carcavelos</v>
      </c>
      <c r="Q151" t="s">
        <v>17</v>
      </c>
      <c r="R151" t="s">
        <v>182</v>
      </c>
      <c r="S151">
        <v>50</v>
      </c>
      <c r="T151">
        <f>INDEX(Table7[Tempo],MATCH(Table6[[#This Row],[Tipo]],Table7[Tempo médio Ponderado Incidências],0))*Table6[[#This Row],[n_incidencias]]</f>
        <v>16.5</v>
      </c>
    </row>
    <row r="152" spans="2:20" x14ac:dyDescent="0.25">
      <c r="B152" s="33">
        <v>1</v>
      </c>
      <c r="C152" t="s">
        <v>0</v>
      </c>
      <c r="D152" t="s">
        <v>70</v>
      </c>
      <c r="E152">
        <v>21</v>
      </c>
      <c r="F152" s="2">
        <v>1.6438356164383602E-2</v>
      </c>
      <c r="H152" s="33">
        <v>1</v>
      </c>
      <c r="I152" t="s">
        <v>0</v>
      </c>
      <c r="J152" t="s">
        <v>70</v>
      </c>
      <c r="K152">
        <v>21</v>
      </c>
      <c r="L152" s="63">
        <v>5.2054794520547946E-2</v>
      </c>
      <c r="M152">
        <v>20</v>
      </c>
      <c r="P152" s="20" t="str">
        <f>INDEX(tb_distancias[CO],MATCH(Table6[[#This Row],[Sublanço]],tb_distancias[Sublanço],0))</f>
        <v>A9</v>
      </c>
      <c r="Q152" t="s">
        <v>313</v>
      </c>
      <c r="R152" t="s">
        <v>182</v>
      </c>
      <c r="S152">
        <v>22</v>
      </c>
      <c r="T152">
        <f>INDEX(Table7[Tempo],MATCH(Table6[[#This Row],[Tipo]],Table7[Tempo médio Ponderado Incidências],0))*Table6[[#This Row],[n_incidencias]]</f>
        <v>7.2600000000000007</v>
      </c>
    </row>
    <row r="153" spans="2:20" x14ac:dyDescent="0.25">
      <c r="B153" s="33">
        <v>1</v>
      </c>
      <c r="C153" t="s">
        <v>59</v>
      </c>
      <c r="D153" t="s">
        <v>60</v>
      </c>
      <c r="E153">
        <v>22</v>
      </c>
      <c r="F153" s="2">
        <v>5.2054794520547898E-2</v>
      </c>
      <c r="H153" s="33">
        <v>1</v>
      </c>
      <c r="I153" t="s">
        <v>59</v>
      </c>
      <c r="J153" t="s">
        <v>60</v>
      </c>
      <c r="K153">
        <v>22</v>
      </c>
      <c r="L153" s="63">
        <v>9.0410958904109592E-2</v>
      </c>
      <c r="M153">
        <v>39</v>
      </c>
      <c r="P153" s="20" t="str">
        <f>INDEX(tb_distancias[CO],MATCH(Table6[[#This Row],[Sublanço]],tb_distancias[Sublanço],0))</f>
        <v>A14</v>
      </c>
      <c r="Q153" t="s">
        <v>319</v>
      </c>
      <c r="R153" t="s">
        <v>180</v>
      </c>
      <c r="S153">
        <v>58</v>
      </c>
      <c r="T153">
        <f>INDEX(Table7[Tempo],MATCH(Table6[[#This Row],[Tipo]],Table7[Tempo médio Ponderado Incidências],0))*Table6[[#This Row],[n_incidencias]]</f>
        <v>19.14</v>
      </c>
    </row>
    <row r="154" spans="2:20" x14ac:dyDescent="0.25">
      <c r="B154" s="33">
        <v>1</v>
      </c>
      <c r="C154" t="s">
        <v>307</v>
      </c>
      <c r="D154" t="s">
        <v>393</v>
      </c>
      <c r="E154">
        <v>23</v>
      </c>
      <c r="F154" s="2">
        <v>4.3835616438356199E-2</v>
      </c>
      <c r="H154" s="33">
        <v>1</v>
      </c>
      <c r="I154" t="s">
        <v>307</v>
      </c>
      <c r="J154" t="s">
        <v>393</v>
      </c>
      <c r="K154">
        <v>23</v>
      </c>
      <c r="L154" s="63">
        <v>3.5616438356164383E-2</v>
      </c>
      <c r="M154">
        <v>16</v>
      </c>
      <c r="P154" s="20" t="str">
        <f>INDEX(tb_distancias[CO],MATCH(Table6[[#This Row],[Sublanço]],tb_distancias[Sublanço],0))</f>
        <v>A9</v>
      </c>
      <c r="Q154" t="s">
        <v>308</v>
      </c>
      <c r="R154" t="s">
        <v>181</v>
      </c>
      <c r="S154">
        <v>33</v>
      </c>
      <c r="T154">
        <f>INDEX(Table7[Tempo],MATCH(Table6[[#This Row],[Tipo]],Table7[Tempo médio Ponderado Incidências],0))*Table6[[#This Row],[n_incidencias]]</f>
        <v>49.5</v>
      </c>
    </row>
    <row r="155" spans="2:20" x14ac:dyDescent="0.25">
      <c r="B155" s="33">
        <v>1</v>
      </c>
      <c r="C155" t="s">
        <v>57</v>
      </c>
      <c r="D155" t="s">
        <v>74</v>
      </c>
      <c r="E155">
        <v>0</v>
      </c>
      <c r="F155" s="2">
        <v>1.9178082191780799E-2</v>
      </c>
      <c r="H155" s="33">
        <v>1</v>
      </c>
      <c r="I155" t="s">
        <v>57</v>
      </c>
      <c r="J155" t="s">
        <v>74</v>
      </c>
      <c r="K155">
        <v>0</v>
      </c>
      <c r="L155" s="63">
        <v>3.5616438356164383E-2</v>
      </c>
      <c r="M155">
        <v>13</v>
      </c>
      <c r="P155" s="20" t="str">
        <f>INDEX(tb_distancias[CO],MATCH(Table6[[#This Row],[Sublanço]],tb_distancias[Sublanço],0))</f>
        <v>A9</v>
      </c>
      <c r="Q155" t="s">
        <v>310</v>
      </c>
      <c r="R155" t="s">
        <v>181</v>
      </c>
      <c r="S155">
        <v>15</v>
      </c>
      <c r="T155">
        <f>INDEX(Table7[Tempo],MATCH(Table6[[#This Row],[Tipo]],Table7[Tempo médio Ponderado Incidências],0))*Table6[[#This Row],[n_incidencias]]</f>
        <v>22.5</v>
      </c>
    </row>
    <row r="156" spans="2:20" x14ac:dyDescent="0.25">
      <c r="B156" s="33">
        <v>1</v>
      </c>
      <c r="C156" t="s">
        <v>57</v>
      </c>
      <c r="D156" t="s">
        <v>66</v>
      </c>
      <c r="E156">
        <v>0</v>
      </c>
      <c r="F156" s="2">
        <v>3.0136986301369899E-2</v>
      </c>
      <c r="H156" s="33">
        <v>1</v>
      </c>
      <c r="I156" t="s">
        <v>57</v>
      </c>
      <c r="J156" t="s">
        <v>66</v>
      </c>
      <c r="K156">
        <v>0</v>
      </c>
      <c r="L156" s="63">
        <v>7.6712328767123292E-2</v>
      </c>
      <c r="M156">
        <v>30</v>
      </c>
      <c r="P156" s="20" t="str">
        <f>INDEX(tb_distancias[CO],MATCH(Table6[[#This Row],[Sublanço]],tb_distancias[Sublanço],0))</f>
        <v>Carcavelos</v>
      </c>
      <c r="Q156" t="s">
        <v>36</v>
      </c>
      <c r="R156" t="s">
        <v>182</v>
      </c>
      <c r="S156">
        <v>41</v>
      </c>
      <c r="T156">
        <f>INDEX(Table7[Tempo],MATCH(Table6[[#This Row],[Tipo]],Table7[Tempo médio Ponderado Incidências],0))*Table6[[#This Row],[n_incidencias]]</f>
        <v>13.530000000000001</v>
      </c>
    </row>
    <row r="157" spans="2:20" x14ac:dyDescent="0.25">
      <c r="B157" s="33">
        <v>1</v>
      </c>
      <c r="C157" t="s">
        <v>231</v>
      </c>
      <c r="D157" t="s">
        <v>185</v>
      </c>
      <c r="E157">
        <v>1</v>
      </c>
      <c r="F157" s="2">
        <v>5.2054794520547898E-2</v>
      </c>
      <c r="H157" s="33">
        <v>1</v>
      </c>
      <c r="I157" t="s">
        <v>231</v>
      </c>
      <c r="J157" t="s">
        <v>185</v>
      </c>
      <c r="K157">
        <v>1</v>
      </c>
      <c r="L157" s="63">
        <v>0.10410958904109589</v>
      </c>
      <c r="M157">
        <v>41</v>
      </c>
      <c r="P157" s="20" t="str">
        <f>INDEX(tb_distancias[CO],MATCH(Table6[[#This Row],[Sublanço]],tb_distancias[Sublanço],0))</f>
        <v>A14</v>
      </c>
      <c r="Q157" t="s">
        <v>289</v>
      </c>
      <c r="R157" t="s">
        <v>180</v>
      </c>
      <c r="S157">
        <v>75</v>
      </c>
      <c r="T157">
        <f>INDEX(Table7[Tempo],MATCH(Table6[[#This Row],[Tipo]],Table7[Tempo médio Ponderado Incidências],0))*Table6[[#This Row],[n_incidencias]]</f>
        <v>24.75</v>
      </c>
    </row>
    <row r="158" spans="2:20" x14ac:dyDescent="0.25">
      <c r="B158" s="33">
        <v>1</v>
      </c>
      <c r="C158" t="s">
        <v>57</v>
      </c>
      <c r="D158" t="s">
        <v>66</v>
      </c>
      <c r="E158">
        <v>1</v>
      </c>
      <c r="F158" s="2">
        <v>1.6438356164383602E-2</v>
      </c>
      <c r="H158" s="33">
        <v>1</v>
      </c>
      <c r="I158" t="s">
        <v>57</v>
      </c>
      <c r="J158" t="s">
        <v>66</v>
      </c>
      <c r="K158">
        <v>1</v>
      </c>
      <c r="L158" s="63">
        <v>4.3835616438356165E-2</v>
      </c>
      <c r="M158">
        <v>16</v>
      </c>
      <c r="P158" s="20" t="str">
        <f>INDEX(tb_distancias[CO],MATCH(Table6[[#This Row],[Sublanço]],tb_distancias[Sublanço],0))</f>
        <v>A14</v>
      </c>
      <c r="Q158" t="s">
        <v>289</v>
      </c>
      <c r="R158" t="s">
        <v>181</v>
      </c>
      <c r="S158">
        <v>15</v>
      </c>
      <c r="T158">
        <f>INDEX(Table7[Tempo],MATCH(Table6[[#This Row],[Tipo]],Table7[Tempo médio Ponderado Incidências],0))*Table6[[#This Row],[n_incidencias]]</f>
        <v>22.5</v>
      </c>
    </row>
    <row r="159" spans="2:20" x14ac:dyDescent="0.25">
      <c r="B159" s="33">
        <v>1</v>
      </c>
      <c r="C159" t="s">
        <v>0</v>
      </c>
      <c r="D159" t="s">
        <v>71</v>
      </c>
      <c r="E159">
        <v>4</v>
      </c>
      <c r="F159" s="2">
        <v>1.0958904109589E-2</v>
      </c>
      <c r="H159" s="33">
        <v>1</v>
      </c>
      <c r="I159" t="s">
        <v>0</v>
      </c>
      <c r="J159" t="s">
        <v>71</v>
      </c>
      <c r="K159">
        <v>4</v>
      </c>
      <c r="L159" s="63">
        <v>1.9178082191780823E-2</v>
      </c>
      <c r="M159">
        <v>7</v>
      </c>
      <c r="P159" s="20" t="str">
        <f>INDEX(tb_distancias[CO],MATCH(Table6[[#This Row],[Sublanço]],tb_distancias[Sublanço],0))</f>
        <v>Carregado</v>
      </c>
      <c r="Q159" t="s">
        <v>64</v>
      </c>
      <c r="R159" t="s">
        <v>181</v>
      </c>
      <c r="S159">
        <v>72</v>
      </c>
      <c r="T159">
        <f>INDEX(Table7[Tempo],MATCH(Table6[[#This Row],[Tipo]],Table7[Tempo médio Ponderado Incidências],0))*Table6[[#This Row],[n_incidencias]]</f>
        <v>108</v>
      </c>
    </row>
    <row r="160" spans="2:20" x14ac:dyDescent="0.25">
      <c r="B160" s="33">
        <v>1</v>
      </c>
      <c r="C160" t="s">
        <v>0</v>
      </c>
      <c r="D160" t="s">
        <v>61</v>
      </c>
      <c r="E160">
        <v>7</v>
      </c>
      <c r="F160" s="2">
        <v>8.2191780821917804E-2</v>
      </c>
      <c r="H160" s="33">
        <v>1</v>
      </c>
      <c r="I160" t="s">
        <v>0</v>
      </c>
      <c r="J160" t="s">
        <v>61</v>
      </c>
      <c r="K160">
        <v>7</v>
      </c>
      <c r="L160" s="63">
        <v>0.12602739726027398</v>
      </c>
      <c r="M160">
        <v>53</v>
      </c>
      <c r="P160" s="20" t="str">
        <f>INDEX(tb_distancias[CO],MATCH(Table6[[#This Row],[Sublanço]],tb_distancias[Sublanço],0))</f>
        <v>A10</v>
      </c>
      <c r="Q160" t="s">
        <v>320</v>
      </c>
      <c r="R160" t="s">
        <v>182</v>
      </c>
      <c r="S160">
        <v>22</v>
      </c>
      <c r="T160">
        <f>INDEX(Table7[Tempo],MATCH(Table6[[#This Row],[Tipo]],Table7[Tempo médio Ponderado Incidências],0))*Table6[[#This Row],[n_incidencias]]</f>
        <v>7.2600000000000007</v>
      </c>
    </row>
    <row r="161" spans="2:20" x14ac:dyDescent="0.25">
      <c r="B161" s="33">
        <v>1</v>
      </c>
      <c r="C161" t="s">
        <v>2</v>
      </c>
      <c r="D161" t="s">
        <v>26</v>
      </c>
      <c r="E161">
        <v>7</v>
      </c>
      <c r="F161" s="2">
        <v>6.02739726027397E-2</v>
      </c>
      <c r="H161" s="33">
        <v>1</v>
      </c>
      <c r="I161" t="s">
        <v>2</v>
      </c>
      <c r="J161" t="s">
        <v>26</v>
      </c>
      <c r="K161">
        <v>7</v>
      </c>
      <c r="L161" s="63">
        <v>9.8630136986301367E-2</v>
      </c>
      <c r="M161">
        <v>39</v>
      </c>
      <c r="P161" s="20" t="str">
        <f>INDEX(tb_distancias[CO],MATCH(Table6[[#This Row],[Sublanço]],tb_distancias[Sublanço],0))</f>
        <v>A14</v>
      </c>
      <c r="Q161" t="s">
        <v>319</v>
      </c>
      <c r="R161" t="s">
        <v>181</v>
      </c>
      <c r="S161">
        <v>11</v>
      </c>
      <c r="T161">
        <f>INDEX(Table7[Tempo],MATCH(Table6[[#This Row],[Tipo]],Table7[Tempo médio Ponderado Incidências],0))*Table6[[#This Row],[n_incidencias]]</f>
        <v>16.5</v>
      </c>
    </row>
    <row r="162" spans="2:20" x14ac:dyDescent="0.25">
      <c r="B162" s="33">
        <v>1</v>
      </c>
      <c r="C162" t="s">
        <v>0</v>
      </c>
      <c r="D162" t="s">
        <v>70</v>
      </c>
      <c r="E162">
        <v>7</v>
      </c>
      <c r="F162" s="2">
        <v>3.8356164383561597E-2</v>
      </c>
      <c r="H162" s="33">
        <v>1</v>
      </c>
      <c r="I162" t="s">
        <v>0</v>
      </c>
      <c r="J162" t="s">
        <v>70</v>
      </c>
      <c r="K162">
        <v>7</v>
      </c>
      <c r="L162" s="63">
        <v>7.6712328767123292E-2</v>
      </c>
      <c r="M162">
        <v>31</v>
      </c>
      <c r="P162" s="20" t="str">
        <f>INDEX(tb_distancias[CO],MATCH(Table6[[#This Row],[Sublanço]],tb_distancias[Sublanço],0))</f>
        <v>A10</v>
      </c>
      <c r="Q162" t="s">
        <v>297</v>
      </c>
      <c r="R162" t="s">
        <v>181</v>
      </c>
      <c r="S162">
        <v>9</v>
      </c>
      <c r="T162">
        <f>INDEX(Table7[Tempo],MATCH(Table6[[#This Row],[Tipo]],Table7[Tempo médio Ponderado Incidências],0))*Table6[[#This Row],[n_incidencias]]</f>
        <v>13.5</v>
      </c>
    </row>
    <row r="163" spans="2:20" x14ac:dyDescent="0.25">
      <c r="B163" s="33">
        <v>1</v>
      </c>
      <c r="C163" t="s">
        <v>0</v>
      </c>
      <c r="D163" t="s">
        <v>78</v>
      </c>
      <c r="E163">
        <v>7</v>
      </c>
      <c r="F163" s="2">
        <v>8.21917808219178E-3</v>
      </c>
      <c r="H163" s="33">
        <v>1</v>
      </c>
      <c r="I163" t="s">
        <v>0</v>
      </c>
      <c r="J163" t="s">
        <v>78</v>
      </c>
      <c r="K163">
        <v>7</v>
      </c>
      <c r="L163" s="63">
        <v>1.3698630136986301E-2</v>
      </c>
      <c r="M163">
        <v>5</v>
      </c>
      <c r="P163" s="20" t="str">
        <f>INDEX(tb_distancias[CO],MATCH(Table6[[#This Row],[Sublanço]],tb_distancias[Sublanço],0))</f>
        <v>A9</v>
      </c>
      <c r="Q163" t="s">
        <v>312</v>
      </c>
      <c r="R163" t="s">
        <v>182</v>
      </c>
      <c r="S163">
        <v>46</v>
      </c>
      <c r="T163">
        <f>INDEX(Table7[Tempo],MATCH(Table6[[#This Row],[Tipo]],Table7[Tempo médio Ponderado Incidências],0))*Table6[[#This Row],[n_incidencias]]</f>
        <v>15.180000000000001</v>
      </c>
    </row>
    <row r="164" spans="2:20" x14ac:dyDescent="0.25">
      <c r="B164" s="33">
        <v>1</v>
      </c>
      <c r="C164" t="s">
        <v>307</v>
      </c>
      <c r="D164" t="s">
        <v>312</v>
      </c>
      <c r="E164">
        <v>8</v>
      </c>
      <c r="F164" s="2">
        <v>0.161643835616438</v>
      </c>
      <c r="H164" s="33">
        <v>1</v>
      </c>
      <c r="I164" t="s">
        <v>307</v>
      </c>
      <c r="J164" t="s">
        <v>312</v>
      </c>
      <c r="K164">
        <v>8</v>
      </c>
      <c r="L164" s="63">
        <v>0.13972602739726028</v>
      </c>
      <c r="M164">
        <v>59</v>
      </c>
      <c r="P164" s="20" t="str">
        <f>INDEX(tb_distancias[CO],MATCH(Table6[[#This Row],[Sublanço]],tb_distancias[Sublanço],0))</f>
        <v>A9</v>
      </c>
      <c r="Q164" t="s">
        <v>311</v>
      </c>
      <c r="R164" t="s">
        <v>181</v>
      </c>
      <c r="S164">
        <v>57</v>
      </c>
      <c r="T164">
        <f>INDEX(Table7[Tempo],MATCH(Table6[[#This Row],[Tipo]],Table7[Tempo médio Ponderado Incidências],0))*Table6[[#This Row],[n_incidencias]]</f>
        <v>85.5</v>
      </c>
    </row>
    <row r="165" spans="2:20" x14ac:dyDescent="0.25">
      <c r="B165" s="33">
        <v>1</v>
      </c>
      <c r="C165" t="s">
        <v>307</v>
      </c>
      <c r="D165" t="s">
        <v>308</v>
      </c>
      <c r="E165">
        <v>8</v>
      </c>
      <c r="F165" s="2">
        <v>3.8356164383561597E-2</v>
      </c>
      <c r="H165" s="33">
        <v>1</v>
      </c>
      <c r="I165" t="s">
        <v>307</v>
      </c>
      <c r="J165" t="s">
        <v>308</v>
      </c>
      <c r="K165">
        <v>8</v>
      </c>
      <c r="L165" s="63">
        <v>3.287671232876712E-2</v>
      </c>
      <c r="M165">
        <v>14</v>
      </c>
      <c r="P165" s="20" t="str">
        <f>INDEX(tb_distancias[CO],MATCH(Table6[[#This Row],[Sublanço]],tb_distancias[Sublanço],0))</f>
        <v>Carcavelos</v>
      </c>
      <c r="Q165" t="s">
        <v>21</v>
      </c>
      <c r="R165" t="s">
        <v>182</v>
      </c>
      <c r="S165">
        <v>25</v>
      </c>
      <c r="T165">
        <f>INDEX(Table7[Tempo],MATCH(Table6[[#This Row],[Tipo]],Table7[Tempo médio Ponderado Incidências],0))*Table6[[#This Row],[n_incidencias]]</f>
        <v>8.25</v>
      </c>
    </row>
    <row r="166" spans="2:20" x14ac:dyDescent="0.25">
      <c r="B166" s="33">
        <v>1</v>
      </c>
      <c r="C166" t="s">
        <v>231</v>
      </c>
      <c r="D166" t="s">
        <v>188</v>
      </c>
      <c r="E166">
        <v>8</v>
      </c>
      <c r="F166" s="2">
        <v>4.3835616438356199E-2</v>
      </c>
      <c r="H166" s="33">
        <v>1</v>
      </c>
      <c r="I166" t="s">
        <v>231</v>
      </c>
      <c r="J166" t="s">
        <v>188</v>
      </c>
      <c r="K166">
        <v>8</v>
      </c>
      <c r="L166" s="63">
        <v>6.575342465753424E-2</v>
      </c>
      <c r="M166">
        <v>25</v>
      </c>
      <c r="P166" s="20" t="str">
        <f>INDEX(tb_distancias[CO],MATCH(Table6[[#This Row],[Sublanço]],tb_distancias[Sublanço],0))</f>
        <v>A14</v>
      </c>
      <c r="Q166" t="s">
        <v>291</v>
      </c>
      <c r="R166" t="s">
        <v>182</v>
      </c>
      <c r="S166">
        <v>16</v>
      </c>
      <c r="T166">
        <f>INDEX(Table7[Tempo],MATCH(Table6[[#This Row],[Tipo]],Table7[Tempo médio Ponderado Incidências],0))*Table6[[#This Row],[n_incidencias]]</f>
        <v>5.28</v>
      </c>
    </row>
    <row r="167" spans="2:20" x14ac:dyDescent="0.25">
      <c r="B167" s="33">
        <v>1</v>
      </c>
      <c r="C167" t="s">
        <v>57</v>
      </c>
      <c r="D167" t="s">
        <v>58</v>
      </c>
      <c r="E167">
        <v>8</v>
      </c>
      <c r="F167" s="2">
        <v>6.5753424657534199E-2</v>
      </c>
      <c r="H167" s="33">
        <v>1</v>
      </c>
      <c r="I167" t="s">
        <v>57</v>
      </c>
      <c r="J167" t="s">
        <v>58</v>
      </c>
      <c r="K167">
        <v>8</v>
      </c>
      <c r="L167" s="63">
        <v>0.18356164383561643</v>
      </c>
      <c r="M167">
        <v>73</v>
      </c>
      <c r="P167" s="20" t="str">
        <f>INDEX(tb_distancias[CO],MATCH(Table6[[#This Row],[Sublanço]],tb_distancias[Sublanço],0))</f>
        <v>Carcavelos</v>
      </c>
      <c r="Q167" t="s">
        <v>37</v>
      </c>
      <c r="R167" t="s">
        <v>182</v>
      </c>
      <c r="S167">
        <v>37</v>
      </c>
      <c r="T167">
        <f>INDEX(Table7[Tempo],MATCH(Table6[[#This Row],[Tipo]],Table7[Tempo médio Ponderado Incidências],0))*Table6[[#This Row],[n_incidencias]]</f>
        <v>12.21</v>
      </c>
    </row>
    <row r="168" spans="2:20" x14ac:dyDescent="0.25">
      <c r="B168" s="33">
        <v>1</v>
      </c>
      <c r="C168" t="s">
        <v>59</v>
      </c>
      <c r="D168" t="s">
        <v>60</v>
      </c>
      <c r="E168">
        <v>8</v>
      </c>
      <c r="F168" s="2">
        <v>0.115068493150685</v>
      </c>
      <c r="H168" s="33">
        <v>1</v>
      </c>
      <c r="I168" t="s">
        <v>59</v>
      </c>
      <c r="J168" t="s">
        <v>60</v>
      </c>
      <c r="K168">
        <v>8</v>
      </c>
      <c r="L168" s="63">
        <v>0.24657534246575341</v>
      </c>
      <c r="M168">
        <v>113</v>
      </c>
      <c r="P168" s="20" t="str">
        <f>INDEX(tb_distancias[CO],MATCH(Table6[[#This Row],[Sublanço]],tb_distancias[Sublanço],0))</f>
        <v>A9</v>
      </c>
      <c r="Q168" t="s">
        <v>310</v>
      </c>
      <c r="R168" t="s">
        <v>182</v>
      </c>
      <c r="S168">
        <v>23</v>
      </c>
      <c r="T168">
        <f>INDEX(Table7[Tempo],MATCH(Table6[[#This Row],[Tipo]],Table7[Tempo médio Ponderado Incidências],0))*Table6[[#This Row],[n_incidencias]]</f>
        <v>7.5900000000000007</v>
      </c>
    </row>
    <row r="169" spans="2:20" x14ac:dyDescent="0.25">
      <c r="B169" s="33">
        <v>1</v>
      </c>
      <c r="C169" t="s">
        <v>0</v>
      </c>
      <c r="D169" t="s">
        <v>71</v>
      </c>
      <c r="E169">
        <v>8</v>
      </c>
      <c r="F169" s="2">
        <v>3.5616438356164397E-2</v>
      </c>
      <c r="H169" s="33">
        <v>1</v>
      </c>
      <c r="I169" t="s">
        <v>0</v>
      </c>
      <c r="J169" t="s">
        <v>71</v>
      </c>
      <c r="K169">
        <v>8</v>
      </c>
      <c r="L169" s="63">
        <v>7.3972602739726029E-2</v>
      </c>
      <c r="M169">
        <v>27</v>
      </c>
      <c r="P169" s="20" t="str">
        <f>INDEX(tb_distancias[CO],MATCH(Table6[[#This Row],[Sublanço]],tb_distancias[Sublanço],0))</f>
        <v>A14</v>
      </c>
      <c r="Q169" t="s">
        <v>290</v>
      </c>
      <c r="R169" t="s">
        <v>182</v>
      </c>
      <c r="S169">
        <v>13</v>
      </c>
      <c r="T169">
        <f>INDEX(Table7[Tempo],MATCH(Table6[[#This Row],[Tipo]],Table7[Tempo médio Ponderado Incidências],0))*Table6[[#This Row],[n_incidencias]]</f>
        <v>4.29</v>
      </c>
    </row>
    <row r="170" spans="2:20" x14ac:dyDescent="0.25">
      <c r="B170" s="33">
        <v>1</v>
      </c>
      <c r="C170" t="s">
        <v>0</v>
      </c>
      <c r="D170" t="s">
        <v>56</v>
      </c>
      <c r="E170">
        <v>8</v>
      </c>
      <c r="F170" s="2">
        <v>8.2191780821917804E-2</v>
      </c>
      <c r="H170" s="33">
        <v>1</v>
      </c>
      <c r="I170" t="s">
        <v>0</v>
      </c>
      <c r="J170" t="s">
        <v>56</v>
      </c>
      <c r="K170">
        <v>8</v>
      </c>
      <c r="L170" s="63">
        <v>0.16986301369863013</v>
      </c>
      <c r="M170">
        <v>69</v>
      </c>
      <c r="P170" s="20" t="str">
        <f>INDEX(tb_distancias[CO],MATCH(Table6[[#This Row],[Sublanço]],tb_distancias[Sublanço],0))</f>
        <v>A14</v>
      </c>
      <c r="Q170" t="s">
        <v>290</v>
      </c>
      <c r="R170" t="s">
        <v>181</v>
      </c>
      <c r="S170">
        <v>7</v>
      </c>
      <c r="T170">
        <f>INDEX(Table7[Tempo],MATCH(Table6[[#This Row],[Tipo]],Table7[Tempo médio Ponderado Incidências],0))*Table6[[#This Row],[n_incidencias]]</f>
        <v>10.5</v>
      </c>
    </row>
    <row r="171" spans="2:20" x14ac:dyDescent="0.25">
      <c r="B171" s="33">
        <v>1</v>
      </c>
      <c r="C171" t="s">
        <v>231</v>
      </c>
      <c r="D171" t="s">
        <v>185</v>
      </c>
      <c r="E171">
        <v>8</v>
      </c>
      <c r="F171" s="2">
        <v>0.156164383561644</v>
      </c>
      <c r="H171" s="33">
        <v>1</v>
      </c>
      <c r="I171" t="s">
        <v>231</v>
      </c>
      <c r="J171" t="s">
        <v>185</v>
      </c>
      <c r="K171">
        <v>8</v>
      </c>
      <c r="L171" s="63">
        <v>0.18904109589041096</v>
      </c>
      <c r="M171">
        <v>89</v>
      </c>
      <c r="P171" s="20" t="str">
        <f>INDEX(tb_distancias[CO],MATCH(Table6[[#This Row],[Sublanço]],tb_distancias[Sublanço],0))</f>
        <v>A14</v>
      </c>
      <c r="Q171" t="s">
        <v>288</v>
      </c>
      <c r="R171" t="s">
        <v>182</v>
      </c>
      <c r="S171">
        <v>16</v>
      </c>
      <c r="T171">
        <f>INDEX(Table7[Tempo],MATCH(Table6[[#This Row],[Tipo]],Table7[Tempo médio Ponderado Incidências],0))*Table6[[#This Row],[n_incidencias]]</f>
        <v>5.28</v>
      </c>
    </row>
    <row r="172" spans="2:20" x14ac:dyDescent="0.25">
      <c r="B172" s="33">
        <v>1</v>
      </c>
      <c r="C172" t="s">
        <v>2</v>
      </c>
      <c r="D172" t="s">
        <v>17</v>
      </c>
      <c r="E172">
        <v>9</v>
      </c>
      <c r="F172" s="2">
        <v>9.3150684931506897E-2</v>
      </c>
      <c r="H172" s="33">
        <v>1</v>
      </c>
      <c r="I172" t="s">
        <v>2</v>
      </c>
      <c r="J172" t="s">
        <v>17</v>
      </c>
      <c r="K172">
        <v>9</v>
      </c>
      <c r="L172" s="63">
        <v>0.19726027397260273</v>
      </c>
      <c r="M172">
        <v>83</v>
      </c>
      <c r="P172" s="20" t="str">
        <f>INDEX(tb_distancias[CO],MATCH(Table6[[#This Row],[Sublanço]],tb_distancias[Sublanço],0))</f>
        <v>A14</v>
      </c>
      <c r="Q172" t="s">
        <v>286</v>
      </c>
      <c r="R172" t="s">
        <v>181</v>
      </c>
      <c r="S172">
        <v>7</v>
      </c>
      <c r="T172">
        <f>INDEX(Table7[Tempo],MATCH(Table6[[#This Row],[Tipo]],Table7[Tempo médio Ponderado Incidências],0))*Table6[[#This Row],[n_incidencias]]</f>
        <v>10.5</v>
      </c>
    </row>
    <row r="173" spans="2:20" x14ac:dyDescent="0.25">
      <c r="B173" s="33">
        <v>1</v>
      </c>
      <c r="C173" t="s">
        <v>2</v>
      </c>
      <c r="D173" t="s">
        <v>36</v>
      </c>
      <c r="E173">
        <v>9</v>
      </c>
      <c r="F173" s="2">
        <v>7.3972602739726001E-2</v>
      </c>
      <c r="H173" s="33">
        <v>1</v>
      </c>
      <c r="I173" t="s">
        <v>2</v>
      </c>
      <c r="J173" t="s">
        <v>36</v>
      </c>
      <c r="K173">
        <v>9</v>
      </c>
      <c r="L173" s="63">
        <v>9.3150684931506855E-2</v>
      </c>
      <c r="M173">
        <v>41</v>
      </c>
      <c r="P173" s="20" t="str">
        <f>INDEX(tb_distancias[CO],MATCH(Table6[[#This Row],[Sublanço]],tb_distancias[Sublanço],0))</f>
        <v>A14</v>
      </c>
      <c r="Q173" t="s">
        <v>289</v>
      </c>
      <c r="R173" t="s">
        <v>182</v>
      </c>
      <c r="S173">
        <v>8</v>
      </c>
      <c r="T173">
        <f>INDEX(Table7[Tempo],MATCH(Table6[[#This Row],[Tipo]],Table7[Tempo médio Ponderado Incidências],0))*Table6[[#This Row],[n_incidencias]]</f>
        <v>2.64</v>
      </c>
    </row>
    <row r="174" spans="2:20" x14ac:dyDescent="0.25">
      <c r="B174" s="33">
        <v>1</v>
      </c>
      <c r="C174" t="s">
        <v>57</v>
      </c>
      <c r="D174" t="s">
        <v>66</v>
      </c>
      <c r="E174">
        <v>9</v>
      </c>
      <c r="F174" s="2">
        <v>9.3150684931506897E-2</v>
      </c>
      <c r="H174" s="33">
        <v>1</v>
      </c>
      <c r="I174" t="s">
        <v>57</v>
      </c>
      <c r="J174" t="s">
        <v>66</v>
      </c>
      <c r="K174">
        <v>9</v>
      </c>
      <c r="L174" s="63">
        <v>0.12054794520547946</v>
      </c>
      <c r="M174">
        <v>50</v>
      </c>
      <c r="P174" s="20" t="str">
        <f>INDEX(tb_distancias[CO],MATCH(Table6[[#This Row],[Sublanço]],tb_distancias[Sublanço],0))</f>
        <v>A14</v>
      </c>
      <c r="Q174" t="s">
        <v>291</v>
      </c>
      <c r="R174" t="s">
        <v>181</v>
      </c>
      <c r="S174">
        <v>8</v>
      </c>
      <c r="T174">
        <f>INDEX(Table7[Tempo],MATCH(Table6[[#This Row],[Tipo]],Table7[Tempo médio Ponderado Incidências],0))*Table6[[#This Row],[n_incidencias]]</f>
        <v>12</v>
      </c>
    </row>
    <row r="175" spans="2:20" x14ac:dyDescent="0.25">
      <c r="B175" s="33">
        <v>1</v>
      </c>
      <c r="C175" t="s">
        <v>2</v>
      </c>
      <c r="D175" t="s">
        <v>316</v>
      </c>
      <c r="E175">
        <v>9</v>
      </c>
      <c r="F175" s="2">
        <v>0.26575342465753399</v>
      </c>
      <c r="H175" s="33">
        <v>1</v>
      </c>
      <c r="I175" t="s">
        <v>2</v>
      </c>
      <c r="J175" t="s">
        <v>316</v>
      </c>
      <c r="K175">
        <v>9</v>
      </c>
      <c r="L175" s="63">
        <v>0.20821917808219179</v>
      </c>
      <c r="M175">
        <v>97</v>
      </c>
      <c r="P175" s="20" t="str">
        <f>INDEX(tb_distancias[CO],MATCH(Table6[[#This Row],[Sublanço]],tb_distancias[Sublanço],0))</f>
        <v>A9</v>
      </c>
      <c r="Q175" t="s">
        <v>314</v>
      </c>
      <c r="R175" t="s">
        <v>182</v>
      </c>
      <c r="S175">
        <v>14</v>
      </c>
      <c r="T175">
        <f>INDEX(Table7[Tempo],MATCH(Table6[[#This Row],[Tipo]],Table7[Tempo médio Ponderado Incidências],0))*Table6[[#This Row],[n_incidencias]]</f>
        <v>4.62</v>
      </c>
    </row>
    <row r="176" spans="2:20" x14ac:dyDescent="0.25">
      <c r="B176" s="33">
        <v>1</v>
      </c>
      <c r="C176" t="s">
        <v>57</v>
      </c>
      <c r="D176" t="s">
        <v>67</v>
      </c>
      <c r="E176">
        <v>9</v>
      </c>
      <c r="F176" s="2">
        <v>6.8493150684931503E-2</v>
      </c>
      <c r="H176" s="33">
        <v>1</v>
      </c>
      <c r="I176" t="s">
        <v>57</v>
      </c>
      <c r="J176" t="s">
        <v>67</v>
      </c>
      <c r="K176">
        <v>9</v>
      </c>
      <c r="L176" s="63">
        <v>0.14246575342465753</v>
      </c>
      <c r="M176">
        <v>59</v>
      </c>
      <c r="P176" s="20" t="str">
        <f>INDEX(tb_distancias[CO],MATCH(Table6[[#This Row],[Sublanço]],tb_distancias[Sublanço],0))</f>
        <v>A14</v>
      </c>
      <c r="Q176" t="s">
        <v>287</v>
      </c>
      <c r="R176" t="s">
        <v>182</v>
      </c>
      <c r="S176">
        <v>2</v>
      </c>
      <c r="T176">
        <f>INDEX(Table7[Tempo],MATCH(Table6[[#This Row],[Tipo]],Table7[Tempo médio Ponderado Incidências],0))*Table6[[#This Row],[n_incidencias]]</f>
        <v>0.66</v>
      </c>
    </row>
    <row r="177" spans="2:20" x14ac:dyDescent="0.25">
      <c r="B177" s="33">
        <v>1</v>
      </c>
      <c r="C177" t="s">
        <v>231</v>
      </c>
      <c r="D177" t="s">
        <v>185</v>
      </c>
      <c r="E177">
        <v>9</v>
      </c>
      <c r="F177" s="2">
        <v>0.142465753424658</v>
      </c>
      <c r="H177" s="33">
        <v>1</v>
      </c>
      <c r="I177" t="s">
        <v>231</v>
      </c>
      <c r="J177" t="s">
        <v>185</v>
      </c>
      <c r="K177">
        <v>9</v>
      </c>
      <c r="L177" s="63">
        <v>0.27123287671232876</v>
      </c>
      <c r="M177">
        <v>119</v>
      </c>
      <c r="P177" s="20" t="str">
        <f>INDEX(tb_distancias[CO],MATCH(Table6[[#This Row],[Sublanço]],tb_distancias[Sublanço],0))</f>
        <v>A14</v>
      </c>
      <c r="Q177" t="s">
        <v>318</v>
      </c>
      <c r="R177" t="s">
        <v>182</v>
      </c>
      <c r="S177">
        <v>9</v>
      </c>
      <c r="T177">
        <f>INDEX(Table7[Tempo],MATCH(Table6[[#This Row],[Tipo]],Table7[Tempo médio Ponderado Incidências],0))*Table6[[#This Row],[n_incidencias]]</f>
        <v>2.97</v>
      </c>
    </row>
    <row r="178" spans="2:20" x14ac:dyDescent="0.25">
      <c r="B178" s="33">
        <v>1</v>
      </c>
      <c r="C178" t="s">
        <v>0</v>
      </c>
      <c r="D178" t="s">
        <v>64</v>
      </c>
      <c r="E178">
        <v>10</v>
      </c>
      <c r="F178" s="2">
        <v>5.75342465753425E-2</v>
      </c>
      <c r="H178" s="33">
        <v>1</v>
      </c>
      <c r="I178" t="s">
        <v>0</v>
      </c>
      <c r="J178" t="s">
        <v>64</v>
      </c>
      <c r="K178">
        <v>10</v>
      </c>
      <c r="L178" s="63">
        <v>0.18904109589041096</v>
      </c>
      <c r="M178">
        <v>72</v>
      </c>
      <c r="P178" s="20" t="str">
        <f>INDEX(tb_distancias[CO],MATCH(Table6[[#This Row],[Sublanço]],tb_distancias[Sublanço],0))</f>
        <v>Carregado</v>
      </c>
      <c r="Q178" t="s">
        <v>78</v>
      </c>
      <c r="R178" t="s">
        <v>181</v>
      </c>
      <c r="S178">
        <v>8</v>
      </c>
      <c r="T178">
        <f>INDEX(Table7[Tempo],MATCH(Table6[[#This Row],[Tipo]],Table7[Tempo médio Ponderado Incidências],0))*Table6[[#This Row],[n_incidencias]]</f>
        <v>12</v>
      </c>
    </row>
    <row r="179" spans="2:20" x14ac:dyDescent="0.25">
      <c r="B179" s="33">
        <v>1</v>
      </c>
      <c r="C179" t="s">
        <v>0</v>
      </c>
      <c r="D179" t="s">
        <v>56</v>
      </c>
      <c r="E179">
        <v>10</v>
      </c>
      <c r="F179" s="2">
        <v>0.115068493150685</v>
      </c>
      <c r="H179" s="33">
        <v>1</v>
      </c>
      <c r="I179" t="s">
        <v>0</v>
      </c>
      <c r="J179" t="s">
        <v>56</v>
      </c>
      <c r="K179">
        <v>10</v>
      </c>
      <c r="L179" s="63">
        <v>0.20547945205479451</v>
      </c>
      <c r="M179">
        <v>89</v>
      </c>
      <c r="P179" s="20" t="str">
        <f>INDEX(tb_distancias[CO],MATCH(Table6[[#This Row],[Sublanço]],tb_distancias[Sublanço],0))</f>
        <v>A14</v>
      </c>
      <c r="Q179" t="s">
        <v>286</v>
      </c>
      <c r="R179" t="s">
        <v>182</v>
      </c>
      <c r="S179">
        <v>5</v>
      </c>
      <c r="T179">
        <f>INDEX(Table7[Tempo],MATCH(Table6[[#This Row],[Tipo]],Table7[Tempo médio Ponderado Incidências],0))*Table6[[#This Row],[n_incidencias]]</f>
        <v>1.6500000000000001</v>
      </c>
    </row>
    <row r="180" spans="2:20" x14ac:dyDescent="0.25">
      <c r="B180" s="33">
        <v>1</v>
      </c>
      <c r="C180" t="s">
        <v>2</v>
      </c>
      <c r="D180" t="s">
        <v>316</v>
      </c>
      <c r="E180">
        <v>10</v>
      </c>
      <c r="F180" s="2">
        <v>0.216438356164384</v>
      </c>
      <c r="H180" s="33">
        <v>1</v>
      </c>
      <c r="I180" t="s">
        <v>2</v>
      </c>
      <c r="J180" t="s">
        <v>316</v>
      </c>
      <c r="K180">
        <v>10</v>
      </c>
      <c r="L180" s="63">
        <v>0.18904109589041096</v>
      </c>
      <c r="M180">
        <v>79</v>
      </c>
      <c r="P180" s="20" t="str">
        <f>INDEX(tb_distancias[CO],MATCH(Table6[[#This Row],[Sublanço]],tb_distancias[Sublanço],0))</f>
        <v>Carcavelos</v>
      </c>
      <c r="Q180" t="s">
        <v>38</v>
      </c>
      <c r="R180" t="s">
        <v>181</v>
      </c>
      <c r="S180">
        <v>11</v>
      </c>
      <c r="T180">
        <f>INDEX(Table7[Tempo],MATCH(Table6[[#This Row],[Tipo]],Table7[Tempo médio Ponderado Incidências],0))*Table6[[#This Row],[n_incidencias]]</f>
        <v>16.5</v>
      </c>
    </row>
    <row r="181" spans="2:20" x14ac:dyDescent="0.25">
      <c r="B181" s="33">
        <v>1</v>
      </c>
      <c r="C181" t="s">
        <v>0</v>
      </c>
      <c r="D181" t="s">
        <v>78</v>
      </c>
      <c r="E181">
        <v>11</v>
      </c>
      <c r="F181" s="2">
        <v>3.2876712328767099E-2</v>
      </c>
      <c r="H181" s="33">
        <v>1</v>
      </c>
      <c r="I181" t="s">
        <v>0</v>
      </c>
      <c r="J181" t="s">
        <v>78</v>
      </c>
      <c r="K181">
        <v>11</v>
      </c>
      <c r="L181" s="63">
        <v>4.9315068493150684E-2</v>
      </c>
      <c r="M181">
        <v>19</v>
      </c>
      <c r="P181" s="20" t="str">
        <f>INDEX(tb_distancias[CO],MATCH(Table6[[#This Row],[Sublanço]],tb_distancias[Sublanço],0))</f>
        <v>A9</v>
      </c>
      <c r="Q181" t="s">
        <v>309</v>
      </c>
      <c r="R181" t="s">
        <v>182</v>
      </c>
      <c r="S181">
        <v>9</v>
      </c>
      <c r="T181">
        <f>INDEX(Table7[Tempo],MATCH(Table6[[#This Row],[Tipo]],Table7[Tempo médio Ponderado Incidências],0))*Table6[[#This Row],[n_incidencias]]</f>
        <v>2.97</v>
      </c>
    </row>
    <row r="182" spans="2:20" x14ac:dyDescent="0.25">
      <c r="B182" s="33">
        <v>1</v>
      </c>
      <c r="C182" t="s">
        <v>0</v>
      </c>
      <c r="D182" t="s">
        <v>73</v>
      </c>
      <c r="E182">
        <v>11</v>
      </c>
      <c r="F182" s="2">
        <v>5.2054794520547898E-2</v>
      </c>
      <c r="H182" s="33">
        <v>1</v>
      </c>
      <c r="I182" t="s">
        <v>0</v>
      </c>
      <c r="J182" t="s">
        <v>73</v>
      </c>
      <c r="K182">
        <v>11</v>
      </c>
      <c r="L182" s="63">
        <v>7.6712328767123292E-2</v>
      </c>
      <c r="M182">
        <v>38</v>
      </c>
      <c r="P182" s="20" t="str">
        <f>INDEX(tb_distancias[CO],MATCH(Table6[[#This Row],[Sublanço]],tb_distancias[Sublanço],0))</f>
        <v>A10</v>
      </c>
      <c r="Q182" t="s">
        <v>297</v>
      </c>
      <c r="R182" t="s">
        <v>182</v>
      </c>
      <c r="S182">
        <v>6</v>
      </c>
      <c r="T182">
        <f>INDEX(Table7[Tempo],MATCH(Table6[[#This Row],[Tipo]],Table7[Tempo médio Ponderado Incidências],0))*Table6[[#This Row],[n_incidencias]]</f>
        <v>1.98</v>
      </c>
    </row>
    <row r="183" spans="2:20" x14ac:dyDescent="0.25">
      <c r="B183" s="33">
        <v>1</v>
      </c>
      <c r="C183" t="s">
        <v>0</v>
      </c>
      <c r="D183" t="s">
        <v>70</v>
      </c>
      <c r="E183">
        <v>12</v>
      </c>
      <c r="F183" s="2">
        <v>6.02739726027397E-2</v>
      </c>
      <c r="H183" s="33">
        <v>1</v>
      </c>
      <c r="I183" t="s">
        <v>0</v>
      </c>
      <c r="J183" t="s">
        <v>70</v>
      </c>
      <c r="K183">
        <v>12</v>
      </c>
      <c r="L183" s="63">
        <v>0.10684931506849316</v>
      </c>
      <c r="M183">
        <v>45</v>
      </c>
      <c r="P183" s="20" t="str">
        <f>INDEX(tb_distancias[CO],MATCH(Table6[[#This Row],[Sublanço]],tb_distancias[Sublanço],0))</f>
        <v>Carcavelos</v>
      </c>
      <c r="Q183" t="s">
        <v>32</v>
      </c>
      <c r="R183" t="s">
        <v>182</v>
      </c>
      <c r="S183">
        <v>8</v>
      </c>
      <c r="T183">
        <f>INDEX(Table7[Tempo],MATCH(Table6[[#This Row],[Tipo]],Table7[Tempo médio Ponderado Incidências],0))*Table6[[#This Row],[n_incidencias]]</f>
        <v>2.64</v>
      </c>
    </row>
    <row r="184" spans="2:20" x14ac:dyDescent="0.25">
      <c r="B184" s="33">
        <v>1</v>
      </c>
      <c r="C184" t="s">
        <v>2</v>
      </c>
      <c r="D184" t="s">
        <v>316</v>
      </c>
      <c r="E184">
        <v>12</v>
      </c>
      <c r="F184" s="2">
        <v>0.112328767123288</v>
      </c>
      <c r="H184" s="33">
        <v>1</v>
      </c>
      <c r="I184" t="s">
        <v>2</v>
      </c>
      <c r="J184" t="s">
        <v>316</v>
      </c>
      <c r="K184">
        <v>12</v>
      </c>
      <c r="L184" s="63">
        <v>9.0410958904109592E-2</v>
      </c>
      <c r="M184">
        <v>41</v>
      </c>
      <c r="P184" s="20" t="str">
        <f>INDEX(tb_distancias[CO],MATCH(Table6[[#This Row],[Sublanço]],tb_distancias[Sublanço],0))</f>
        <v>A14</v>
      </c>
      <c r="Q184" t="s">
        <v>319</v>
      </c>
      <c r="R184" t="s">
        <v>182</v>
      </c>
      <c r="S184">
        <v>4</v>
      </c>
      <c r="T184">
        <f>INDEX(Table7[Tempo],MATCH(Table6[[#This Row],[Tipo]],Table7[Tempo médio Ponderado Incidências],0))*Table6[[#This Row],[n_incidencias]]</f>
        <v>1.32</v>
      </c>
    </row>
    <row r="185" spans="2:20" x14ac:dyDescent="0.25">
      <c r="B185" s="33">
        <v>1</v>
      </c>
      <c r="C185" t="s">
        <v>0</v>
      </c>
      <c r="D185" t="s">
        <v>71</v>
      </c>
      <c r="E185">
        <v>12</v>
      </c>
      <c r="F185" s="2">
        <v>3.8356164383561597E-2</v>
      </c>
      <c r="H185" s="33">
        <v>1</v>
      </c>
      <c r="I185" t="s">
        <v>0</v>
      </c>
      <c r="J185" t="s">
        <v>71</v>
      </c>
      <c r="K185">
        <v>12</v>
      </c>
      <c r="L185" s="63">
        <v>8.7671232876712329E-2</v>
      </c>
      <c r="M185">
        <v>35</v>
      </c>
      <c r="P185" s="20" t="str">
        <f>INDEX(tb_distancias[CO],MATCH(Table6[[#This Row],[Sublanço]],tb_distancias[Sublanço],0))</f>
        <v>A14</v>
      </c>
      <c r="Q185" t="s">
        <v>318</v>
      </c>
      <c r="R185" t="s">
        <v>181</v>
      </c>
      <c r="S185">
        <v>8</v>
      </c>
      <c r="T185">
        <f>INDEX(Table7[Tempo],MATCH(Table6[[#This Row],[Tipo]],Table7[Tempo médio Ponderado Incidências],0))*Table6[[#This Row],[n_incidencias]]</f>
        <v>12</v>
      </c>
    </row>
    <row r="186" spans="2:20" x14ac:dyDescent="0.25">
      <c r="B186" s="33">
        <v>1</v>
      </c>
      <c r="C186" t="s">
        <v>2</v>
      </c>
      <c r="D186" t="s">
        <v>26</v>
      </c>
      <c r="E186">
        <v>12</v>
      </c>
      <c r="F186" s="2">
        <v>7.9452054794520596E-2</v>
      </c>
      <c r="H186" s="33">
        <v>1</v>
      </c>
      <c r="I186" t="s">
        <v>2</v>
      </c>
      <c r="J186" t="s">
        <v>26</v>
      </c>
      <c r="K186">
        <v>12</v>
      </c>
      <c r="L186" s="63">
        <v>0.14794520547945206</v>
      </c>
      <c r="M186">
        <v>59</v>
      </c>
      <c r="P186" s="20" t="str">
        <f>INDEX(tb_distancias[CO],MATCH(Table6[[#This Row],[Sublanço]],tb_distancias[Sublanço],0))</f>
        <v>A14</v>
      </c>
      <c r="Q186" t="s">
        <v>287</v>
      </c>
      <c r="R186" t="s">
        <v>181</v>
      </c>
      <c r="S186">
        <v>2</v>
      </c>
      <c r="T186">
        <f>INDEX(Table7[Tempo],MATCH(Table6[[#This Row],[Tipo]],Table7[Tempo médio Ponderado Incidências],0))*Table6[[#This Row],[n_incidencias]]</f>
        <v>3</v>
      </c>
    </row>
    <row r="187" spans="2:20" x14ac:dyDescent="0.25">
      <c r="B187" s="33">
        <v>1</v>
      </c>
      <c r="C187" t="s">
        <v>0</v>
      </c>
      <c r="D187" t="s">
        <v>70</v>
      </c>
      <c r="E187">
        <v>13</v>
      </c>
      <c r="F187" s="2">
        <v>3.8356164383561597E-2</v>
      </c>
      <c r="H187" s="33">
        <v>1</v>
      </c>
      <c r="I187" t="s">
        <v>0</v>
      </c>
      <c r="J187" t="s">
        <v>70</v>
      </c>
      <c r="K187">
        <v>13</v>
      </c>
      <c r="L187" s="63">
        <v>9.0410958904109592E-2</v>
      </c>
      <c r="M187">
        <v>38</v>
      </c>
    </row>
    <row r="188" spans="2:20" x14ac:dyDescent="0.25">
      <c r="B188" s="33">
        <v>1</v>
      </c>
      <c r="C188" t="s">
        <v>0</v>
      </c>
      <c r="D188" t="s">
        <v>64</v>
      </c>
      <c r="E188">
        <v>13</v>
      </c>
      <c r="F188" s="2">
        <v>7.6712328767123306E-2</v>
      </c>
      <c r="H188" s="33">
        <v>1</v>
      </c>
      <c r="I188" t="s">
        <v>0</v>
      </c>
      <c r="J188" t="s">
        <v>64</v>
      </c>
      <c r="K188">
        <v>13</v>
      </c>
      <c r="L188" s="63">
        <v>0.18630136986301371</v>
      </c>
      <c r="M188">
        <v>80</v>
      </c>
    </row>
    <row r="189" spans="2:20" x14ac:dyDescent="0.25">
      <c r="B189" s="33">
        <v>1</v>
      </c>
      <c r="C189" t="s">
        <v>57</v>
      </c>
      <c r="D189" t="s">
        <v>69</v>
      </c>
      <c r="E189">
        <v>13</v>
      </c>
      <c r="F189" s="2">
        <v>4.3835616438356199E-2</v>
      </c>
      <c r="H189" s="33">
        <v>1</v>
      </c>
      <c r="I189" t="s">
        <v>57</v>
      </c>
      <c r="J189" t="s">
        <v>69</v>
      </c>
      <c r="K189">
        <v>13</v>
      </c>
      <c r="L189" s="63">
        <v>9.3150684931506855E-2</v>
      </c>
      <c r="M189">
        <v>34</v>
      </c>
    </row>
    <row r="190" spans="2:20" x14ac:dyDescent="0.25">
      <c r="B190" s="33">
        <v>1</v>
      </c>
      <c r="C190" t="s">
        <v>0</v>
      </c>
      <c r="D190" t="s">
        <v>65</v>
      </c>
      <c r="E190">
        <v>13</v>
      </c>
      <c r="F190" s="2">
        <v>7.6712328767123306E-2</v>
      </c>
      <c r="H190" s="33">
        <v>1</v>
      </c>
      <c r="I190" t="s">
        <v>0</v>
      </c>
      <c r="J190" t="s">
        <v>65</v>
      </c>
      <c r="K190">
        <v>13</v>
      </c>
      <c r="L190" s="63">
        <v>0.17808219178082191</v>
      </c>
      <c r="M190">
        <v>74</v>
      </c>
    </row>
    <row r="191" spans="2:20" x14ac:dyDescent="0.25">
      <c r="B191" s="33">
        <v>1</v>
      </c>
      <c r="C191" t="s">
        <v>2</v>
      </c>
      <c r="D191" t="s">
        <v>317</v>
      </c>
      <c r="E191">
        <v>14</v>
      </c>
      <c r="F191" s="2">
        <v>0.150684931506849</v>
      </c>
      <c r="H191" s="33">
        <v>1</v>
      </c>
      <c r="I191" t="s">
        <v>2</v>
      </c>
      <c r="J191" t="s">
        <v>317</v>
      </c>
      <c r="K191">
        <v>14</v>
      </c>
      <c r="L191" s="63">
        <v>0.12876712328767123</v>
      </c>
      <c r="M191">
        <v>55</v>
      </c>
    </row>
    <row r="192" spans="2:20" x14ac:dyDescent="0.25">
      <c r="B192" s="33">
        <v>1</v>
      </c>
      <c r="C192" t="s">
        <v>57</v>
      </c>
      <c r="D192" t="s">
        <v>69</v>
      </c>
      <c r="E192">
        <v>14</v>
      </c>
      <c r="F192" s="2">
        <v>2.19178082191781E-2</v>
      </c>
      <c r="H192" s="33">
        <v>1</v>
      </c>
      <c r="I192" t="s">
        <v>57</v>
      </c>
      <c r="J192" t="s">
        <v>69</v>
      </c>
      <c r="K192">
        <v>14</v>
      </c>
      <c r="L192" s="63">
        <v>8.2191780821917804E-2</v>
      </c>
      <c r="M192">
        <v>33</v>
      </c>
    </row>
    <row r="193" spans="2:13" x14ac:dyDescent="0.25">
      <c r="B193" s="33">
        <v>1</v>
      </c>
      <c r="C193" t="s">
        <v>231</v>
      </c>
      <c r="D193" t="s">
        <v>188</v>
      </c>
      <c r="E193">
        <v>14</v>
      </c>
      <c r="F193" s="2">
        <v>5.4794520547945202E-2</v>
      </c>
      <c r="H193" s="33">
        <v>1</v>
      </c>
      <c r="I193" t="s">
        <v>231</v>
      </c>
      <c r="J193" t="s">
        <v>188</v>
      </c>
      <c r="K193">
        <v>14</v>
      </c>
      <c r="L193" s="63">
        <v>0.10410958904109589</v>
      </c>
      <c r="M193">
        <v>44</v>
      </c>
    </row>
    <row r="194" spans="2:13" x14ac:dyDescent="0.25">
      <c r="B194" s="33">
        <v>1</v>
      </c>
      <c r="C194" t="s">
        <v>2</v>
      </c>
      <c r="D194" t="s">
        <v>32</v>
      </c>
      <c r="E194">
        <v>14</v>
      </c>
      <c r="F194" s="2">
        <v>8.21917808219178E-3</v>
      </c>
      <c r="H194" s="33">
        <v>1</v>
      </c>
      <c r="I194" t="s">
        <v>2</v>
      </c>
      <c r="J194" t="s">
        <v>32</v>
      </c>
      <c r="K194">
        <v>14</v>
      </c>
      <c r="L194" s="63">
        <v>1.3698630136986301E-2</v>
      </c>
      <c r="M194">
        <v>5</v>
      </c>
    </row>
    <row r="195" spans="2:13" x14ac:dyDescent="0.25">
      <c r="B195" s="33">
        <v>1</v>
      </c>
      <c r="C195" t="s">
        <v>2</v>
      </c>
      <c r="D195" t="s">
        <v>317</v>
      </c>
      <c r="E195">
        <v>16</v>
      </c>
      <c r="F195" s="2">
        <v>0.142465753424658</v>
      </c>
      <c r="H195" s="33">
        <v>1</v>
      </c>
      <c r="I195" t="s">
        <v>2</v>
      </c>
      <c r="J195" t="s">
        <v>317</v>
      </c>
      <c r="K195">
        <v>16</v>
      </c>
      <c r="L195" s="63">
        <v>0.11780821917808219</v>
      </c>
      <c r="M195">
        <v>52</v>
      </c>
    </row>
    <row r="196" spans="2:13" x14ac:dyDescent="0.25">
      <c r="B196" s="33">
        <v>1</v>
      </c>
      <c r="C196" t="s">
        <v>57</v>
      </c>
      <c r="D196" t="s">
        <v>67</v>
      </c>
      <c r="E196">
        <v>16</v>
      </c>
      <c r="F196" s="2">
        <v>8.2191780821917804E-2</v>
      </c>
      <c r="H196" s="33">
        <v>1</v>
      </c>
      <c r="I196" t="s">
        <v>57</v>
      </c>
      <c r="J196" t="s">
        <v>67</v>
      </c>
      <c r="K196">
        <v>16</v>
      </c>
      <c r="L196" s="63">
        <v>0.17260273972602741</v>
      </c>
      <c r="M196">
        <v>70</v>
      </c>
    </row>
    <row r="197" spans="2:13" x14ac:dyDescent="0.25">
      <c r="B197" s="33">
        <v>1</v>
      </c>
      <c r="C197" t="s">
        <v>0</v>
      </c>
      <c r="D197" t="s">
        <v>72</v>
      </c>
      <c r="E197">
        <v>16</v>
      </c>
      <c r="F197" s="2">
        <v>6.8493150684931503E-2</v>
      </c>
      <c r="H197" s="33">
        <v>1</v>
      </c>
      <c r="I197" t="s">
        <v>0</v>
      </c>
      <c r="J197" t="s">
        <v>72</v>
      </c>
      <c r="K197">
        <v>16</v>
      </c>
      <c r="L197" s="63">
        <v>0.13150684931506848</v>
      </c>
      <c r="M197">
        <v>52</v>
      </c>
    </row>
    <row r="198" spans="2:13" x14ac:dyDescent="0.25">
      <c r="B198" s="33">
        <v>1</v>
      </c>
      <c r="C198" t="s">
        <v>231</v>
      </c>
      <c r="D198" t="s">
        <v>189</v>
      </c>
      <c r="E198">
        <v>17</v>
      </c>
      <c r="F198" s="2">
        <v>9.0410958904109606E-2</v>
      </c>
      <c r="H198" s="33">
        <v>1</v>
      </c>
      <c r="I198" t="s">
        <v>231</v>
      </c>
      <c r="J198" t="s">
        <v>189</v>
      </c>
      <c r="K198">
        <v>17</v>
      </c>
      <c r="L198" s="63">
        <v>0.18356164383561643</v>
      </c>
      <c r="M198">
        <v>74</v>
      </c>
    </row>
    <row r="199" spans="2:13" x14ac:dyDescent="0.25">
      <c r="B199" s="33">
        <v>1</v>
      </c>
      <c r="C199" t="s">
        <v>57</v>
      </c>
      <c r="D199" t="s">
        <v>67</v>
      </c>
      <c r="E199">
        <v>17</v>
      </c>
      <c r="F199" s="2">
        <v>8.4931506849315094E-2</v>
      </c>
      <c r="H199" s="33">
        <v>1</v>
      </c>
      <c r="I199" t="s">
        <v>57</v>
      </c>
      <c r="J199" t="s">
        <v>67</v>
      </c>
      <c r="K199">
        <v>17</v>
      </c>
      <c r="L199" s="63">
        <v>0.18082191780821918</v>
      </c>
      <c r="M199">
        <v>79</v>
      </c>
    </row>
    <row r="200" spans="2:13" x14ac:dyDescent="0.25">
      <c r="B200" s="33">
        <v>1</v>
      </c>
      <c r="C200" t="s">
        <v>2</v>
      </c>
      <c r="D200" t="s">
        <v>316</v>
      </c>
      <c r="E200">
        <v>17</v>
      </c>
      <c r="F200" s="2">
        <v>0.27397260273972601</v>
      </c>
      <c r="H200" s="33">
        <v>1</v>
      </c>
      <c r="I200" t="s">
        <v>2</v>
      </c>
      <c r="J200" t="s">
        <v>316</v>
      </c>
      <c r="K200">
        <v>17</v>
      </c>
      <c r="L200" s="63">
        <v>0.22465753424657534</v>
      </c>
      <c r="M200">
        <v>100</v>
      </c>
    </row>
    <row r="201" spans="2:13" x14ac:dyDescent="0.25">
      <c r="B201" s="33">
        <v>1</v>
      </c>
      <c r="C201" t="s">
        <v>307</v>
      </c>
      <c r="D201" t="s">
        <v>393</v>
      </c>
      <c r="E201">
        <v>17</v>
      </c>
      <c r="F201" s="2">
        <v>0.17534246575342499</v>
      </c>
      <c r="H201" s="33">
        <v>1</v>
      </c>
      <c r="I201" t="s">
        <v>307</v>
      </c>
      <c r="J201" t="s">
        <v>393</v>
      </c>
      <c r="K201">
        <v>17</v>
      </c>
      <c r="L201" s="63">
        <v>0.16164383561643836</v>
      </c>
      <c r="M201">
        <v>64</v>
      </c>
    </row>
    <row r="202" spans="2:13" x14ac:dyDescent="0.25">
      <c r="B202" s="33">
        <v>1</v>
      </c>
      <c r="C202" t="s">
        <v>307</v>
      </c>
      <c r="D202" t="s">
        <v>312</v>
      </c>
      <c r="E202">
        <v>18</v>
      </c>
      <c r="F202" s="2">
        <v>0.117808219178082</v>
      </c>
      <c r="H202" s="33">
        <v>1</v>
      </c>
      <c r="I202" t="s">
        <v>307</v>
      </c>
      <c r="J202" t="s">
        <v>312</v>
      </c>
      <c r="K202">
        <v>18</v>
      </c>
      <c r="L202" s="63">
        <v>0.10684931506849316</v>
      </c>
      <c r="M202">
        <v>43</v>
      </c>
    </row>
    <row r="203" spans="2:13" x14ac:dyDescent="0.25">
      <c r="B203" s="33">
        <v>1</v>
      </c>
      <c r="C203" t="s">
        <v>2</v>
      </c>
      <c r="D203" t="s">
        <v>36</v>
      </c>
      <c r="E203">
        <v>18</v>
      </c>
      <c r="F203" s="2">
        <v>0.12876712328767101</v>
      </c>
      <c r="H203" s="33">
        <v>1</v>
      </c>
      <c r="I203" t="s">
        <v>2</v>
      </c>
      <c r="J203" t="s">
        <v>36</v>
      </c>
      <c r="K203">
        <v>18</v>
      </c>
      <c r="L203" s="63">
        <v>0.13424657534246576</v>
      </c>
      <c r="M203">
        <v>58</v>
      </c>
    </row>
    <row r="204" spans="2:13" x14ac:dyDescent="0.25">
      <c r="B204" s="33">
        <v>1</v>
      </c>
      <c r="C204" t="s">
        <v>0</v>
      </c>
      <c r="D204" t="s">
        <v>56</v>
      </c>
      <c r="E204">
        <v>19</v>
      </c>
      <c r="F204" s="2">
        <v>0.10958904109589</v>
      </c>
      <c r="H204" s="33">
        <v>1</v>
      </c>
      <c r="I204" t="s">
        <v>0</v>
      </c>
      <c r="J204" t="s">
        <v>56</v>
      </c>
      <c r="K204">
        <v>19</v>
      </c>
      <c r="L204" s="63">
        <v>0.21369863013698631</v>
      </c>
      <c r="M204">
        <v>94</v>
      </c>
    </row>
    <row r="205" spans="2:13" x14ac:dyDescent="0.25">
      <c r="B205" s="33">
        <v>1</v>
      </c>
      <c r="C205" t="s">
        <v>231</v>
      </c>
      <c r="D205" t="s">
        <v>189</v>
      </c>
      <c r="E205">
        <v>19</v>
      </c>
      <c r="F205" s="2">
        <v>7.9452054794520596E-2</v>
      </c>
      <c r="H205" s="33">
        <v>1</v>
      </c>
      <c r="I205" t="s">
        <v>231</v>
      </c>
      <c r="J205" t="s">
        <v>189</v>
      </c>
      <c r="K205">
        <v>19</v>
      </c>
      <c r="L205" s="63">
        <v>0.13424657534246576</v>
      </c>
      <c r="M205">
        <v>61</v>
      </c>
    </row>
    <row r="206" spans="2:13" x14ac:dyDescent="0.25">
      <c r="B206" s="33">
        <v>1</v>
      </c>
      <c r="C206" t="s">
        <v>2</v>
      </c>
      <c r="D206" t="s">
        <v>19</v>
      </c>
      <c r="E206">
        <v>19</v>
      </c>
      <c r="F206" s="2">
        <v>0.13424657534246601</v>
      </c>
      <c r="H206" s="33">
        <v>1</v>
      </c>
      <c r="I206" t="s">
        <v>2</v>
      </c>
      <c r="J206" t="s">
        <v>19</v>
      </c>
      <c r="K206">
        <v>19</v>
      </c>
      <c r="L206" s="63">
        <v>0.2</v>
      </c>
      <c r="M206">
        <v>88</v>
      </c>
    </row>
    <row r="207" spans="2:13" x14ac:dyDescent="0.25">
      <c r="B207" s="33">
        <v>1</v>
      </c>
      <c r="C207" t="s">
        <v>292</v>
      </c>
      <c r="D207" t="s">
        <v>321</v>
      </c>
      <c r="E207">
        <v>19</v>
      </c>
      <c r="F207" s="2">
        <v>6.3013698630137005E-2</v>
      </c>
      <c r="H207" s="33">
        <v>1</v>
      </c>
      <c r="I207" t="s">
        <v>292</v>
      </c>
      <c r="J207" t="s">
        <v>321</v>
      </c>
      <c r="K207">
        <v>19</v>
      </c>
      <c r="L207" s="63">
        <v>4.6575342465753428E-2</v>
      </c>
      <c r="M207">
        <v>23</v>
      </c>
    </row>
    <row r="208" spans="2:13" x14ac:dyDescent="0.25">
      <c r="B208" s="33">
        <v>1</v>
      </c>
      <c r="C208" t="s">
        <v>0</v>
      </c>
      <c r="D208" t="s">
        <v>71</v>
      </c>
      <c r="E208">
        <v>20</v>
      </c>
      <c r="F208" s="2">
        <v>4.3835616438356199E-2</v>
      </c>
      <c r="H208" s="33">
        <v>1</v>
      </c>
      <c r="I208" t="s">
        <v>0</v>
      </c>
      <c r="J208" t="s">
        <v>71</v>
      </c>
      <c r="K208">
        <v>20</v>
      </c>
      <c r="L208" s="63">
        <v>9.0410958904109592E-2</v>
      </c>
      <c r="M208">
        <v>38</v>
      </c>
    </row>
    <row r="209" spans="2:13" x14ac:dyDescent="0.25">
      <c r="B209" s="33">
        <v>1</v>
      </c>
      <c r="C209" t="s">
        <v>231</v>
      </c>
      <c r="D209" t="s">
        <v>186</v>
      </c>
      <c r="E209">
        <v>20</v>
      </c>
      <c r="F209" s="2">
        <v>3.0136986301369899E-2</v>
      </c>
      <c r="H209" s="33">
        <v>1</v>
      </c>
      <c r="I209" t="s">
        <v>231</v>
      </c>
      <c r="J209" t="s">
        <v>186</v>
      </c>
      <c r="K209">
        <v>20</v>
      </c>
      <c r="L209" s="63">
        <v>5.4794520547945202E-2</v>
      </c>
      <c r="M209">
        <v>21</v>
      </c>
    </row>
    <row r="210" spans="2:13" x14ac:dyDescent="0.25">
      <c r="B210" s="33">
        <v>1</v>
      </c>
      <c r="C210" t="s">
        <v>0</v>
      </c>
      <c r="D210" t="s">
        <v>73</v>
      </c>
      <c r="E210">
        <v>20</v>
      </c>
      <c r="F210" s="2">
        <v>3.8356164383561597E-2</v>
      </c>
      <c r="H210" s="33">
        <v>1</v>
      </c>
      <c r="I210" t="s">
        <v>0</v>
      </c>
      <c r="J210" t="s">
        <v>73</v>
      </c>
      <c r="K210">
        <v>20</v>
      </c>
      <c r="L210" s="63">
        <v>7.1232876712328766E-2</v>
      </c>
      <c r="M210">
        <v>27</v>
      </c>
    </row>
    <row r="211" spans="2:13" x14ac:dyDescent="0.25">
      <c r="B211" s="33">
        <v>1</v>
      </c>
      <c r="C211" t="s">
        <v>0</v>
      </c>
      <c r="D211" t="s">
        <v>73</v>
      </c>
      <c r="E211">
        <v>21</v>
      </c>
      <c r="F211" s="2">
        <v>3.5616438356164397E-2</v>
      </c>
      <c r="H211" s="33">
        <v>1</v>
      </c>
      <c r="I211" t="s">
        <v>0</v>
      </c>
      <c r="J211" t="s">
        <v>73</v>
      </c>
      <c r="K211">
        <v>21</v>
      </c>
      <c r="L211" s="63">
        <v>5.4794520547945202E-2</v>
      </c>
      <c r="M211">
        <v>25</v>
      </c>
    </row>
    <row r="212" spans="2:13" x14ac:dyDescent="0.25">
      <c r="B212" s="33">
        <v>1</v>
      </c>
      <c r="C212" t="s">
        <v>231</v>
      </c>
      <c r="D212" t="s">
        <v>186</v>
      </c>
      <c r="E212">
        <v>21</v>
      </c>
      <c r="F212" s="2">
        <v>2.46575342465753E-2</v>
      </c>
      <c r="H212" s="33">
        <v>1</v>
      </c>
      <c r="I212" t="s">
        <v>231</v>
      </c>
      <c r="J212" t="s">
        <v>186</v>
      </c>
      <c r="K212">
        <v>21</v>
      </c>
      <c r="L212" s="63">
        <v>6.3013698630136991E-2</v>
      </c>
      <c r="M212">
        <v>25</v>
      </c>
    </row>
    <row r="213" spans="2:13" x14ac:dyDescent="0.25">
      <c r="B213" s="33">
        <v>1</v>
      </c>
      <c r="C213" t="s">
        <v>57</v>
      </c>
      <c r="D213" t="s">
        <v>58</v>
      </c>
      <c r="E213">
        <v>21</v>
      </c>
      <c r="F213" s="2">
        <v>6.3013698630137005E-2</v>
      </c>
      <c r="H213" s="33">
        <v>1</v>
      </c>
      <c r="I213" t="s">
        <v>57</v>
      </c>
      <c r="J213" t="s">
        <v>58</v>
      </c>
      <c r="K213">
        <v>21</v>
      </c>
      <c r="L213" s="63">
        <v>9.3150684931506855E-2</v>
      </c>
      <c r="M213">
        <v>43</v>
      </c>
    </row>
    <row r="214" spans="2:13" x14ac:dyDescent="0.25">
      <c r="B214" s="33">
        <v>1</v>
      </c>
      <c r="C214" t="s">
        <v>0</v>
      </c>
      <c r="D214" t="s">
        <v>71</v>
      </c>
      <c r="E214">
        <v>21</v>
      </c>
      <c r="F214" s="2">
        <v>1.6438356164383602E-2</v>
      </c>
      <c r="H214" s="33">
        <v>1</v>
      </c>
      <c r="I214" t="s">
        <v>0</v>
      </c>
      <c r="J214" t="s">
        <v>71</v>
      </c>
      <c r="K214">
        <v>21</v>
      </c>
      <c r="L214" s="63">
        <v>4.9315068493150684E-2</v>
      </c>
      <c r="M214">
        <v>18</v>
      </c>
    </row>
    <row r="215" spans="2:13" x14ac:dyDescent="0.25">
      <c r="B215" s="33">
        <v>1</v>
      </c>
      <c r="C215" t="s">
        <v>2</v>
      </c>
      <c r="D215" t="s">
        <v>19</v>
      </c>
      <c r="E215">
        <v>21</v>
      </c>
      <c r="F215" s="2">
        <v>4.9315068493150697E-2</v>
      </c>
      <c r="H215" s="33">
        <v>1</v>
      </c>
      <c r="I215" t="s">
        <v>2</v>
      </c>
      <c r="J215" t="s">
        <v>19</v>
      </c>
      <c r="K215">
        <v>21</v>
      </c>
      <c r="L215" s="63">
        <v>6.3013698630136991E-2</v>
      </c>
      <c r="M215">
        <v>32</v>
      </c>
    </row>
    <row r="216" spans="2:13" x14ac:dyDescent="0.25">
      <c r="B216" s="33">
        <v>1</v>
      </c>
      <c r="C216" t="s">
        <v>231</v>
      </c>
      <c r="D216" t="s">
        <v>185</v>
      </c>
      <c r="E216">
        <v>21</v>
      </c>
      <c r="F216" s="2">
        <v>8.4931506849315094E-2</v>
      </c>
      <c r="H216" s="33">
        <v>1</v>
      </c>
      <c r="I216" t="s">
        <v>231</v>
      </c>
      <c r="J216" t="s">
        <v>185</v>
      </c>
      <c r="K216">
        <v>21</v>
      </c>
      <c r="L216" s="63">
        <v>0.19726027397260273</v>
      </c>
      <c r="M216">
        <v>84</v>
      </c>
    </row>
    <row r="217" spans="2:13" x14ac:dyDescent="0.25">
      <c r="B217" s="33">
        <v>1</v>
      </c>
      <c r="C217" t="s">
        <v>2</v>
      </c>
      <c r="D217" t="s">
        <v>316</v>
      </c>
      <c r="E217">
        <v>21</v>
      </c>
      <c r="F217" s="2">
        <v>9.0410958904109606E-2</v>
      </c>
      <c r="H217" s="33">
        <v>1</v>
      </c>
      <c r="I217" t="s">
        <v>2</v>
      </c>
      <c r="J217" t="s">
        <v>316</v>
      </c>
      <c r="K217">
        <v>21</v>
      </c>
      <c r="L217" s="63">
        <v>7.1232876712328766E-2</v>
      </c>
      <c r="M217">
        <v>33</v>
      </c>
    </row>
    <row r="218" spans="2:13" x14ac:dyDescent="0.25">
      <c r="B218" s="33">
        <v>1</v>
      </c>
      <c r="C218" t="s">
        <v>59</v>
      </c>
      <c r="D218" t="s">
        <v>63</v>
      </c>
      <c r="E218">
        <v>22</v>
      </c>
      <c r="F218" s="2">
        <v>1.3698630136986301E-2</v>
      </c>
      <c r="H218" s="33">
        <v>1</v>
      </c>
      <c r="I218" t="s">
        <v>59</v>
      </c>
      <c r="J218" t="s">
        <v>63</v>
      </c>
      <c r="K218">
        <v>22</v>
      </c>
      <c r="L218" s="63">
        <v>6.3013698630136991E-2</v>
      </c>
      <c r="M218">
        <v>27</v>
      </c>
    </row>
    <row r="219" spans="2:13" x14ac:dyDescent="0.25">
      <c r="B219" s="33">
        <v>1</v>
      </c>
      <c r="C219" t="s">
        <v>231</v>
      </c>
      <c r="D219" t="s">
        <v>189</v>
      </c>
      <c r="E219">
        <v>23</v>
      </c>
      <c r="F219" s="2">
        <v>2.19178082191781E-2</v>
      </c>
      <c r="H219" s="33">
        <v>1</v>
      </c>
      <c r="I219" t="s">
        <v>231</v>
      </c>
      <c r="J219" t="s">
        <v>189</v>
      </c>
      <c r="K219">
        <v>23</v>
      </c>
      <c r="L219" s="63">
        <v>4.9315068493150684E-2</v>
      </c>
      <c r="M219">
        <v>18</v>
      </c>
    </row>
    <row r="220" spans="2:13" x14ac:dyDescent="0.25">
      <c r="B220" s="33">
        <v>1</v>
      </c>
      <c r="C220" t="s">
        <v>57</v>
      </c>
      <c r="D220" t="s">
        <v>75</v>
      </c>
      <c r="E220">
        <v>23</v>
      </c>
      <c r="F220" s="2">
        <v>5.4794520547945197E-3</v>
      </c>
      <c r="H220" s="33">
        <v>1</v>
      </c>
      <c r="I220" t="s">
        <v>57</v>
      </c>
      <c r="J220" t="s">
        <v>75</v>
      </c>
      <c r="K220">
        <v>23</v>
      </c>
      <c r="L220" s="63">
        <v>1.643835616438356E-2</v>
      </c>
      <c r="M220">
        <v>6</v>
      </c>
    </row>
    <row r="221" spans="2:13" x14ac:dyDescent="0.25">
      <c r="B221" s="33">
        <v>1</v>
      </c>
      <c r="C221" t="s">
        <v>0</v>
      </c>
      <c r="D221" t="s">
        <v>73</v>
      </c>
      <c r="E221">
        <v>23</v>
      </c>
      <c r="F221" s="2">
        <v>1.6438356164383602E-2</v>
      </c>
      <c r="H221" s="33">
        <v>1</v>
      </c>
      <c r="I221" t="s">
        <v>0</v>
      </c>
      <c r="J221" t="s">
        <v>73</v>
      </c>
      <c r="K221">
        <v>23</v>
      </c>
      <c r="L221" s="63">
        <v>2.1917808219178082E-2</v>
      </c>
      <c r="M221">
        <v>8</v>
      </c>
    </row>
    <row r="222" spans="2:13" x14ac:dyDescent="0.25">
      <c r="B222" s="33">
        <v>1</v>
      </c>
      <c r="C222" t="s">
        <v>276</v>
      </c>
      <c r="D222" t="s">
        <v>286</v>
      </c>
      <c r="E222">
        <v>23</v>
      </c>
      <c r="F222" s="2">
        <v>5.4794520547945197E-3</v>
      </c>
      <c r="H222" s="33">
        <v>1</v>
      </c>
      <c r="I222" t="s">
        <v>276</v>
      </c>
      <c r="J222" t="s">
        <v>286</v>
      </c>
      <c r="K222">
        <v>23</v>
      </c>
      <c r="L222" s="63">
        <v>5.4794520547945206E-3</v>
      </c>
      <c r="M222">
        <v>2</v>
      </c>
    </row>
    <row r="223" spans="2:13" x14ac:dyDescent="0.25">
      <c r="B223" s="33">
        <v>1</v>
      </c>
      <c r="C223" t="s">
        <v>59</v>
      </c>
      <c r="D223" t="s">
        <v>68</v>
      </c>
      <c r="E223">
        <v>0</v>
      </c>
      <c r="F223" s="2">
        <v>2.46575342465753E-2</v>
      </c>
      <c r="H223" s="33">
        <v>1</v>
      </c>
      <c r="I223" t="s">
        <v>59</v>
      </c>
      <c r="J223" t="s">
        <v>68</v>
      </c>
      <c r="K223">
        <v>0</v>
      </c>
      <c r="L223" s="63">
        <v>5.4794520547945202E-2</v>
      </c>
      <c r="M223">
        <v>21</v>
      </c>
    </row>
    <row r="224" spans="2:13" x14ac:dyDescent="0.25">
      <c r="B224" s="33">
        <v>1</v>
      </c>
      <c r="C224" t="s">
        <v>2</v>
      </c>
      <c r="D224" t="s">
        <v>28</v>
      </c>
      <c r="E224">
        <v>0</v>
      </c>
      <c r="F224" s="2">
        <v>3.5616438356164397E-2</v>
      </c>
      <c r="H224" s="33">
        <v>1</v>
      </c>
      <c r="I224" t="s">
        <v>2</v>
      </c>
      <c r="J224" t="s">
        <v>28</v>
      </c>
      <c r="K224">
        <v>0</v>
      </c>
      <c r="L224" s="63">
        <v>4.1095890410958902E-2</v>
      </c>
      <c r="M224">
        <v>16</v>
      </c>
    </row>
    <row r="225" spans="2:13" x14ac:dyDescent="0.25">
      <c r="B225" s="33">
        <v>1</v>
      </c>
      <c r="C225" t="s">
        <v>57</v>
      </c>
      <c r="D225" t="s">
        <v>58</v>
      </c>
      <c r="E225">
        <v>1</v>
      </c>
      <c r="F225" s="2">
        <v>3.8356164383561597E-2</v>
      </c>
      <c r="H225" s="33">
        <v>1</v>
      </c>
      <c r="I225" t="s">
        <v>57</v>
      </c>
      <c r="J225" t="s">
        <v>58</v>
      </c>
      <c r="K225">
        <v>1</v>
      </c>
      <c r="L225" s="63">
        <v>9.3150684931506855E-2</v>
      </c>
      <c r="M225">
        <v>36</v>
      </c>
    </row>
    <row r="226" spans="2:13" x14ac:dyDescent="0.25">
      <c r="B226" s="33">
        <v>1</v>
      </c>
      <c r="C226" t="s">
        <v>57</v>
      </c>
      <c r="D226" t="s">
        <v>58</v>
      </c>
      <c r="E226">
        <v>2</v>
      </c>
      <c r="F226" s="2">
        <v>1.3698630136986301E-2</v>
      </c>
      <c r="H226" s="33">
        <v>1</v>
      </c>
      <c r="I226" t="s">
        <v>57</v>
      </c>
      <c r="J226" t="s">
        <v>58</v>
      </c>
      <c r="K226">
        <v>2</v>
      </c>
      <c r="L226" s="63">
        <v>3.287671232876712E-2</v>
      </c>
      <c r="M226">
        <v>12</v>
      </c>
    </row>
    <row r="227" spans="2:13" x14ac:dyDescent="0.25">
      <c r="B227" s="33">
        <v>1</v>
      </c>
      <c r="C227" t="s">
        <v>231</v>
      </c>
      <c r="D227" t="s">
        <v>183</v>
      </c>
      <c r="E227">
        <v>5</v>
      </c>
      <c r="F227" s="2">
        <v>1.0958904109589E-2</v>
      </c>
      <c r="H227" s="33">
        <v>1</v>
      </c>
      <c r="I227" t="s">
        <v>231</v>
      </c>
      <c r="J227" t="s">
        <v>183</v>
      </c>
      <c r="K227">
        <v>5</v>
      </c>
      <c r="L227" s="63">
        <v>1.9178082191780823E-2</v>
      </c>
      <c r="M227">
        <v>7</v>
      </c>
    </row>
    <row r="228" spans="2:13" x14ac:dyDescent="0.25">
      <c r="B228" s="33">
        <v>1</v>
      </c>
      <c r="C228" t="s">
        <v>231</v>
      </c>
      <c r="D228" t="s">
        <v>185</v>
      </c>
      <c r="E228">
        <v>5</v>
      </c>
      <c r="F228" s="2">
        <v>3.0136986301369899E-2</v>
      </c>
      <c r="H228" s="33">
        <v>1</v>
      </c>
      <c r="I228" t="s">
        <v>231</v>
      </c>
      <c r="J228" t="s">
        <v>185</v>
      </c>
      <c r="K228">
        <v>5</v>
      </c>
      <c r="L228" s="63">
        <v>6.0273972602739728E-2</v>
      </c>
      <c r="M228">
        <v>23</v>
      </c>
    </row>
    <row r="229" spans="2:13" x14ac:dyDescent="0.25">
      <c r="B229" s="33">
        <v>1</v>
      </c>
      <c r="C229" t="s">
        <v>231</v>
      </c>
      <c r="D229" t="s">
        <v>189</v>
      </c>
      <c r="E229">
        <v>7</v>
      </c>
      <c r="F229" s="2">
        <v>3.0136986301369899E-2</v>
      </c>
      <c r="H229" s="33">
        <v>1</v>
      </c>
      <c r="I229" t="s">
        <v>231</v>
      </c>
      <c r="J229" t="s">
        <v>189</v>
      </c>
      <c r="K229">
        <v>7</v>
      </c>
      <c r="L229" s="63">
        <v>7.1232876712328766E-2</v>
      </c>
      <c r="M229">
        <v>29</v>
      </c>
    </row>
    <row r="230" spans="2:13" x14ac:dyDescent="0.25">
      <c r="B230" s="33">
        <v>1</v>
      </c>
      <c r="C230" t="s">
        <v>0</v>
      </c>
      <c r="D230" t="s">
        <v>56</v>
      </c>
      <c r="E230">
        <v>7</v>
      </c>
      <c r="F230" s="2">
        <v>7.6712328767123306E-2</v>
      </c>
      <c r="H230" s="33">
        <v>1</v>
      </c>
      <c r="I230" t="s">
        <v>0</v>
      </c>
      <c r="J230" t="s">
        <v>56</v>
      </c>
      <c r="K230">
        <v>7</v>
      </c>
      <c r="L230" s="63">
        <v>0.16438356164383561</v>
      </c>
      <c r="M230">
        <v>67</v>
      </c>
    </row>
    <row r="231" spans="2:13" x14ac:dyDescent="0.25">
      <c r="B231" s="33">
        <v>1</v>
      </c>
      <c r="C231" t="s">
        <v>0</v>
      </c>
      <c r="D231" t="s">
        <v>72</v>
      </c>
      <c r="E231">
        <v>8</v>
      </c>
      <c r="F231" s="2">
        <v>3.2876712328767099E-2</v>
      </c>
      <c r="H231" s="33">
        <v>1</v>
      </c>
      <c r="I231" t="s">
        <v>0</v>
      </c>
      <c r="J231" t="s">
        <v>72</v>
      </c>
      <c r="K231">
        <v>8</v>
      </c>
      <c r="L231" s="63">
        <v>0.10136986301369863</v>
      </c>
      <c r="M231">
        <v>44</v>
      </c>
    </row>
    <row r="232" spans="2:13" x14ac:dyDescent="0.25">
      <c r="B232" s="33">
        <v>1</v>
      </c>
      <c r="C232" t="s">
        <v>57</v>
      </c>
      <c r="D232" t="s">
        <v>67</v>
      </c>
      <c r="E232">
        <v>8</v>
      </c>
      <c r="F232" s="2">
        <v>5.4794520547945202E-2</v>
      </c>
      <c r="H232" s="33">
        <v>1</v>
      </c>
      <c r="I232" t="s">
        <v>57</v>
      </c>
      <c r="J232" t="s">
        <v>67</v>
      </c>
      <c r="K232">
        <v>8</v>
      </c>
      <c r="L232" s="63">
        <v>0.12876712328767123</v>
      </c>
      <c r="M232">
        <v>54</v>
      </c>
    </row>
    <row r="233" spans="2:13" x14ac:dyDescent="0.25">
      <c r="B233" s="33">
        <v>1</v>
      </c>
      <c r="C233" t="s">
        <v>59</v>
      </c>
      <c r="D233" t="s">
        <v>63</v>
      </c>
      <c r="E233">
        <v>9</v>
      </c>
      <c r="F233" s="2">
        <v>6.3013698630137005E-2</v>
      </c>
      <c r="H233" s="33">
        <v>1</v>
      </c>
      <c r="I233" t="s">
        <v>59</v>
      </c>
      <c r="J233" t="s">
        <v>63</v>
      </c>
      <c r="K233">
        <v>9</v>
      </c>
      <c r="L233" s="63">
        <v>0.24109589041095891</v>
      </c>
      <c r="M233">
        <v>107</v>
      </c>
    </row>
    <row r="234" spans="2:13" x14ac:dyDescent="0.25">
      <c r="B234" s="33">
        <v>1</v>
      </c>
      <c r="C234" t="s">
        <v>57</v>
      </c>
      <c r="D234" t="s">
        <v>77</v>
      </c>
      <c r="E234">
        <v>9</v>
      </c>
      <c r="F234" s="2">
        <v>1.0958904109589E-2</v>
      </c>
      <c r="H234" s="33">
        <v>1</v>
      </c>
      <c r="I234" t="s">
        <v>57</v>
      </c>
      <c r="J234" t="s">
        <v>77</v>
      </c>
      <c r="K234">
        <v>9</v>
      </c>
      <c r="L234" s="63">
        <v>1.9178082191780823E-2</v>
      </c>
      <c r="M234">
        <v>7</v>
      </c>
    </row>
    <row r="235" spans="2:13" x14ac:dyDescent="0.25">
      <c r="B235" s="33">
        <v>1</v>
      </c>
      <c r="C235" t="s">
        <v>2</v>
      </c>
      <c r="D235" t="s">
        <v>17</v>
      </c>
      <c r="E235">
        <v>10</v>
      </c>
      <c r="F235" s="2">
        <v>0.12876712328767101</v>
      </c>
      <c r="H235" s="33">
        <v>1</v>
      </c>
      <c r="I235" t="s">
        <v>2</v>
      </c>
      <c r="J235" t="s">
        <v>17</v>
      </c>
      <c r="K235">
        <v>10</v>
      </c>
      <c r="L235" s="63">
        <v>0.16712328767123288</v>
      </c>
      <c r="M235">
        <v>82</v>
      </c>
    </row>
    <row r="236" spans="2:13" x14ac:dyDescent="0.25">
      <c r="B236" s="33">
        <v>1</v>
      </c>
      <c r="C236" t="s">
        <v>2</v>
      </c>
      <c r="D236" t="s">
        <v>26</v>
      </c>
      <c r="E236">
        <v>10</v>
      </c>
      <c r="F236" s="2">
        <v>5.75342465753425E-2</v>
      </c>
      <c r="H236" s="33">
        <v>1</v>
      </c>
      <c r="I236" t="s">
        <v>2</v>
      </c>
      <c r="J236" t="s">
        <v>26</v>
      </c>
      <c r="K236">
        <v>10</v>
      </c>
      <c r="L236" s="63">
        <v>0.11780821917808219</v>
      </c>
      <c r="M236">
        <v>48</v>
      </c>
    </row>
    <row r="237" spans="2:13" x14ac:dyDescent="0.25">
      <c r="B237" s="33">
        <v>1</v>
      </c>
      <c r="C237" t="s">
        <v>57</v>
      </c>
      <c r="D237" t="s">
        <v>74</v>
      </c>
      <c r="E237">
        <v>10</v>
      </c>
      <c r="F237" s="2">
        <v>4.9315068493150697E-2</v>
      </c>
      <c r="H237" s="33">
        <v>1</v>
      </c>
      <c r="I237" t="s">
        <v>57</v>
      </c>
      <c r="J237" t="s">
        <v>74</v>
      </c>
      <c r="K237">
        <v>10</v>
      </c>
      <c r="L237" s="63">
        <v>0.10136986301369863</v>
      </c>
      <c r="M237">
        <v>40</v>
      </c>
    </row>
    <row r="238" spans="2:13" x14ac:dyDescent="0.25">
      <c r="B238" s="33">
        <v>1</v>
      </c>
      <c r="C238" t="s">
        <v>57</v>
      </c>
      <c r="D238" t="s">
        <v>75</v>
      </c>
      <c r="E238">
        <v>11</v>
      </c>
      <c r="F238" s="2">
        <v>3.0136986301369899E-2</v>
      </c>
      <c r="H238" s="33">
        <v>1</v>
      </c>
      <c r="I238" t="s">
        <v>57</v>
      </c>
      <c r="J238" t="s">
        <v>75</v>
      </c>
      <c r="K238">
        <v>11</v>
      </c>
      <c r="L238" s="63">
        <v>9.8630136986301367E-2</v>
      </c>
      <c r="M238">
        <v>38</v>
      </c>
    </row>
    <row r="239" spans="2:13" x14ac:dyDescent="0.25">
      <c r="B239" s="33">
        <v>1</v>
      </c>
      <c r="C239" t="s">
        <v>0</v>
      </c>
      <c r="D239" t="s">
        <v>70</v>
      </c>
      <c r="E239">
        <v>11</v>
      </c>
      <c r="F239" s="2">
        <v>5.4794520547945202E-2</v>
      </c>
      <c r="H239" s="33">
        <v>1</v>
      </c>
      <c r="I239" t="s">
        <v>0</v>
      </c>
      <c r="J239" t="s">
        <v>70</v>
      </c>
      <c r="K239">
        <v>11</v>
      </c>
      <c r="L239" s="63">
        <v>6.575342465753424E-2</v>
      </c>
      <c r="M239">
        <v>27</v>
      </c>
    </row>
    <row r="240" spans="2:13" x14ac:dyDescent="0.25">
      <c r="B240" s="33">
        <v>1</v>
      </c>
      <c r="C240" t="s">
        <v>231</v>
      </c>
      <c r="D240" t="s">
        <v>183</v>
      </c>
      <c r="E240">
        <v>11</v>
      </c>
      <c r="F240" s="2">
        <v>0.150684931506849</v>
      </c>
      <c r="H240" s="33">
        <v>1</v>
      </c>
      <c r="I240" t="s">
        <v>231</v>
      </c>
      <c r="J240" t="s">
        <v>183</v>
      </c>
      <c r="K240">
        <v>11</v>
      </c>
      <c r="L240" s="63">
        <v>0.24931506849315069</v>
      </c>
      <c r="M240">
        <v>110</v>
      </c>
    </row>
    <row r="241" spans="2:13" x14ac:dyDescent="0.25">
      <c r="B241" s="33">
        <v>1</v>
      </c>
      <c r="C241" t="s">
        <v>276</v>
      </c>
      <c r="D241" t="s">
        <v>290</v>
      </c>
      <c r="E241">
        <v>11</v>
      </c>
      <c r="F241" s="2">
        <v>3.5616438356164397E-2</v>
      </c>
      <c r="H241" s="33">
        <v>1</v>
      </c>
      <c r="I241" t="s">
        <v>276</v>
      </c>
      <c r="J241" t="s">
        <v>290</v>
      </c>
      <c r="K241">
        <v>11</v>
      </c>
      <c r="L241" s="63">
        <v>3.5616438356164383E-2</v>
      </c>
      <c r="M241">
        <v>13</v>
      </c>
    </row>
    <row r="242" spans="2:13" x14ac:dyDescent="0.25">
      <c r="B242" s="33">
        <v>1</v>
      </c>
      <c r="C242" t="s">
        <v>59</v>
      </c>
      <c r="D242" t="s">
        <v>63</v>
      </c>
      <c r="E242">
        <v>12</v>
      </c>
      <c r="F242" s="2">
        <v>6.3013698630137005E-2</v>
      </c>
      <c r="H242" s="33">
        <v>1</v>
      </c>
      <c r="I242" t="s">
        <v>59</v>
      </c>
      <c r="J242" t="s">
        <v>63</v>
      </c>
      <c r="K242">
        <v>12</v>
      </c>
      <c r="L242" s="63">
        <v>0.16164383561643836</v>
      </c>
      <c r="M242">
        <v>73</v>
      </c>
    </row>
    <row r="243" spans="2:13" x14ac:dyDescent="0.25">
      <c r="B243" s="33">
        <v>1</v>
      </c>
      <c r="C243" t="s">
        <v>307</v>
      </c>
      <c r="D243" t="s">
        <v>394</v>
      </c>
      <c r="E243">
        <v>12</v>
      </c>
      <c r="F243" s="2">
        <v>3.0136986301369899E-2</v>
      </c>
      <c r="H243" s="33">
        <v>1</v>
      </c>
      <c r="I243" t="s">
        <v>307</v>
      </c>
      <c r="J243" t="s">
        <v>314</v>
      </c>
      <c r="K243">
        <v>12</v>
      </c>
      <c r="L243" s="63">
        <v>3.0136986301369864E-2</v>
      </c>
      <c r="M243">
        <v>11</v>
      </c>
    </row>
    <row r="244" spans="2:13" x14ac:dyDescent="0.25">
      <c r="B244" s="33">
        <v>1</v>
      </c>
      <c r="C244" t="s">
        <v>57</v>
      </c>
      <c r="D244" t="s">
        <v>66</v>
      </c>
      <c r="E244">
        <v>12</v>
      </c>
      <c r="F244" s="2">
        <v>8.4931506849315094E-2</v>
      </c>
      <c r="H244" s="33">
        <v>1</v>
      </c>
      <c r="I244" t="s">
        <v>57</v>
      </c>
      <c r="J244" t="s">
        <v>66</v>
      </c>
      <c r="K244">
        <v>12</v>
      </c>
      <c r="L244" s="63">
        <v>0.10410958904109589</v>
      </c>
      <c r="M244">
        <v>51</v>
      </c>
    </row>
    <row r="245" spans="2:13" x14ac:dyDescent="0.25">
      <c r="B245" s="33">
        <v>1</v>
      </c>
      <c r="C245" t="s">
        <v>2</v>
      </c>
      <c r="D245" t="s">
        <v>38</v>
      </c>
      <c r="E245">
        <v>14</v>
      </c>
      <c r="F245" s="2">
        <v>5.4794520547945197E-3</v>
      </c>
      <c r="H245" s="33">
        <v>1</v>
      </c>
      <c r="I245" t="s">
        <v>2</v>
      </c>
      <c r="J245" t="s">
        <v>38</v>
      </c>
      <c r="K245">
        <v>14</v>
      </c>
      <c r="L245" s="63">
        <v>8.21917808219178E-3</v>
      </c>
      <c r="M245">
        <v>3</v>
      </c>
    </row>
    <row r="246" spans="2:13" x14ac:dyDescent="0.25">
      <c r="B246" s="33">
        <v>1</v>
      </c>
      <c r="C246" t="s">
        <v>2</v>
      </c>
      <c r="D246" t="s">
        <v>19</v>
      </c>
      <c r="E246">
        <v>14</v>
      </c>
      <c r="F246" s="2">
        <v>3.2876712328767099E-2</v>
      </c>
      <c r="H246" s="33">
        <v>1</v>
      </c>
      <c r="I246" t="s">
        <v>2</v>
      </c>
      <c r="J246" t="s">
        <v>19</v>
      </c>
      <c r="K246">
        <v>14</v>
      </c>
      <c r="L246" s="63">
        <v>7.3972602739726029E-2</v>
      </c>
      <c r="M246">
        <v>31</v>
      </c>
    </row>
    <row r="247" spans="2:13" x14ac:dyDescent="0.25">
      <c r="B247" s="33">
        <v>1</v>
      </c>
      <c r="C247" t="s">
        <v>0</v>
      </c>
      <c r="D247" t="s">
        <v>70</v>
      </c>
      <c r="E247">
        <v>14</v>
      </c>
      <c r="F247" s="2">
        <v>2.7397260273972601E-2</v>
      </c>
      <c r="H247" s="33">
        <v>1</v>
      </c>
      <c r="I247" t="s">
        <v>0</v>
      </c>
      <c r="J247" t="s">
        <v>70</v>
      </c>
      <c r="K247">
        <v>14</v>
      </c>
      <c r="L247" s="63">
        <v>9.3150684931506855E-2</v>
      </c>
      <c r="M247">
        <v>36</v>
      </c>
    </row>
    <row r="248" spans="2:13" x14ac:dyDescent="0.25">
      <c r="B248" s="33">
        <v>1</v>
      </c>
      <c r="C248" t="s">
        <v>2</v>
      </c>
      <c r="D248" t="s">
        <v>38</v>
      </c>
      <c r="E248">
        <v>15</v>
      </c>
      <c r="F248" s="2">
        <v>2.7397260273972599E-3</v>
      </c>
      <c r="H248" s="33">
        <v>1</v>
      </c>
      <c r="I248" t="s">
        <v>2</v>
      </c>
      <c r="J248" t="s">
        <v>38</v>
      </c>
      <c r="K248">
        <v>15</v>
      </c>
      <c r="L248" s="63">
        <v>1.0958904109589041E-2</v>
      </c>
      <c r="M248">
        <v>4</v>
      </c>
    </row>
    <row r="249" spans="2:13" x14ac:dyDescent="0.25">
      <c r="B249" s="33">
        <v>1</v>
      </c>
      <c r="C249" t="s">
        <v>2</v>
      </c>
      <c r="D249" t="s">
        <v>316</v>
      </c>
      <c r="E249">
        <v>15</v>
      </c>
      <c r="F249" s="2">
        <v>0.147945205479452</v>
      </c>
      <c r="H249" s="33">
        <v>1</v>
      </c>
      <c r="I249" t="s">
        <v>2</v>
      </c>
      <c r="J249" t="s">
        <v>316</v>
      </c>
      <c r="K249">
        <v>15</v>
      </c>
      <c r="L249" s="63">
        <v>0.12328767123287671</v>
      </c>
      <c r="M249">
        <v>54</v>
      </c>
    </row>
    <row r="250" spans="2:13" x14ac:dyDescent="0.25">
      <c r="B250" s="33">
        <v>1</v>
      </c>
      <c r="C250" t="s">
        <v>0</v>
      </c>
      <c r="D250" t="s">
        <v>61</v>
      </c>
      <c r="E250">
        <v>15</v>
      </c>
      <c r="F250" s="2">
        <v>0.104109589041096</v>
      </c>
      <c r="H250" s="33">
        <v>1</v>
      </c>
      <c r="I250" t="s">
        <v>0</v>
      </c>
      <c r="J250" t="s">
        <v>61</v>
      </c>
      <c r="K250">
        <v>15</v>
      </c>
      <c r="L250" s="63">
        <v>0.16986301369863013</v>
      </c>
      <c r="M250">
        <v>75</v>
      </c>
    </row>
    <row r="251" spans="2:13" x14ac:dyDescent="0.25">
      <c r="B251" s="33">
        <v>1</v>
      </c>
      <c r="C251" t="s">
        <v>0</v>
      </c>
      <c r="D251" t="s">
        <v>73</v>
      </c>
      <c r="E251">
        <v>16</v>
      </c>
      <c r="F251" s="2">
        <v>5.2054794520547898E-2</v>
      </c>
      <c r="H251" s="33">
        <v>1</v>
      </c>
      <c r="I251" t="s">
        <v>0</v>
      </c>
      <c r="J251" t="s">
        <v>73</v>
      </c>
      <c r="K251">
        <v>16</v>
      </c>
      <c r="L251" s="63">
        <v>8.7671232876712329E-2</v>
      </c>
      <c r="M251">
        <v>37</v>
      </c>
    </row>
    <row r="252" spans="2:13" x14ac:dyDescent="0.25">
      <c r="B252" s="33">
        <v>1</v>
      </c>
      <c r="C252" t="s">
        <v>59</v>
      </c>
      <c r="D252" t="s">
        <v>63</v>
      </c>
      <c r="E252">
        <v>16</v>
      </c>
      <c r="F252" s="2">
        <v>8.2191780821917804E-2</v>
      </c>
      <c r="H252" s="33">
        <v>1</v>
      </c>
      <c r="I252" t="s">
        <v>59</v>
      </c>
      <c r="J252" t="s">
        <v>63</v>
      </c>
      <c r="K252">
        <v>16</v>
      </c>
      <c r="L252" s="63">
        <v>9.5890410958904104E-2</v>
      </c>
      <c r="M252">
        <v>39</v>
      </c>
    </row>
    <row r="253" spans="2:13" x14ac:dyDescent="0.25">
      <c r="B253" s="33">
        <v>1</v>
      </c>
      <c r="C253" t="s">
        <v>231</v>
      </c>
      <c r="D253" t="s">
        <v>185</v>
      </c>
      <c r="E253">
        <v>16</v>
      </c>
      <c r="F253" s="2">
        <v>0.20821917808219201</v>
      </c>
      <c r="H253" s="33">
        <v>1</v>
      </c>
      <c r="I253" t="s">
        <v>231</v>
      </c>
      <c r="J253" t="s">
        <v>185</v>
      </c>
      <c r="K253">
        <v>16</v>
      </c>
      <c r="L253" s="63">
        <v>0.35890410958904112</v>
      </c>
      <c r="M253">
        <v>179</v>
      </c>
    </row>
    <row r="254" spans="2:13" x14ac:dyDescent="0.25">
      <c r="B254" s="33">
        <v>1</v>
      </c>
      <c r="C254" t="s">
        <v>2</v>
      </c>
      <c r="D254" t="s">
        <v>37</v>
      </c>
      <c r="E254">
        <v>17</v>
      </c>
      <c r="F254" s="2">
        <v>5.2054794520547898E-2</v>
      </c>
      <c r="H254" s="33">
        <v>1</v>
      </c>
      <c r="I254" t="s">
        <v>2</v>
      </c>
      <c r="J254" t="s">
        <v>37</v>
      </c>
      <c r="K254">
        <v>17</v>
      </c>
      <c r="L254" s="63">
        <v>6.0273972602739728E-2</v>
      </c>
      <c r="M254">
        <v>25</v>
      </c>
    </row>
    <row r="255" spans="2:13" x14ac:dyDescent="0.25">
      <c r="B255" s="33">
        <v>1</v>
      </c>
      <c r="C255" t="s">
        <v>0</v>
      </c>
      <c r="D255" t="s">
        <v>62</v>
      </c>
      <c r="E255">
        <v>17</v>
      </c>
      <c r="F255" s="2">
        <v>0.12876712328767101</v>
      </c>
      <c r="H255" s="33">
        <v>1</v>
      </c>
      <c r="I255" t="s">
        <v>0</v>
      </c>
      <c r="J255" t="s">
        <v>62</v>
      </c>
      <c r="K255">
        <v>17</v>
      </c>
      <c r="L255" s="63">
        <v>0.14246575342465753</v>
      </c>
      <c r="M255">
        <v>60</v>
      </c>
    </row>
    <row r="256" spans="2:13" x14ac:dyDescent="0.25">
      <c r="B256" s="33">
        <v>1</v>
      </c>
      <c r="C256" t="s">
        <v>57</v>
      </c>
      <c r="D256" t="s">
        <v>74</v>
      </c>
      <c r="E256">
        <v>17</v>
      </c>
      <c r="F256" s="2">
        <v>4.1095890410958902E-2</v>
      </c>
      <c r="H256" s="33">
        <v>1</v>
      </c>
      <c r="I256" t="s">
        <v>57</v>
      </c>
      <c r="J256" t="s">
        <v>74</v>
      </c>
      <c r="K256">
        <v>17</v>
      </c>
      <c r="L256" s="63">
        <v>8.4931506849315067E-2</v>
      </c>
      <c r="M256">
        <v>31</v>
      </c>
    </row>
    <row r="257" spans="2:13" x14ac:dyDescent="0.25">
      <c r="B257" s="33">
        <v>1</v>
      </c>
      <c r="C257" t="s">
        <v>2</v>
      </c>
      <c r="D257" t="s">
        <v>17</v>
      </c>
      <c r="E257">
        <v>17</v>
      </c>
      <c r="F257" s="2">
        <v>0.18630136986301399</v>
      </c>
      <c r="H257" s="33">
        <v>1</v>
      </c>
      <c r="I257" t="s">
        <v>2</v>
      </c>
      <c r="J257" t="s">
        <v>17</v>
      </c>
      <c r="K257">
        <v>17</v>
      </c>
      <c r="L257" s="63">
        <v>0.21369863013698631</v>
      </c>
      <c r="M257">
        <v>109</v>
      </c>
    </row>
    <row r="258" spans="2:13" x14ac:dyDescent="0.25">
      <c r="B258" s="33">
        <v>1</v>
      </c>
      <c r="C258" t="s">
        <v>0</v>
      </c>
      <c r="D258" t="s">
        <v>61</v>
      </c>
      <c r="E258">
        <v>17</v>
      </c>
      <c r="F258" s="2">
        <v>0.12876712328767101</v>
      </c>
      <c r="H258" s="33">
        <v>1</v>
      </c>
      <c r="I258" t="s">
        <v>0</v>
      </c>
      <c r="J258" t="s">
        <v>61</v>
      </c>
      <c r="K258">
        <v>17</v>
      </c>
      <c r="L258" s="63">
        <v>0.20547945205479451</v>
      </c>
      <c r="M258">
        <v>92</v>
      </c>
    </row>
    <row r="259" spans="2:13" x14ac:dyDescent="0.25">
      <c r="B259" s="33">
        <v>1</v>
      </c>
      <c r="C259" t="s">
        <v>231</v>
      </c>
      <c r="D259" t="s">
        <v>185</v>
      </c>
      <c r="E259">
        <v>18</v>
      </c>
      <c r="F259" s="2">
        <v>0.17260273972602699</v>
      </c>
      <c r="H259" s="33">
        <v>1</v>
      </c>
      <c r="I259" t="s">
        <v>231</v>
      </c>
      <c r="J259" t="s">
        <v>185</v>
      </c>
      <c r="K259">
        <v>18</v>
      </c>
      <c r="L259" s="63">
        <v>0.31232876712328766</v>
      </c>
      <c r="M259">
        <v>139</v>
      </c>
    </row>
    <row r="260" spans="2:13" x14ac:dyDescent="0.25">
      <c r="B260" s="33">
        <v>1</v>
      </c>
      <c r="C260" t="s">
        <v>231</v>
      </c>
      <c r="D260" t="s">
        <v>184</v>
      </c>
      <c r="E260">
        <v>18</v>
      </c>
      <c r="F260" s="2">
        <v>0.161643835616438</v>
      </c>
      <c r="H260" s="33">
        <v>1</v>
      </c>
      <c r="I260" t="s">
        <v>231</v>
      </c>
      <c r="J260" t="s">
        <v>184</v>
      </c>
      <c r="K260">
        <v>18</v>
      </c>
      <c r="L260" s="63">
        <v>0.27397260273972601</v>
      </c>
      <c r="M260">
        <v>130</v>
      </c>
    </row>
    <row r="261" spans="2:13" x14ac:dyDescent="0.25">
      <c r="B261" s="33">
        <v>1</v>
      </c>
      <c r="C261" t="s">
        <v>59</v>
      </c>
      <c r="D261" t="s">
        <v>76</v>
      </c>
      <c r="E261">
        <v>18</v>
      </c>
      <c r="F261" s="2">
        <v>2.19178082191781E-2</v>
      </c>
      <c r="H261" s="33">
        <v>1</v>
      </c>
      <c r="I261" t="s">
        <v>59</v>
      </c>
      <c r="J261" t="s">
        <v>76</v>
      </c>
      <c r="K261">
        <v>18</v>
      </c>
      <c r="L261" s="63">
        <v>5.2054794520547946E-2</v>
      </c>
      <c r="M261">
        <v>19</v>
      </c>
    </row>
    <row r="262" spans="2:13" x14ac:dyDescent="0.25">
      <c r="B262" s="33">
        <v>1</v>
      </c>
      <c r="C262" t="s">
        <v>2</v>
      </c>
      <c r="D262" t="s">
        <v>32</v>
      </c>
      <c r="E262">
        <v>19</v>
      </c>
      <c r="F262" s="2">
        <v>8.21917808219178E-3</v>
      </c>
      <c r="H262" s="33">
        <v>1</v>
      </c>
      <c r="I262" t="s">
        <v>2</v>
      </c>
      <c r="J262" t="s">
        <v>32</v>
      </c>
      <c r="K262">
        <v>19</v>
      </c>
      <c r="L262" s="63">
        <v>8.21917808219178E-3</v>
      </c>
      <c r="M262">
        <v>3</v>
      </c>
    </row>
    <row r="263" spans="2:13" x14ac:dyDescent="0.25">
      <c r="B263" s="33">
        <v>1</v>
      </c>
      <c r="C263" t="s">
        <v>307</v>
      </c>
      <c r="D263" t="s">
        <v>312</v>
      </c>
      <c r="E263">
        <v>19</v>
      </c>
      <c r="F263" s="2">
        <v>0.13698630136986301</v>
      </c>
      <c r="H263" s="33">
        <v>1</v>
      </c>
      <c r="I263" t="s">
        <v>307</v>
      </c>
      <c r="J263" t="s">
        <v>312</v>
      </c>
      <c r="K263">
        <v>19</v>
      </c>
      <c r="L263" s="63">
        <v>0.11780821917808219</v>
      </c>
      <c r="M263">
        <v>50</v>
      </c>
    </row>
    <row r="264" spans="2:13" x14ac:dyDescent="0.25">
      <c r="B264" s="33">
        <v>1</v>
      </c>
      <c r="C264" t="s">
        <v>307</v>
      </c>
      <c r="D264" t="s">
        <v>313</v>
      </c>
      <c r="E264">
        <v>19</v>
      </c>
      <c r="F264" s="2">
        <v>5.75342465753425E-2</v>
      </c>
      <c r="H264" s="33">
        <v>1</v>
      </c>
      <c r="I264" t="s">
        <v>307</v>
      </c>
      <c r="J264" t="s">
        <v>313</v>
      </c>
      <c r="K264">
        <v>19</v>
      </c>
      <c r="L264" s="63">
        <v>5.2054794520547946E-2</v>
      </c>
      <c r="M264">
        <v>21</v>
      </c>
    </row>
    <row r="265" spans="2:13" x14ac:dyDescent="0.25">
      <c r="B265" s="33">
        <v>1</v>
      </c>
      <c r="C265" t="s">
        <v>231</v>
      </c>
      <c r="D265" t="s">
        <v>184</v>
      </c>
      <c r="E265">
        <v>19</v>
      </c>
      <c r="F265" s="2">
        <v>0.104109589041096</v>
      </c>
      <c r="H265" s="33">
        <v>1</v>
      </c>
      <c r="I265" t="s">
        <v>231</v>
      </c>
      <c r="J265" t="s">
        <v>184</v>
      </c>
      <c r="K265">
        <v>19</v>
      </c>
      <c r="L265" s="63">
        <v>0.21917808219178081</v>
      </c>
      <c r="M265">
        <v>99</v>
      </c>
    </row>
    <row r="266" spans="2:13" x14ac:dyDescent="0.25">
      <c r="B266" s="33">
        <v>1</v>
      </c>
      <c r="C266" t="s">
        <v>57</v>
      </c>
      <c r="D266" t="s">
        <v>75</v>
      </c>
      <c r="E266">
        <v>19</v>
      </c>
      <c r="F266" s="2">
        <v>1.0958904109589E-2</v>
      </c>
      <c r="H266" s="33">
        <v>1</v>
      </c>
      <c r="I266" t="s">
        <v>57</v>
      </c>
      <c r="J266" t="s">
        <v>75</v>
      </c>
      <c r="K266">
        <v>19</v>
      </c>
      <c r="L266" s="63">
        <v>7.3972602739726029E-2</v>
      </c>
      <c r="M266">
        <v>27</v>
      </c>
    </row>
    <row r="267" spans="2:13" x14ac:dyDescent="0.25">
      <c r="B267" s="33">
        <v>1</v>
      </c>
      <c r="C267" t="s">
        <v>57</v>
      </c>
      <c r="D267" t="s">
        <v>74</v>
      </c>
      <c r="E267">
        <v>19</v>
      </c>
      <c r="F267" s="2">
        <v>4.9315068493150697E-2</v>
      </c>
      <c r="H267" s="33">
        <v>1</v>
      </c>
      <c r="I267" t="s">
        <v>57</v>
      </c>
      <c r="J267" t="s">
        <v>74</v>
      </c>
      <c r="K267">
        <v>19</v>
      </c>
      <c r="L267" s="63">
        <v>9.3150684931506855E-2</v>
      </c>
      <c r="M267">
        <v>40</v>
      </c>
    </row>
    <row r="268" spans="2:13" x14ac:dyDescent="0.25">
      <c r="B268" s="33">
        <v>1</v>
      </c>
      <c r="C268" t="s">
        <v>2</v>
      </c>
      <c r="D268" t="s">
        <v>26</v>
      </c>
      <c r="E268">
        <v>19</v>
      </c>
      <c r="F268" s="2">
        <v>8.7671232876712302E-2</v>
      </c>
      <c r="H268" s="33">
        <v>1</v>
      </c>
      <c r="I268" t="s">
        <v>2</v>
      </c>
      <c r="J268" t="s">
        <v>26</v>
      </c>
      <c r="K268">
        <v>19</v>
      </c>
      <c r="L268" s="63">
        <v>0.15342465753424658</v>
      </c>
      <c r="M268">
        <v>61</v>
      </c>
    </row>
    <row r="269" spans="2:13" x14ac:dyDescent="0.25">
      <c r="B269" s="33">
        <v>1</v>
      </c>
      <c r="C269" t="s">
        <v>292</v>
      </c>
      <c r="D269" t="s">
        <v>320</v>
      </c>
      <c r="E269">
        <v>20</v>
      </c>
      <c r="F269" s="2">
        <v>3.0136986301369899E-2</v>
      </c>
      <c r="H269" s="33">
        <v>1</v>
      </c>
      <c r="I269" t="s">
        <v>292</v>
      </c>
      <c r="J269" t="s">
        <v>320</v>
      </c>
      <c r="K269">
        <v>20</v>
      </c>
      <c r="L269" s="63">
        <v>2.4657534246575342E-2</v>
      </c>
      <c r="M269">
        <v>11</v>
      </c>
    </row>
    <row r="270" spans="2:13" x14ac:dyDescent="0.25">
      <c r="B270" s="33">
        <v>1</v>
      </c>
      <c r="C270" t="s">
        <v>59</v>
      </c>
      <c r="D270" t="s">
        <v>76</v>
      </c>
      <c r="E270">
        <v>20</v>
      </c>
      <c r="F270" s="2">
        <v>3.8356164383561597E-2</v>
      </c>
      <c r="H270" s="33">
        <v>1</v>
      </c>
      <c r="I270" t="s">
        <v>59</v>
      </c>
      <c r="J270" t="s">
        <v>76</v>
      </c>
      <c r="K270">
        <v>20</v>
      </c>
      <c r="L270" s="63">
        <v>6.0273972602739728E-2</v>
      </c>
      <c r="M270">
        <v>24</v>
      </c>
    </row>
    <row r="271" spans="2:13" x14ac:dyDescent="0.25">
      <c r="B271" s="33">
        <v>1</v>
      </c>
      <c r="C271" t="s">
        <v>231</v>
      </c>
      <c r="D271" t="s">
        <v>184</v>
      </c>
      <c r="E271">
        <v>20</v>
      </c>
      <c r="F271" s="2">
        <v>8.7671232876712302E-2</v>
      </c>
      <c r="H271" s="33">
        <v>1</v>
      </c>
      <c r="I271" t="s">
        <v>231</v>
      </c>
      <c r="J271" t="s">
        <v>184</v>
      </c>
      <c r="K271">
        <v>20</v>
      </c>
      <c r="L271" s="63">
        <v>0.18082191780821918</v>
      </c>
      <c r="M271">
        <v>77</v>
      </c>
    </row>
    <row r="272" spans="2:13" x14ac:dyDescent="0.25">
      <c r="B272" s="33">
        <v>1</v>
      </c>
      <c r="C272" t="s">
        <v>57</v>
      </c>
      <c r="D272" t="s">
        <v>66</v>
      </c>
      <c r="E272">
        <v>21</v>
      </c>
      <c r="F272" s="2">
        <v>4.3835616438356199E-2</v>
      </c>
      <c r="H272" s="33">
        <v>1</v>
      </c>
      <c r="I272" t="s">
        <v>57</v>
      </c>
      <c r="J272" t="s">
        <v>66</v>
      </c>
      <c r="K272">
        <v>21</v>
      </c>
      <c r="L272" s="63">
        <v>0.10684931506849316</v>
      </c>
      <c r="M272">
        <v>45</v>
      </c>
    </row>
    <row r="273" spans="2:13" x14ac:dyDescent="0.25">
      <c r="B273" s="33">
        <v>1</v>
      </c>
      <c r="C273" t="s">
        <v>0</v>
      </c>
      <c r="D273" t="s">
        <v>64</v>
      </c>
      <c r="E273">
        <v>22</v>
      </c>
      <c r="F273" s="2">
        <v>1.6438356164383602E-2</v>
      </c>
      <c r="H273" s="33">
        <v>1</v>
      </c>
      <c r="I273" t="s">
        <v>0</v>
      </c>
      <c r="J273" t="s">
        <v>64</v>
      </c>
      <c r="K273">
        <v>22</v>
      </c>
      <c r="L273" s="63">
        <v>6.0273972602739728E-2</v>
      </c>
      <c r="M273">
        <v>23</v>
      </c>
    </row>
    <row r="274" spans="2:13" x14ac:dyDescent="0.25">
      <c r="B274" s="33">
        <v>1</v>
      </c>
      <c r="C274" t="s">
        <v>57</v>
      </c>
      <c r="D274" t="s">
        <v>77</v>
      </c>
      <c r="E274">
        <v>22</v>
      </c>
      <c r="F274" s="2">
        <v>2.7397260273972599E-3</v>
      </c>
      <c r="H274" s="33">
        <v>1</v>
      </c>
      <c r="I274" t="s">
        <v>57</v>
      </c>
      <c r="J274" t="s">
        <v>77</v>
      </c>
      <c r="K274">
        <v>22</v>
      </c>
      <c r="L274" s="63">
        <v>3.0136986301369864E-2</v>
      </c>
      <c r="M274">
        <v>11</v>
      </c>
    </row>
    <row r="275" spans="2:13" x14ac:dyDescent="0.25">
      <c r="B275" s="33">
        <v>1</v>
      </c>
      <c r="C275" t="s">
        <v>276</v>
      </c>
      <c r="D275" t="s">
        <v>287</v>
      </c>
      <c r="E275">
        <v>22</v>
      </c>
      <c r="F275" s="2">
        <v>8.21917808219178E-3</v>
      </c>
      <c r="H275" s="33">
        <v>1</v>
      </c>
      <c r="I275" t="s">
        <v>276</v>
      </c>
      <c r="J275" t="s">
        <v>287</v>
      </c>
      <c r="K275">
        <v>22</v>
      </c>
      <c r="L275" s="63">
        <v>8.21917808219178E-3</v>
      </c>
      <c r="M275">
        <v>3</v>
      </c>
    </row>
    <row r="276" spans="2:13" x14ac:dyDescent="0.25">
      <c r="B276" s="33">
        <v>1</v>
      </c>
      <c r="C276" t="s">
        <v>231</v>
      </c>
      <c r="D276" t="s">
        <v>185</v>
      </c>
      <c r="E276">
        <v>22</v>
      </c>
      <c r="F276" s="2">
        <v>5.75342465753425E-2</v>
      </c>
      <c r="H276" s="33">
        <v>1</v>
      </c>
      <c r="I276" t="s">
        <v>231</v>
      </c>
      <c r="J276" t="s">
        <v>185</v>
      </c>
      <c r="K276">
        <v>22</v>
      </c>
      <c r="L276" s="63">
        <v>0.14520547945205478</v>
      </c>
      <c r="M276">
        <v>60</v>
      </c>
    </row>
    <row r="277" spans="2:13" x14ac:dyDescent="0.25">
      <c r="B277" s="33">
        <v>1</v>
      </c>
      <c r="C277" t="s">
        <v>2</v>
      </c>
      <c r="D277" t="s">
        <v>37</v>
      </c>
      <c r="E277">
        <v>23</v>
      </c>
      <c r="F277" s="2">
        <v>8.21917808219178E-3</v>
      </c>
      <c r="H277" s="33">
        <v>1</v>
      </c>
      <c r="I277" t="s">
        <v>2</v>
      </c>
      <c r="J277" t="s">
        <v>37</v>
      </c>
      <c r="K277">
        <v>23</v>
      </c>
      <c r="L277" s="63">
        <v>2.7397260273972601E-2</v>
      </c>
      <c r="M277">
        <v>11</v>
      </c>
    </row>
    <row r="278" spans="2:13" x14ac:dyDescent="0.25">
      <c r="B278" s="33">
        <v>1</v>
      </c>
      <c r="C278" t="s">
        <v>2</v>
      </c>
      <c r="D278" t="s">
        <v>19</v>
      </c>
      <c r="E278">
        <v>23</v>
      </c>
      <c r="F278" s="2">
        <v>2.19178082191781E-2</v>
      </c>
      <c r="H278" s="33">
        <v>1</v>
      </c>
      <c r="I278" t="s">
        <v>2</v>
      </c>
      <c r="J278" t="s">
        <v>19</v>
      </c>
      <c r="K278">
        <v>23</v>
      </c>
      <c r="L278" s="63">
        <v>3.5616438356164383E-2</v>
      </c>
      <c r="M278">
        <v>14</v>
      </c>
    </row>
    <row r="279" spans="2:13" x14ac:dyDescent="0.25">
      <c r="B279" s="33">
        <v>1</v>
      </c>
      <c r="C279" t="s">
        <v>231</v>
      </c>
      <c r="D279" t="s">
        <v>185</v>
      </c>
      <c r="E279">
        <v>23</v>
      </c>
      <c r="F279" s="2">
        <v>6.3013698630137005E-2</v>
      </c>
      <c r="H279" s="33">
        <v>1</v>
      </c>
      <c r="I279" t="s">
        <v>231</v>
      </c>
      <c r="J279" t="s">
        <v>185</v>
      </c>
      <c r="K279">
        <v>23</v>
      </c>
      <c r="L279" s="63">
        <v>0.10136986301369863</v>
      </c>
      <c r="M279">
        <v>43</v>
      </c>
    </row>
    <row r="280" spans="2:13" x14ac:dyDescent="0.25">
      <c r="B280" s="33">
        <v>1</v>
      </c>
      <c r="C280" t="s">
        <v>0</v>
      </c>
      <c r="D280" t="s">
        <v>71</v>
      </c>
      <c r="E280">
        <v>0</v>
      </c>
      <c r="F280" s="2">
        <v>3.0136986301369899E-2</v>
      </c>
      <c r="H280" s="33">
        <v>1</v>
      </c>
      <c r="I280" t="s">
        <v>0</v>
      </c>
      <c r="J280" t="s">
        <v>71</v>
      </c>
      <c r="K280">
        <v>0</v>
      </c>
      <c r="L280" s="63">
        <v>4.9315068493150684E-2</v>
      </c>
      <c r="M280">
        <v>22</v>
      </c>
    </row>
    <row r="281" spans="2:13" x14ac:dyDescent="0.25">
      <c r="B281" s="33">
        <v>1</v>
      </c>
      <c r="C281" t="s">
        <v>59</v>
      </c>
      <c r="D281" t="s">
        <v>60</v>
      </c>
      <c r="E281">
        <v>1</v>
      </c>
      <c r="F281" s="2">
        <v>4.65753424657534E-2</v>
      </c>
      <c r="H281" s="33">
        <v>1</v>
      </c>
      <c r="I281" t="s">
        <v>59</v>
      </c>
      <c r="J281" t="s">
        <v>60</v>
      </c>
      <c r="K281">
        <v>1</v>
      </c>
      <c r="L281" s="63">
        <v>6.3013698630136991E-2</v>
      </c>
      <c r="M281">
        <v>26</v>
      </c>
    </row>
    <row r="282" spans="2:13" x14ac:dyDescent="0.25">
      <c r="B282" s="33">
        <v>1</v>
      </c>
      <c r="C282" t="s">
        <v>0</v>
      </c>
      <c r="D282" t="s">
        <v>62</v>
      </c>
      <c r="E282">
        <v>3</v>
      </c>
      <c r="F282" s="2">
        <v>1.9178082191780799E-2</v>
      </c>
      <c r="H282" s="33">
        <v>1</v>
      </c>
      <c r="I282" t="s">
        <v>0</v>
      </c>
      <c r="J282" t="s">
        <v>62</v>
      </c>
      <c r="K282">
        <v>3</v>
      </c>
      <c r="L282" s="63">
        <v>3.287671232876712E-2</v>
      </c>
      <c r="M282">
        <v>13</v>
      </c>
    </row>
    <row r="283" spans="2:13" x14ac:dyDescent="0.25">
      <c r="B283" s="33">
        <v>1</v>
      </c>
      <c r="C283" t="s">
        <v>0</v>
      </c>
      <c r="D283" t="s">
        <v>65</v>
      </c>
      <c r="E283">
        <v>3</v>
      </c>
      <c r="F283" s="2">
        <v>1.0958904109589E-2</v>
      </c>
      <c r="H283" s="33">
        <v>1</v>
      </c>
      <c r="I283" t="s">
        <v>0</v>
      </c>
      <c r="J283" t="s">
        <v>65</v>
      </c>
      <c r="K283">
        <v>3</v>
      </c>
      <c r="L283" s="63">
        <v>5.2054794520547946E-2</v>
      </c>
      <c r="M283">
        <v>20</v>
      </c>
    </row>
    <row r="284" spans="2:13" x14ac:dyDescent="0.25">
      <c r="B284" s="33">
        <v>1</v>
      </c>
      <c r="C284" t="s">
        <v>2</v>
      </c>
      <c r="D284" t="s">
        <v>316</v>
      </c>
      <c r="E284">
        <v>5</v>
      </c>
      <c r="F284" s="2">
        <v>1.9178082191780799E-2</v>
      </c>
      <c r="H284" s="33">
        <v>1</v>
      </c>
      <c r="I284" t="s">
        <v>2</v>
      </c>
      <c r="J284" t="s">
        <v>316</v>
      </c>
      <c r="K284">
        <v>5</v>
      </c>
      <c r="L284" s="63">
        <v>1.643835616438356E-2</v>
      </c>
      <c r="M284">
        <v>7</v>
      </c>
    </row>
    <row r="285" spans="2:13" x14ac:dyDescent="0.25">
      <c r="B285" s="33">
        <v>1</v>
      </c>
      <c r="C285" t="s">
        <v>231</v>
      </c>
      <c r="D285" t="s">
        <v>185</v>
      </c>
      <c r="E285">
        <v>6</v>
      </c>
      <c r="F285" s="2">
        <v>3.0136986301369899E-2</v>
      </c>
      <c r="H285" s="33">
        <v>1</v>
      </c>
      <c r="I285" t="s">
        <v>231</v>
      </c>
      <c r="J285" t="s">
        <v>185</v>
      </c>
      <c r="K285">
        <v>6</v>
      </c>
      <c r="L285" s="63">
        <v>6.8493150684931503E-2</v>
      </c>
      <c r="M285">
        <v>29</v>
      </c>
    </row>
    <row r="286" spans="2:13" x14ac:dyDescent="0.25">
      <c r="B286" s="33">
        <v>1</v>
      </c>
      <c r="C286" t="s">
        <v>231</v>
      </c>
      <c r="D286" t="s">
        <v>183</v>
      </c>
      <c r="E286">
        <v>6</v>
      </c>
      <c r="F286" s="2">
        <v>3.0136986301369899E-2</v>
      </c>
      <c r="H286" s="33">
        <v>1</v>
      </c>
      <c r="I286" t="s">
        <v>231</v>
      </c>
      <c r="J286" t="s">
        <v>183</v>
      </c>
      <c r="K286">
        <v>6</v>
      </c>
      <c r="L286" s="63">
        <v>7.6712328767123292E-2</v>
      </c>
      <c r="M286">
        <v>32</v>
      </c>
    </row>
    <row r="287" spans="2:13" x14ac:dyDescent="0.25">
      <c r="B287" s="33">
        <v>1</v>
      </c>
      <c r="C287" t="s">
        <v>57</v>
      </c>
      <c r="D287" t="s">
        <v>58</v>
      </c>
      <c r="E287">
        <v>7</v>
      </c>
      <c r="F287" s="2">
        <v>5.4794520547945202E-2</v>
      </c>
      <c r="H287" s="33">
        <v>1</v>
      </c>
      <c r="I287" t="s">
        <v>57</v>
      </c>
      <c r="J287" t="s">
        <v>58</v>
      </c>
      <c r="K287">
        <v>7</v>
      </c>
      <c r="L287" s="63">
        <v>0.16164383561643836</v>
      </c>
      <c r="M287">
        <v>70</v>
      </c>
    </row>
    <row r="288" spans="2:13" x14ac:dyDescent="0.25">
      <c r="B288" s="33">
        <v>1</v>
      </c>
      <c r="C288" t="s">
        <v>0</v>
      </c>
      <c r="D288" t="s">
        <v>73</v>
      </c>
      <c r="E288">
        <v>8</v>
      </c>
      <c r="F288" s="2">
        <v>3.8356164383561597E-2</v>
      </c>
      <c r="H288" s="33">
        <v>1</v>
      </c>
      <c r="I288" t="s">
        <v>0</v>
      </c>
      <c r="J288" t="s">
        <v>73</v>
      </c>
      <c r="K288">
        <v>8</v>
      </c>
      <c r="L288" s="63">
        <v>4.9315068493150684E-2</v>
      </c>
      <c r="M288">
        <v>20</v>
      </c>
    </row>
    <row r="289" spans="2:13" x14ac:dyDescent="0.25">
      <c r="B289" s="33">
        <v>1</v>
      </c>
      <c r="C289" t="s">
        <v>57</v>
      </c>
      <c r="D289" t="s">
        <v>69</v>
      </c>
      <c r="E289">
        <v>8</v>
      </c>
      <c r="F289" s="2">
        <v>3.2876712328767099E-2</v>
      </c>
      <c r="H289" s="33">
        <v>1</v>
      </c>
      <c r="I289" t="s">
        <v>57</v>
      </c>
      <c r="J289" t="s">
        <v>69</v>
      </c>
      <c r="K289">
        <v>8</v>
      </c>
      <c r="L289" s="63">
        <v>9.5890410958904104E-2</v>
      </c>
      <c r="M289">
        <v>39</v>
      </c>
    </row>
    <row r="290" spans="2:13" x14ac:dyDescent="0.25">
      <c r="B290" s="33">
        <v>1</v>
      </c>
      <c r="C290" t="s">
        <v>0</v>
      </c>
      <c r="D290" t="s">
        <v>61</v>
      </c>
      <c r="E290">
        <v>9</v>
      </c>
      <c r="F290" s="2">
        <v>9.5890410958904104E-2</v>
      </c>
      <c r="H290" s="33">
        <v>1</v>
      </c>
      <c r="I290" t="s">
        <v>0</v>
      </c>
      <c r="J290" t="s">
        <v>61</v>
      </c>
      <c r="K290">
        <v>9</v>
      </c>
      <c r="L290" s="63">
        <v>0.16712328767123288</v>
      </c>
      <c r="M290">
        <v>75</v>
      </c>
    </row>
    <row r="291" spans="2:13" x14ac:dyDescent="0.25">
      <c r="B291" s="33">
        <v>1</v>
      </c>
      <c r="C291" t="s">
        <v>231</v>
      </c>
      <c r="D291" t="s">
        <v>183</v>
      </c>
      <c r="E291">
        <v>10</v>
      </c>
      <c r="F291" s="2">
        <v>0.13424657534246601</v>
      </c>
      <c r="H291" s="33">
        <v>1</v>
      </c>
      <c r="I291" t="s">
        <v>231</v>
      </c>
      <c r="J291" t="s">
        <v>183</v>
      </c>
      <c r="K291">
        <v>10</v>
      </c>
      <c r="L291" s="63">
        <v>0.16712328767123288</v>
      </c>
      <c r="M291">
        <v>70</v>
      </c>
    </row>
    <row r="292" spans="2:13" x14ac:dyDescent="0.25">
      <c r="B292" s="33">
        <v>1</v>
      </c>
      <c r="C292" t="s">
        <v>231</v>
      </c>
      <c r="D292" t="s">
        <v>190</v>
      </c>
      <c r="E292">
        <v>10</v>
      </c>
      <c r="F292" s="2">
        <v>1.3698630136986301E-2</v>
      </c>
      <c r="H292" s="33">
        <v>1</v>
      </c>
      <c r="I292" t="s">
        <v>231</v>
      </c>
      <c r="J292" t="s">
        <v>190</v>
      </c>
      <c r="K292">
        <v>10</v>
      </c>
      <c r="L292" s="63">
        <v>1.9178082191780823E-2</v>
      </c>
      <c r="M292">
        <v>7</v>
      </c>
    </row>
    <row r="293" spans="2:13" x14ac:dyDescent="0.25">
      <c r="B293" s="33">
        <v>1</v>
      </c>
      <c r="C293" t="s">
        <v>57</v>
      </c>
      <c r="D293" t="s">
        <v>58</v>
      </c>
      <c r="E293">
        <v>10</v>
      </c>
      <c r="F293" s="2">
        <v>0.120547945205479</v>
      </c>
      <c r="H293" s="33">
        <v>1</v>
      </c>
      <c r="I293" t="s">
        <v>57</v>
      </c>
      <c r="J293" t="s">
        <v>58</v>
      </c>
      <c r="K293">
        <v>10</v>
      </c>
      <c r="L293" s="63">
        <v>0.16438356164383561</v>
      </c>
      <c r="M293">
        <v>74</v>
      </c>
    </row>
    <row r="294" spans="2:13" x14ac:dyDescent="0.25">
      <c r="B294" s="33">
        <v>1</v>
      </c>
      <c r="C294" t="s">
        <v>231</v>
      </c>
      <c r="D294" t="s">
        <v>189</v>
      </c>
      <c r="E294">
        <v>10</v>
      </c>
      <c r="F294" s="2">
        <v>4.3835616438356199E-2</v>
      </c>
      <c r="H294" s="33">
        <v>1</v>
      </c>
      <c r="I294" t="s">
        <v>231</v>
      </c>
      <c r="J294" t="s">
        <v>189</v>
      </c>
      <c r="K294">
        <v>10</v>
      </c>
      <c r="L294" s="63">
        <v>5.7534246575342465E-2</v>
      </c>
      <c r="M294">
        <v>25</v>
      </c>
    </row>
    <row r="295" spans="2:13" x14ac:dyDescent="0.25">
      <c r="B295" s="33">
        <v>1</v>
      </c>
      <c r="C295" t="s">
        <v>0</v>
      </c>
      <c r="D295" t="s">
        <v>72</v>
      </c>
      <c r="E295">
        <v>11</v>
      </c>
      <c r="F295" s="2">
        <v>3.0136986301369899E-2</v>
      </c>
      <c r="H295" s="33">
        <v>1</v>
      </c>
      <c r="I295" t="s">
        <v>0</v>
      </c>
      <c r="J295" t="s">
        <v>72</v>
      </c>
      <c r="K295">
        <v>11</v>
      </c>
      <c r="L295" s="63">
        <v>9.8630136986301367E-2</v>
      </c>
      <c r="M295">
        <v>37</v>
      </c>
    </row>
    <row r="296" spans="2:13" x14ac:dyDescent="0.25">
      <c r="B296" s="33">
        <v>1</v>
      </c>
      <c r="C296" t="s">
        <v>231</v>
      </c>
      <c r="D296" t="s">
        <v>187</v>
      </c>
      <c r="E296">
        <v>11</v>
      </c>
      <c r="F296" s="2">
        <v>9.3150684931506897E-2</v>
      </c>
      <c r="H296" s="33">
        <v>1</v>
      </c>
      <c r="I296" t="s">
        <v>231</v>
      </c>
      <c r="J296" t="s">
        <v>187</v>
      </c>
      <c r="K296">
        <v>11</v>
      </c>
      <c r="L296" s="63">
        <v>0.19452054794520549</v>
      </c>
      <c r="M296">
        <v>83</v>
      </c>
    </row>
    <row r="297" spans="2:13" x14ac:dyDescent="0.25">
      <c r="B297" s="33">
        <v>1</v>
      </c>
      <c r="C297" t="s">
        <v>57</v>
      </c>
      <c r="D297" t="s">
        <v>69</v>
      </c>
      <c r="E297">
        <v>12</v>
      </c>
      <c r="F297" s="2">
        <v>4.65753424657534E-2</v>
      </c>
      <c r="H297" s="33">
        <v>1</v>
      </c>
      <c r="I297" t="s">
        <v>57</v>
      </c>
      <c r="J297" t="s">
        <v>69</v>
      </c>
      <c r="K297">
        <v>12</v>
      </c>
      <c r="L297" s="63">
        <v>7.9452054794520555E-2</v>
      </c>
      <c r="M297">
        <v>34</v>
      </c>
    </row>
    <row r="298" spans="2:13" x14ac:dyDescent="0.25">
      <c r="B298" s="33">
        <v>1</v>
      </c>
      <c r="C298" t="s">
        <v>231</v>
      </c>
      <c r="D298" t="s">
        <v>188</v>
      </c>
      <c r="E298">
        <v>13</v>
      </c>
      <c r="F298" s="2">
        <v>4.65753424657534E-2</v>
      </c>
      <c r="H298" s="33">
        <v>1</v>
      </c>
      <c r="I298" t="s">
        <v>231</v>
      </c>
      <c r="J298" t="s">
        <v>188</v>
      </c>
      <c r="K298">
        <v>13</v>
      </c>
      <c r="L298" s="63">
        <v>0.12328767123287671</v>
      </c>
      <c r="M298">
        <v>54</v>
      </c>
    </row>
    <row r="299" spans="2:13" x14ac:dyDescent="0.25">
      <c r="B299" s="33">
        <v>1</v>
      </c>
      <c r="C299" t="s">
        <v>231</v>
      </c>
      <c r="D299" t="s">
        <v>187</v>
      </c>
      <c r="E299">
        <v>13</v>
      </c>
      <c r="F299" s="2">
        <v>0.104109589041096</v>
      </c>
      <c r="H299" s="33">
        <v>1</v>
      </c>
      <c r="I299" t="s">
        <v>231</v>
      </c>
      <c r="J299" t="s">
        <v>187</v>
      </c>
      <c r="K299">
        <v>13</v>
      </c>
      <c r="L299" s="63">
        <v>0.15616438356164383</v>
      </c>
      <c r="M299">
        <v>73</v>
      </c>
    </row>
    <row r="300" spans="2:13" x14ac:dyDescent="0.25">
      <c r="B300" s="33">
        <v>1</v>
      </c>
      <c r="C300" t="s">
        <v>0</v>
      </c>
      <c r="D300" t="s">
        <v>72</v>
      </c>
      <c r="E300">
        <v>13</v>
      </c>
      <c r="F300" s="2">
        <v>3.0136986301369899E-2</v>
      </c>
      <c r="H300" s="33">
        <v>1</v>
      </c>
      <c r="I300" t="s">
        <v>0</v>
      </c>
      <c r="J300" t="s">
        <v>72</v>
      </c>
      <c r="K300">
        <v>13</v>
      </c>
      <c r="L300" s="63">
        <v>0.10684931506849316</v>
      </c>
      <c r="M300">
        <v>41</v>
      </c>
    </row>
    <row r="301" spans="2:13" x14ac:dyDescent="0.25">
      <c r="B301" s="33">
        <v>1</v>
      </c>
      <c r="C301" t="s">
        <v>2</v>
      </c>
      <c r="D301" t="s">
        <v>17</v>
      </c>
      <c r="E301">
        <v>13</v>
      </c>
      <c r="F301" s="2">
        <v>0.112328767123288</v>
      </c>
      <c r="H301" s="33">
        <v>1</v>
      </c>
      <c r="I301" t="s">
        <v>2</v>
      </c>
      <c r="J301" t="s">
        <v>17</v>
      </c>
      <c r="K301">
        <v>13</v>
      </c>
      <c r="L301" s="63">
        <v>0.11780821917808219</v>
      </c>
      <c r="M301">
        <v>54</v>
      </c>
    </row>
    <row r="302" spans="2:13" x14ac:dyDescent="0.25">
      <c r="B302" s="33">
        <v>1</v>
      </c>
      <c r="C302" t="s">
        <v>276</v>
      </c>
      <c r="D302" t="s">
        <v>290</v>
      </c>
      <c r="E302">
        <v>13</v>
      </c>
      <c r="F302" s="2">
        <v>1.6438356164383602E-2</v>
      </c>
      <c r="H302" s="33">
        <v>1</v>
      </c>
      <c r="I302" t="s">
        <v>276</v>
      </c>
      <c r="J302" t="s">
        <v>290</v>
      </c>
      <c r="K302">
        <v>13</v>
      </c>
      <c r="L302" s="63">
        <v>1.643835616438356E-2</v>
      </c>
      <c r="M302">
        <v>6</v>
      </c>
    </row>
    <row r="303" spans="2:13" x14ac:dyDescent="0.25">
      <c r="B303" s="33">
        <v>1</v>
      </c>
      <c r="C303" t="s">
        <v>0</v>
      </c>
      <c r="D303" t="s">
        <v>73</v>
      </c>
      <c r="E303">
        <v>13</v>
      </c>
      <c r="F303" s="2">
        <v>3.2876712328767099E-2</v>
      </c>
      <c r="H303" s="33">
        <v>1</v>
      </c>
      <c r="I303" t="s">
        <v>0</v>
      </c>
      <c r="J303" t="s">
        <v>73</v>
      </c>
      <c r="K303">
        <v>13</v>
      </c>
      <c r="L303" s="63">
        <v>6.0273972602739728E-2</v>
      </c>
      <c r="M303">
        <v>25</v>
      </c>
    </row>
    <row r="304" spans="2:13" x14ac:dyDescent="0.25">
      <c r="B304" s="33">
        <v>1</v>
      </c>
      <c r="C304" t="s">
        <v>2</v>
      </c>
      <c r="D304" t="s">
        <v>21</v>
      </c>
      <c r="E304">
        <v>14</v>
      </c>
      <c r="F304" s="2">
        <v>1.3698630136986301E-2</v>
      </c>
      <c r="H304" s="33">
        <v>1</v>
      </c>
      <c r="I304" t="s">
        <v>2</v>
      </c>
      <c r="J304" t="s">
        <v>21</v>
      </c>
      <c r="K304">
        <v>14</v>
      </c>
      <c r="L304" s="63">
        <v>3.5616438356164383E-2</v>
      </c>
      <c r="M304">
        <v>14</v>
      </c>
    </row>
    <row r="305" spans="2:13" x14ac:dyDescent="0.25">
      <c r="B305" s="33">
        <v>1</v>
      </c>
      <c r="C305" t="s">
        <v>57</v>
      </c>
      <c r="D305" t="s">
        <v>66</v>
      </c>
      <c r="E305">
        <v>14</v>
      </c>
      <c r="F305" s="2">
        <v>6.02739726027397E-2</v>
      </c>
      <c r="H305" s="33">
        <v>1</v>
      </c>
      <c r="I305" t="s">
        <v>57</v>
      </c>
      <c r="J305" t="s">
        <v>66</v>
      </c>
      <c r="K305">
        <v>14</v>
      </c>
      <c r="L305" s="63">
        <v>0.12328767123287671</v>
      </c>
      <c r="M305">
        <v>53</v>
      </c>
    </row>
    <row r="306" spans="2:13" x14ac:dyDescent="0.25">
      <c r="B306" s="33">
        <v>1</v>
      </c>
      <c r="C306" t="s">
        <v>57</v>
      </c>
      <c r="D306" t="s">
        <v>58</v>
      </c>
      <c r="E306">
        <v>14</v>
      </c>
      <c r="F306" s="2">
        <v>7.3972602739726001E-2</v>
      </c>
      <c r="H306" s="33">
        <v>1</v>
      </c>
      <c r="I306" t="s">
        <v>57</v>
      </c>
      <c r="J306" t="s">
        <v>58</v>
      </c>
      <c r="K306">
        <v>14</v>
      </c>
      <c r="L306" s="63">
        <v>0.20821917808219179</v>
      </c>
      <c r="M306">
        <v>94</v>
      </c>
    </row>
    <row r="307" spans="2:13" x14ac:dyDescent="0.25">
      <c r="B307" s="33">
        <v>1</v>
      </c>
      <c r="C307" t="s">
        <v>276</v>
      </c>
      <c r="D307" t="s">
        <v>288</v>
      </c>
      <c r="E307">
        <v>15</v>
      </c>
      <c r="F307" s="2">
        <v>4.3835616438356199E-2</v>
      </c>
      <c r="H307" s="33">
        <v>1</v>
      </c>
      <c r="I307" t="s">
        <v>276</v>
      </c>
      <c r="J307" t="s">
        <v>288</v>
      </c>
      <c r="K307">
        <v>15</v>
      </c>
      <c r="L307" s="63">
        <v>4.1095890410958902E-2</v>
      </c>
      <c r="M307">
        <v>16</v>
      </c>
    </row>
    <row r="308" spans="2:13" x14ac:dyDescent="0.25">
      <c r="B308" s="33">
        <v>1</v>
      </c>
      <c r="C308" t="s">
        <v>2</v>
      </c>
      <c r="D308" t="s">
        <v>37</v>
      </c>
      <c r="E308">
        <v>15</v>
      </c>
      <c r="F308" s="2">
        <v>2.46575342465753E-2</v>
      </c>
      <c r="H308" s="33">
        <v>1</v>
      </c>
      <c r="I308" t="s">
        <v>2</v>
      </c>
      <c r="J308" t="s">
        <v>37</v>
      </c>
      <c r="K308">
        <v>15</v>
      </c>
      <c r="L308" s="63">
        <v>6.575342465753424E-2</v>
      </c>
      <c r="M308">
        <v>26</v>
      </c>
    </row>
    <row r="309" spans="2:13" x14ac:dyDescent="0.25">
      <c r="B309" s="33">
        <v>1</v>
      </c>
      <c r="C309" t="s">
        <v>307</v>
      </c>
      <c r="D309" t="s">
        <v>309</v>
      </c>
      <c r="E309">
        <v>15</v>
      </c>
      <c r="F309" s="2">
        <v>3.8356164383561597E-2</v>
      </c>
      <c r="H309" s="33">
        <v>1</v>
      </c>
      <c r="I309" t="s">
        <v>307</v>
      </c>
      <c r="J309" t="s">
        <v>309</v>
      </c>
      <c r="K309">
        <v>15</v>
      </c>
      <c r="L309" s="63">
        <v>3.5616438356164383E-2</v>
      </c>
      <c r="M309">
        <v>14</v>
      </c>
    </row>
    <row r="310" spans="2:13" x14ac:dyDescent="0.25">
      <c r="B310" s="33">
        <v>1</v>
      </c>
      <c r="C310" t="s">
        <v>2</v>
      </c>
      <c r="D310" t="s">
        <v>21</v>
      </c>
      <c r="E310">
        <v>15</v>
      </c>
      <c r="F310" s="2">
        <v>3.2876712328767099E-2</v>
      </c>
      <c r="H310" s="33">
        <v>1</v>
      </c>
      <c r="I310" t="s">
        <v>2</v>
      </c>
      <c r="J310" t="s">
        <v>21</v>
      </c>
      <c r="K310">
        <v>15</v>
      </c>
      <c r="L310" s="63">
        <v>5.4794520547945202E-2</v>
      </c>
      <c r="M310">
        <v>21</v>
      </c>
    </row>
    <row r="311" spans="2:13" x14ac:dyDescent="0.25">
      <c r="B311" s="33">
        <v>1</v>
      </c>
      <c r="C311" t="s">
        <v>2</v>
      </c>
      <c r="D311" t="s">
        <v>21</v>
      </c>
      <c r="E311">
        <v>16</v>
      </c>
      <c r="F311" s="2">
        <v>4.65753424657534E-2</v>
      </c>
      <c r="H311" s="33">
        <v>1</v>
      </c>
      <c r="I311" t="s">
        <v>2</v>
      </c>
      <c r="J311" t="s">
        <v>21</v>
      </c>
      <c r="K311">
        <v>16</v>
      </c>
      <c r="L311" s="63">
        <v>4.6575342465753428E-2</v>
      </c>
      <c r="M311">
        <v>18</v>
      </c>
    </row>
    <row r="312" spans="2:13" x14ac:dyDescent="0.25">
      <c r="B312" s="33">
        <v>1</v>
      </c>
      <c r="C312" t="s">
        <v>276</v>
      </c>
      <c r="D312" t="s">
        <v>291</v>
      </c>
      <c r="E312">
        <v>16</v>
      </c>
      <c r="F312" s="2">
        <v>3.2876712328767099E-2</v>
      </c>
      <c r="H312" s="33">
        <v>1</v>
      </c>
      <c r="I312" t="s">
        <v>276</v>
      </c>
      <c r="J312" t="s">
        <v>291</v>
      </c>
      <c r="K312">
        <v>16</v>
      </c>
      <c r="L312" s="63">
        <v>3.287671232876712E-2</v>
      </c>
      <c r="M312">
        <v>12</v>
      </c>
    </row>
    <row r="313" spans="2:13" x14ac:dyDescent="0.25">
      <c r="B313" s="33">
        <v>1</v>
      </c>
      <c r="C313" t="s">
        <v>59</v>
      </c>
      <c r="D313" t="s">
        <v>60</v>
      </c>
      <c r="E313">
        <v>16</v>
      </c>
      <c r="F313" s="2">
        <v>0.10958904109589</v>
      </c>
      <c r="H313" s="33">
        <v>1</v>
      </c>
      <c r="I313" t="s">
        <v>59</v>
      </c>
      <c r="J313" t="s">
        <v>60</v>
      </c>
      <c r="K313">
        <v>16</v>
      </c>
      <c r="L313" s="63">
        <v>0.25479452054794521</v>
      </c>
      <c r="M313">
        <v>119</v>
      </c>
    </row>
    <row r="314" spans="2:13" x14ac:dyDescent="0.25">
      <c r="B314" s="33">
        <v>1</v>
      </c>
      <c r="C314" t="s">
        <v>307</v>
      </c>
      <c r="D314" t="s">
        <v>312</v>
      </c>
      <c r="E314">
        <v>16</v>
      </c>
      <c r="F314" s="2">
        <v>0.112328767123288</v>
      </c>
      <c r="H314" s="33">
        <v>1</v>
      </c>
      <c r="I314" t="s">
        <v>307</v>
      </c>
      <c r="J314" t="s">
        <v>312</v>
      </c>
      <c r="K314">
        <v>16</v>
      </c>
      <c r="L314" s="63">
        <v>0.10410958904109589</v>
      </c>
      <c r="M314">
        <v>41</v>
      </c>
    </row>
    <row r="315" spans="2:13" x14ac:dyDescent="0.25">
      <c r="B315" s="33">
        <v>1</v>
      </c>
      <c r="C315" t="s">
        <v>59</v>
      </c>
      <c r="D315" t="s">
        <v>63</v>
      </c>
      <c r="E315">
        <v>17</v>
      </c>
      <c r="F315" s="2">
        <v>0.10958904109589</v>
      </c>
      <c r="H315" s="33">
        <v>1</v>
      </c>
      <c r="I315" t="s">
        <v>59</v>
      </c>
      <c r="J315" t="s">
        <v>63</v>
      </c>
      <c r="K315">
        <v>17</v>
      </c>
      <c r="L315" s="63">
        <v>0.25753424657534246</v>
      </c>
      <c r="M315">
        <v>118</v>
      </c>
    </row>
    <row r="316" spans="2:13" x14ac:dyDescent="0.25">
      <c r="B316" s="33">
        <v>1</v>
      </c>
      <c r="C316" t="s">
        <v>2</v>
      </c>
      <c r="D316" t="s">
        <v>19</v>
      </c>
      <c r="E316">
        <v>17</v>
      </c>
      <c r="F316" s="2">
        <v>0.120547945205479</v>
      </c>
      <c r="H316" s="33">
        <v>1</v>
      </c>
      <c r="I316" t="s">
        <v>2</v>
      </c>
      <c r="J316" t="s">
        <v>19</v>
      </c>
      <c r="K316">
        <v>17</v>
      </c>
      <c r="L316" s="63">
        <v>0.17260273972602741</v>
      </c>
      <c r="M316">
        <v>74</v>
      </c>
    </row>
    <row r="317" spans="2:13" x14ac:dyDescent="0.25">
      <c r="B317" s="33">
        <v>1</v>
      </c>
      <c r="C317" t="s">
        <v>292</v>
      </c>
      <c r="D317" t="s">
        <v>321</v>
      </c>
      <c r="E317">
        <v>18</v>
      </c>
      <c r="F317" s="2">
        <v>3.5616438356164397E-2</v>
      </c>
      <c r="H317" s="33">
        <v>1</v>
      </c>
      <c r="I317" t="s">
        <v>292</v>
      </c>
      <c r="J317" t="s">
        <v>321</v>
      </c>
      <c r="K317">
        <v>18</v>
      </c>
      <c r="L317" s="63">
        <v>2.4657534246575342E-2</v>
      </c>
      <c r="M317">
        <v>13</v>
      </c>
    </row>
    <row r="318" spans="2:13" x14ac:dyDescent="0.25">
      <c r="B318" s="33">
        <v>1</v>
      </c>
      <c r="C318" t="s">
        <v>2</v>
      </c>
      <c r="D318" t="s">
        <v>28</v>
      </c>
      <c r="E318">
        <v>18</v>
      </c>
      <c r="F318" s="2">
        <v>3.2876712328767099E-2</v>
      </c>
      <c r="H318" s="33">
        <v>1</v>
      </c>
      <c r="I318" t="s">
        <v>2</v>
      </c>
      <c r="J318" t="s">
        <v>28</v>
      </c>
      <c r="K318">
        <v>18</v>
      </c>
      <c r="L318" s="63">
        <v>0.12054794520547946</v>
      </c>
      <c r="M318">
        <v>45</v>
      </c>
    </row>
    <row r="319" spans="2:13" x14ac:dyDescent="0.25">
      <c r="B319" s="33">
        <v>1</v>
      </c>
      <c r="C319" t="s">
        <v>2</v>
      </c>
      <c r="D319" t="s">
        <v>17</v>
      </c>
      <c r="E319">
        <v>19</v>
      </c>
      <c r="F319" s="2">
        <v>0.158904109589041</v>
      </c>
      <c r="H319" s="33">
        <v>1</v>
      </c>
      <c r="I319" t="s">
        <v>2</v>
      </c>
      <c r="J319" t="s">
        <v>17</v>
      </c>
      <c r="K319">
        <v>19</v>
      </c>
      <c r="L319" s="63">
        <v>0.18904109589041096</v>
      </c>
      <c r="M319">
        <v>91</v>
      </c>
    </row>
    <row r="320" spans="2:13" x14ac:dyDescent="0.25">
      <c r="B320" s="33">
        <v>1</v>
      </c>
      <c r="C320" t="s">
        <v>0</v>
      </c>
      <c r="D320" t="s">
        <v>70</v>
      </c>
      <c r="E320">
        <v>19</v>
      </c>
      <c r="F320" s="2">
        <v>4.65753424657534E-2</v>
      </c>
      <c r="H320" s="33">
        <v>1</v>
      </c>
      <c r="I320" t="s">
        <v>0</v>
      </c>
      <c r="J320" t="s">
        <v>70</v>
      </c>
      <c r="K320">
        <v>19</v>
      </c>
      <c r="L320" s="63">
        <v>7.3972602739726029E-2</v>
      </c>
      <c r="M320">
        <v>31</v>
      </c>
    </row>
    <row r="321" spans="2:13" x14ac:dyDescent="0.25">
      <c r="B321" s="33">
        <v>1</v>
      </c>
      <c r="C321" t="s">
        <v>59</v>
      </c>
      <c r="D321" t="s">
        <v>60</v>
      </c>
      <c r="E321">
        <v>20</v>
      </c>
      <c r="F321" s="2">
        <v>0.104109589041096</v>
      </c>
      <c r="H321" s="33">
        <v>1</v>
      </c>
      <c r="I321" t="s">
        <v>59</v>
      </c>
      <c r="J321" t="s">
        <v>60</v>
      </c>
      <c r="K321">
        <v>20</v>
      </c>
      <c r="L321" s="63">
        <v>0.19726027397260273</v>
      </c>
      <c r="M321">
        <v>93</v>
      </c>
    </row>
    <row r="322" spans="2:13" x14ac:dyDescent="0.25">
      <c r="B322" s="33">
        <v>1</v>
      </c>
      <c r="C322" t="s">
        <v>0</v>
      </c>
      <c r="D322" t="s">
        <v>70</v>
      </c>
      <c r="E322">
        <v>20</v>
      </c>
      <c r="F322" s="2">
        <v>2.7397260273972601E-2</v>
      </c>
      <c r="H322" s="33">
        <v>1</v>
      </c>
      <c r="I322" t="s">
        <v>0</v>
      </c>
      <c r="J322" t="s">
        <v>70</v>
      </c>
      <c r="K322">
        <v>20</v>
      </c>
      <c r="L322" s="63">
        <v>0.10136986301369863</v>
      </c>
      <c r="M322">
        <v>39</v>
      </c>
    </row>
    <row r="323" spans="2:13" x14ac:dyDescent="0.25">
      <c r="B323" s="33">
        <v>1</v>
      </c>
      <c r="C323" t="s">
        <v>231</v>
      </c>
      <c r="D323" t="s">
        <v>184</v>
      </c>
      <c r="E323">
        <v>21</v>
      </c>
      <c r="F323" s="2">
        <v>5.75342465753425E-2</v>
      </c>
      <c r="H323" s="33">
        <v>1</v>
      </c>
      <c r="I323" t="s">
        <v>231</v>
      </c>
      <c r="J323" t="s">
        <v>184</v>
      </c>
      <c r="K323">
        <v>21</v>
      </c>
      <c r="L323" s="63">
        <v>0.10136986301369863</v>
      </c>
      <c r="M323">
        <v>38</v>
      </c>
    </row>
    <row r="324" spans="2:13" x14ac:dyDescent="0.25">
      <c r="B324" s="33">
        <v>1</v>
      </c>
      <c r="C324" t="s">
        <v>59</v>
      </c>
      <c r="D324" t="s">
        <v>68</v>
      </c>
      <c r="E324">
        <v>21</v>
      </c>
      <c r="F324" s="2">
        <v>4.65753424657534E-2</v>
      </c>
      <c r="H324" s="33">
        <v>1</v>
      </c>
      <c r="I324" t="s">
        <v>59</v>
      </c>
      <c r="J324" t="s">
        <v>68</v>
      </c>
      <c r="K324">
        <v>21</v>
      </c>
      <c r="L324" s="63">
        <v>9.8630136986301367E-2</v>
      </c>
      <c r="M324">
        <v>42</v>
      </c>
    </row>
    <row r="325" spans="2:13" x14ac:dyDescent="0.25">
      <c r="B325" s="33">
        <v>1</v>
      </c>
      <c r="C325" t="s">
        <v>307</v>
      </c>
      <c r="D325" t="s">
        <v>393</v>
      </c>
      <c r="E325">
        <v>21</v>
      </c>
      <c r="F325" s="2">
        <v>4.3835616438356199E-2</v>
      </c>
      <c r="H325" s="33">
        <v>1</v>
      </c>
      <c r="I325" t="s">
        <v>307</v>
      </c>
      <c r="J325" t="s">
        <v>393</v>
      </c>
      <c r="K325">
        <v>21</v>
      </c>
      <c r="L325" s="63">
        <v>4.1095890410958902E-2</v>
      </c>
      <c r="M325">
        <v>16</v>
      </c>
    </row>
    <row r="326" spans="2:13" x14ac:dyDescent="0.25">
      <c r="B326" s="33">
        <v>1</v>
      </c>
      <c r="C326" t="s">
        <v>2</v>
      </c>
      <c r="D326" t="s">
        <v>316</v>
      </c>
      <c r="E326">
        <v>22</v>
      </c>
      <c r="F326" s="2">
        <v>4.65753424657534E-2</v>
      </c>
      <c r="H326" s="33">
        <v>1</v>
      </c>
      <c r="I326" t="s">
        <v>2</v>
      </c>
      <c r="J326" t="s">
        <v>316</v>
      </c>
      <c r="K326">
        <v>22</v>
      </c>
      <c r="L326" s="63">
        <v>4.3835616438356165E-2</v>
      </c>
      <c r="M326">
        <v>17</v>
      </c>
    </row>
    <row r="327" spans="2:13" x14ac:dyDescent="0.25">
      <c r="B327" s="33">
        <v>1</v>
      </c>
      <c r="C327" t="s">
        <v>307</v>
      </c>
      <c r="D327" t="s">
        <v>313</v>
      </c>
      <c r="E327">
        <v>23</v>
      </c>
      <c r="F327" s="2">
        <v>8.21917808219178E-3</v>
      </c>
      <c r="H327" s="33">
        <v>1</v>
      </c>
      <c r="I327" t="s">
        <v>307</v>
      </c>
      <c r="J327" t="s">
        <v>313</v>
      </c>
      <c r="K327">
        <v>23</v>
      </c>
      <c r="L327" s="63">
        <v>8.21917808219178E-3</v>
      </c>
      <c r="M327">
        <v>3</v>
      </c>
    </row>
    <row r="328" spans="2:13" x14ac:dyDescent="0.25">
      <c r="B328" s="33">
        <v>1</v>
      </c>
      <c r="C328" t="s">
        <v>2</v>
      </c>
      <c r="D328" t="s">
        <v>17</v>
      </c>
      <c r="E328">
        <v>0</v>
      </c>
      <c r="F328" s="2">
        <v>2.7397260273972601E-2</v>
      </c>
      <c r="H328" s="33">
        <v>1</v>
      </c>
      <c r="I328" t="s">
        <v>2</v>
      </c>
      <c r="J328" t="s">
        <v>17</v>
      </c>
      <c r="K328">
        <v>0</v>
      </c>
      <c r="L328" s="63">
        <v>7.3972602739726029E-2</v>
      </c>
      <c r="M328">
        <v>35</v>
      </c>
    </row>
    <row r="329" spans="2:13" x14ac:dyDescent="0.25">
      <c r="B329" s="33">
        <v>1</v>
      </c>
      <c r="C329" t="s">
        <v>2</v>
      </c>
      <c r="D329" t="s">
        <v>317</v>
      </c>
      <c r="E329">
        <v>3</v>
      </c>
      <c r="F329" s="2">
        <v>2.19178082191781E-2</v>
      </c>
      <c r="H329" s="33">
        <v>1</v>
      </c>
      <c r="I329" t="s">
        <v>2</v>
      </c>
      <c r="J329" t="s">
        <v>317</v>
      </c>
      <c r="K329">
        <v>3</v>
      </c>
      <c r="L329" s="63">
        <v>1.9178082191780823E-2</v>
      </c>
      <c r="M329">
        <v>8</v>
      </c>
    </row>
    <row r="330" spans="2:13" x14ac:dyDescent="0.25">
      <c r="B330" s="33">
        <v>1</v>
      </c>
      <c r="C330" t="s">
        <v>0</v>
      </c>
      <c r="D330" t="s">
        <v>73</v>
      </c>
      <c r="E330">
        <v>7</v>
      </c>
      <c r="F330" s="2">
        <v>3.0136986301369899E-2</v>
      </c>
      <c r="H330" s="33">
        <v>1</v>
      </c>
      <c r="I330" t="s">
        <v>0</v>
      </c>
      <c r="J330" t="s">
        <v>73</v>
      </c>
      <c r="K330">
        <v>7</v>
      </c>
      <c r="L330" s="63">
        <v>4.9315068493150684E-2</v>
      </c>
      <c r="M330">
        <v>23</v>
      </c>
    </row>
    <row r="331" spans="2:13" x14ac:dyDescent="0.25">
      <c r="B331" s="33">
        <v>1</v>
      </c>
      <c r="C331" t="s">
        <v>57</v>
      </c>
      <c r="D331" t="s">
        <v>74</v>
      </c>
      <c r="E331">
        <v>8</v>
      </c>
      <c r="F331" s="2">
        <v>5.2054794520547898E-2</v>
      </c>
      <c r="H331" s="33">
        <v>1</v>
      </c>
      <c r="I331" t="s">
        <v>57</v>
      </c>
      <c r="J331" t="s">
        <v>74</v>
      </c>
      <c r="K331">
        <v>8</v>
      </c>
      <c r="L331" s="63">
        <v>0.1095890410958904</v>
      </c>
      <c r="M331">
        <v>42</v>
      </c>
    </row>
    <row r="332" spans="2:13" x14ac:dyDescent="0.25">
      <c r="B332" s="33">
        <v>1</v>
      </c>
      <c r="C332" t="s">
        <v>292</v>
      </c>
      <c r="D332" t="s">
        <v>320</v>
      </c>
      <c r="E332">
        <v>9</v>
      </c>
      <c r="F332" s="2">
        <v>1.9178082191780799E-2</v>
      </c>
      <c r="H332" s="33">
        <v>1</v>
      </c>
      <c r="I332" t="s">
        <v>292</v>
      </c>
      <c r="J332" t="s">
        <v>320</v>
      </c>
      <c r="K332">
        <v>9</v>
      </c>
      <c r="L332" s="63">
        <v>1.9178082191780823E-2</v>
      </c>
      <c r="M332">
        <v>7</v>
      </c>
    </row>
    <row r="333" spans="2:13" x14ac:dyDescent="0.25">
      <c r="B333" s="33">
        <v>1</v>
      </c>
      <c r="C333" t="s">
        <v>2</v>
      </c>
      <c r="D333" t="s">
        <v>317</v>
      </c>
      <c r="E333">
        <v>11</v>
      </c>
      <c r="F333" s="2">
        <v>0.123287671232877</v>
      </c>
      <c r="H333" s="33">
        <v>1</v>
      </c>
      <c r="I333" t="s">
        <v>2</v>
      </c>
      <c r="J333" t="s">
        <v>317</v>
      </c>
      <c r="K333">
        <v>11</v>
      </c>
      <c r="L333" s="63">
        <v>0.11232876712328767</v>
      </c>
      <c r="M333">
        <v>45</v>
      </c>
    </row>
    <row r="334" spans="2:13" x14ac:dyDescent="0.25">
      <c r="B334" s="33">
        <v>1</v>
      </c>
      <c r="C334" t="s">
        <v>276</v>
      </c>
      <c r="D334" t="s">
        <v>291</v>
      </c>
      <c r="E334">
        <v>12</v>
      </c>
      <c r="F334" s="2">
        <v>2.46575342465753E-2</v>
      </c>
      <c r="H334" s="33">
        <v>1</v>
      </c>
      <c r="I334" t="s">
        <v>276</v>
      </c>
      <c r="J334" t="s">
        <v>291</v>
      </c>
      <c r="K334">
        <v>12</v>
      </c>
      <c r="L334" s="63">
        <v>2.4657534246575342E-2</v>
      </c>
      <c r="M334">
        <v>9</v>
      </c>
    </row>
    <row r="335" spans="2:13" x14ac:dyDescent="0.25">
      <c r="B335" s="33">
        <v>1</v>
      </c>
      <c r="C335" t="s">
        <v>276</v>
      </c>
      <c r="D335" t="s">
        <v>290</v>
      </c>
      <c r="E335">
        <v>12</v>
      </c>
      <c r="F335" s="2">
        <v>4.3835616438356199E-2</v>
      </c>
      <c r="H335" s="33">
        <v>1</v>
      </c>
      <c r="I335" t="s">
        <v>276</v>
      </c>
      <c r="J335" t="s">
        <v>290</v>
      </c>
      <c r="K335">
        <v>12</v>
      </c>
      <c r="L335" s="63">
        <v>3.8356164383561646E-2</v>
      </c>
      <c r="M335">
        <v>16</v>
      </c>
    </row>
    <row r="336" spans="2:13" x14ac:dyDescent="0.25">
      <c r="B336" s="33">
        <v>1</v>
      </c>
      <c r="C336" t="s">
        <v>0</v>
      </c>
      <c r="D336" t="s">
        <v>61</v>
      </c>
      <c r="E336">
        <v>13</v>
      </c>
      <c r="F336" s="2">
        <v>7.1232876712328794E-2</v>
      </c>
      <c r="H336" s="33">
        <v>1</v>
      </c>
      <c r="I336" t="s">
        <v>0</v>
      </c>
      <c r="J336" t="s">
        <v>61</v>
      </c>
      <c r="K336">
        <v>13</v>
      </c>
      <c r="L336" s="63">
        <v>0.15890410958904111</v>
      </c>
      <c r="M336">
        <v>61</v>
      </c>
    </row>
    <row r="337" spans="2:13" x14ac:dyDescent="0.25">
      <c r="B337" s="33">
        <v>1</v>
      </c>
      <c r="C337" t="s">
        <v>292</v>
      </c>
      <c r="D337" t="s">
        <v>296</v>
      </c>
      <c r="E337">
        <v>13</v>
      </c>
      <c r="F337" s="2">
        <v>8.7671232876712302E-2</v>
      </c>
      <c r="H337" s="33">
        <v>1</v>
      </c>
      <c r="I337" t="s">
        <v>292</v>
      </c>
      <c r="J337" t="s">
        <v>296</v>
      </c>
      <c r="K337">
        <v>13</v>
      </c>
      <c r="L337" s="63">
        <v>7.9452054794520555E-2</v>
      </c>
      <c r="M337">
        <v>32</v>
      </c>
    </row>
    <row r="338" spans="2:13" x14ac:dyDescent="0.25">
      <c r="B338" s="33">
        <v>1</v>
      </c>
      <c r="C338" t="s">
        <v>59</v>
      </c>
      <c r="D338" t="s">
        <v>60</v>
      </c>
      <c r="E338">
        <v>13</v>
      </c>
      <c r="F338" s="2">
        <v>0.101369863013699</v>
      </c>
      <c r="H338" s="33">
        <v>1</v>
      </c>
      <c r="I338" t="s">
        <v>59</v>
      </c>
      <c r="J338" t="s">
        <v>60</v>
      </c>
      <c r="K338">
        <v>13</v>
      </c>
      <c r="L338" s="63">
        <v>0.16712328767123288</v>
      </c>
      <c r="M338">
        <v>73</v>
      </c>
    </row>
    <row r="339" spans="2:13" x14ac:dyDescent="0.25">
      <c r="B339" s="33">
        <v>1</v>
      </c>
      <c r="C339" t="s">
        <v>307</v>
      </c>
      <c r="D339" t="s">
        <v>309</v>
      </c>
      <c r="E339">
        <v>14</v>
      </c>
      <c r="F339" s="2">
        <v>3.0136986301369899E-2</v>
      </c>
      <c r="H339" s="33">
        <v>1</v>
      </c>
      <c r="I339" t="s">
        <v>307</v>
      </c>
      <c r="J339" t="s">
        <v>309</v>
      </c>
      <c r="K339">
        <v>14</v>
      </c>
      <c r="L339" s="63">
        <v>3.0136986301369864E-2</v>
      </c>
      <c r="M339">
        <v>11</v>
      </c>
    </row>
    <row r="340" spans="2:13" x14ac:dyDescent="0.25">
      <c r="B340" s="33">
        <v>1</v>
      </c>
      <c r="C340" t="s">
        <v>0</v>
      </c>
      <c r="D340" t="s">
        <v>56</v>
      </c>
      <c r="E340">
        <v>15</v>
      </c>
      <c r="F340" s="2">
        <v>0.142465753424658</v>
      </c>
      <c r="H340" s="33">
        <v>1</v>
      </c>
      <c r="I340" t="s">
        <v>0</v>
      </c>
      <c r="J340" t="s">
        <v>56</v>
      </c>
      <c r="K340">
        <v>15</v>
      </c>
      <c r="L340" s="63">
        <v>0.26849315068493151</v>
      </c>
      <c r="M340">
        <v>123</v>
      </c>
    </row>
    <row r="341" spans="2:13" x14ac:dyDescent="0.25">
      <c r="B341" s="33">
        <v>1</v>
      </c>
      <c r="C341" t="s">
        <v>0</v>
      </c>
      <c r="D341" t="s">
        <v>70</v>
      </c>
      <c r="E341">
        <v>15</v>
      </c>
      <c r="F341" s="2">
        <v>6.3013698630137005E-2</v>
      </c>
      <c r="H341" s="33">
        <v>1</v>
      </c>
      <c r="I341" t="s">
        <v>0</v>
      </c>
      <c r="J341" t="s">
        <v>70</v>
      </c>
      <c r="K341">
        <v>15</v>
      </c>
      <c r="L341" s="63">
        <v>0.13972602739726028</v>
      </c>
      <c r="M341">
        <v>56</v>
      </c>
    </row>
    <row r="342" spans="2:13" x14ac:dyDescent="0.25">
      <c r="B342" s="33">
        <v>1</v>
      </c>
      <c r="C342" t="s">
        <v>2</v>
      </c>
      <c r="D342" t="s">
        <v>28</v>
      </c>
      <c r="E342">
        <v>15</v>
      </c>
      <c r="F342" s="2">
        <v>4.9315068493150697E-2</v>
      </c>
      <c r="H342" s="33">
        <v>1</v>
      </c>
      <c r="I342" t="s">
        <v>2</v>
      </c>
      <c r="J342" t="s">
        <v>28</v>
      </c>
      <c r="K342">
        <v>15</v>
      </c>
      <c r="L342" s="63">
        <v>0.13424657534246576</v>
      </c>
      <c r="M342">
        <v>59</v>
      </c>
    </row>
    <row r="343" spans="2:13" x14ac:dyDescent="0.25">
      <c r="B343" s="33">
        <v>1</v>
      </c>
      <c r="C343" t="s">
        <v>0</v>
      </c>
      <c r="D343" t="s">
        <v>62</v>
      </c>
      <c r="E343">
        <v>15</v>
      </c>
      <c r="F343" s="2">
        <v>0.10958904109589</v>
      </c>
      <c r="H343" s="33">
        <v>1</v>
      </c>
      <c r="I343" t="s">
        <v>0</v>
      </c>
      <c r="J343" t="s">
        <v>62</v>
      </c>
      <c r="K343">
        <v>15</v>
      </c>
      <c r="L343" s="63">
        <v>0.13424657534246576</v>
      </c>
      <c r="M343">
        <v>57</v>
      </c>
    </row>
    <row r="344" spans="2:13" x14ac:dyDescent="0.25">
      <c r="B344" s="33">
        <v>1</v>
      </c>
      <c r="C344" t="s">
        <v>59</v>
      </c>
      <c r="D344" t="s">
        <v>68</v>
      </c>
      <c r="E344">
        <v>15</v>
      </c>
      <c r="F344" s="2">
        <v>7.1232876712328794E-2</v>
      </c>
      <c r="H344" s="33">
        <v>1</v>
      </c>
      <c r="I344" t="s">
        <v>59</v>
      </c>
      <c r="J344" t="s">
        <v>68</v>
      </c>
      <c r="K344">
        <v>15</v>
      </c>
      <c r="L344" s="63">
        <v>0.13698630136986301</v>
      </c>
      <c r="M344">
        <v>54</v>
      </c>
    </row>
    <row r="345" spans="2:13" x14ac:dyDescent="0.25">
      <c r="B345" s="33">
        <v>1</v>
      </c>
      <c r="C345" t="s">
        <v>292</v>
      </c>
      <c r="D345" t="s">
        <v>320</v>
      </c>
      <c r="E345">
        <v>16</v>
      </c>
      <c r="F345" s="2">
        <v>2.7397260273972601E-2</v>
      </c>
      <c r="H345" s="33">
        <v>1</v>
      </c>
      <c r="I345" t="s">
        <v>292</v>
      </c>
      <c r="J345" t="s">
        <v>320</v>
      </c>
      <c r="K345">
        <v>16</v>
      </c>
      <c r="L345" s="63">
        <v>2.7397260273972601E-2</v>
      </c>
      <c r="M345">
        <v>10</v>
      </c>
    </row>
    <row r="346" spans="2:13" x14ac:dyDescent="0.25">
      <c r="B346" s="33">
        <v>1</v>
      </c>
      <c r="C346" t="s">
        <v>0</v>
      </c>
      <c r="D346" t="s">
        <v>78</v>
      </c>
      <c r="E346">
        <v>17</v>
      </c>
      <c r="F346" s="2">
        <v>1.3698630136986301E-2</v>
      </c>
      <c r="H346" s="33">
        <v>1</v>
      </c>
      <c r="I346" t="s">
        <v>0</v>
      </c>
      <c r="J346" t="s">
        <v>78</v>
      </c>
      <c r="K346">
        <v>17</v>
      </c>
      <c r="L346" s="63">
        <v>4.9315068493150684E-2</v>
      </c>
      <c r="M346">
        <v>18</v>
      </c>
    </row>
    <row r="347" spans="2:13" x14ac:dyDescent="0.25">
      <c r="B347" s="33">
        <v>1</v>
      </c>
      <c r="C347" t="s">
        <v>2</v>
      </c>
      <c r="D347" t="s">
        <v>36</v>
      </c>
      <c r="E347">
        <v>17</v>
      </c>
      <c r="F347" s="2">
        <v>9.0410958904109606E-2</v>
      </c>
      <c r="H347" s="33">
        <v>1</v>
      </c>
      <c r="I347" t="s">
        <v>2</v>
      </c>
      <c r="J347" t="s">
        <v>36</v>
      </c>
      <c r="K347">
        <v>17</v>
      </c>
      <c r="L347" s="63">
        <v>0.11780821917808219</v>
      </c>
      <c r="M347">
        <v>54</v>
      </c>
    </row>
    <row r="348" spans="2:13" x14ac:dyDescent="0.25">
      <c r="B348" s="33">
        <v>1</v>
      </c>
      <c r="C348" t="s">
        <v>292</v>
      </c>
      <c r="D348" t="s">
        <v>297</v>
      </c>
      <c r="E348">
        <v>17</v>
      </c>
      <c r="F348" s="2">
        <v>3.5616438356164397E-2</v>
      </c>
      <c r="H348" s="33">
        <v>1</v>
      </c>
      <c r="I348" t="s">
        <v>292</v>
      </c>
      <c r="J348" t="s">
        <v>297</v>
      </c>
      <c r="K348">
        <v>17</v>
      </c>
      <c r="L348" s="63">
        <v>3.287671232876712E-2</v>
      </c>
      <c r="M348">
        <v>13</v>
      </c>
    </row>
    <row r="349" spans="2:13" x14ac:dyDescent="0.25">
      <c r="B349" s="33">
        <v>1</v>
      </c>
      <c r="C349" t="s">
        <v>276</v>
      </c>
      <c r="D349" t="s">
        <v>286</v>
      </c>
      <c r="E349">
        <v>17</v>
      </c>
      <c r="F349" s="2">
        <v>6.02739726027397E-2</v>
      </c>
      <c r="H349" s="33">
        <v>1</v>
      </c>
      <c r="I349" t="s">
        <v>276</v>
      </c>
      <c r="J349" t="s">
        <v>286</v>
      </c>
      <c r="K349">
        <v>17</v>
      </c>
      <c r="L349" s="63">
        <v>6.0273972602739728E-2</v>
      </c>
      <c r="M349">
        <v>22</v>
      </c>
    </row>
    <row r="350" spans="2:13" x14ac:dyDescent="0.25">
      <c r="B350" s="33">
        <v>1</v>
      </c>
      <c r="C350" t="s">
        <v>0</v>
      </c>
      <c r="D350" t="s">
        <v>70</v>
      </c>
      <c r="E350">
        <v>18</v>
      </c>
      <c r="F350" s="2">
        <v>7.1232876712328794E-2</v>
      </c>
      <c r="H350" s="33">
        <v>1</v>
      </c>
      <c r="I350" t="s">
        <v>0</v>
      </c>
      <c r="J350" t="s">
        <v>70</v>
      </c>
      <c r="K350">
        <v>18</v>
      </c>
      <c r="L350" s="63">
        <v>0.14246575342465753</v>
      </c>
      <c r="M350">
        <v>55</v>
      </c>
    </row>
    <row r="351" spans="2:13" x14ac:dyDescent="0.25">
      <c r="B351" s="33">
        <v>1</v>
      </c>
      <c r="C351" t="s">
        <v>231</v>
      </c>
      <c r="D351" t="s">
        <v>190</v>
      </c>
      <c r="E351">
        <v>18</v>
      </c>
      <c r="F351" s="2">
        <v>2.46575342465753E-2</v>
      </c>
      <c r="H351" s="33">
        <v>1</v>
      </c>
      <c r="I351" t="s">
        <v>231</v>
      </c>
      <c r="J351" t="s">
        <v>190</v>
      </c>
      <c r="K351">
        <v>18</v>
      </c>
      <c r="L351" s="63">
        <v>3.5616438356164383E-2</v>
      </c>
      <c r="M351">
        <v>13</v>
      </c>
    </row>
    <row r="352" spans="2:13" x14ac:dyDescent="0.25">
      <c r="B352" s="33">
        <v>1</v>
      </c>
      <c r="C352" t="s">
        <v>2</v>
      </c>
      <c r="D352" t="s">
        <v>19</v>
      </c>
      <c r="E352">
        <v>18</v>
      </c>
      <c r="F352" s="2">
        <v>0.120547945205479</v>
      </c>
      <c r="H352" s="33">
        <v>1</v>
      </c>
      <c r="I352" t="s">
        <v>2</v>
      </c>
      <c r="J352" t="s">
        <v>19</v>
      </c>
      <c r="K352">
        <v>18</v>
      </c>
      <c r="L352" s="63">
        <v>0.16164383561643836</v>
      </c>
      <c r="M352">
        <v>69</v>
      </c>
    </row>
    <row r="353" spans="2:13" x14ac:dyDescent="0.25">
      <c r="B353" s="33">
        <v>1</v>
      </c>
      <c r="C353" t="s">
        <v>0</v>
      </c>
      <c r="D353" t="s">
        <v>73</v>
      </c>
      <c r="E353">
        <v>18</v>
      </c>
      <c r="F353" s="2">
        <v>3.0136986301369899E-2</v>
      </c>
      <c r="H353" s="33">
        <v>1</v>
      </c>
      <c r="I353" t="s">
        <v>0</v>
      </c>
      <c r="J353" t="s">
        <v>73</v>
      </c>
      <c r="K353">
        <v>18</v>
      </c>
      <c r="L353" s="63">
        <v>8.7671232876712329E-2</v>
      </c>
      <c r="M353">
        <v>33</v>
      </c>
    </row>
    <row r="354" spans="2:13" x14ac:dyDescent="0.25">
      <c r="B354" s="33">
        <v>1</v>
      </c>
      <c r="C354" t="s">
        <v>57</v>
      </c>
      <c r="D354" t="s">
        <v>58</v>
      </c>
      <c r="E354">
        <v>19</v>
      </c>
      <c r="F354" s="2">
        <v>7.9452054794520596E-2</v>
      </c>
      <c r="H354" s="33">
        <v>1</v>
      </c>
      <c r="I354" t="s">
        <v>57</v>
      </c>
      <c r="J354" t="s">
        <v>58</v>
      </c>
      <c r="K354">
        <v>19</v>
      </c>
      <c r="L354" s="63">
        <v>0.24931506849315069</v>
      </c>
      <c r="M354">
        <v>108</v>
      </c>
    </row>
    <row r="355" spans="2:13" x14ac:dyDescent="0.25">
      <c r="B355" s="33">
        <v>1</v>
      </c>
      <c r="C355" t="s">
        <v>231</v>
      </c>
      <c r="D355" t="s">
        <v>187</v>
      </c>
      <c r="E355">
        <v>22</v>
      </c>
      <c r="F355" s="2">
        <v>1.9178082191780799E-2</v>
      </c>
      <c r="H355" s="33">
        <v>1</v>
      </c>
      <c r="I355" t="s">
        <v>231</v>
      </c>
      <c r="J355" t="s">
        <v>187</v>
      </c>
      <c r="K355">
        <v>22</v>
      </c>
      <c r="L355" s="63">
        <v>5.2054794520547946E-2</v>
      </c>
      <c r="M355">
        <v>20</v>
      </c>
    </row>
    <row r="356" spans="2:13" x14ac:dyDescent="0.25">
      <c r="B356" s="33">
        <v>1</v>
      </c>
      <c r="C356" t="s">
        <v>59</v>
      </c>
      <c r="D356" t="s">
        <v>68</v>
      </c>
      <c r="E356">
        <v>22</v>
      </c>
      <c r="F356" s="2">
        <v>3.2876712328767099E-2</v>
      </c>
      <c r="H356" s="33">
        <v>1</v>
      </c>
      <c r="I356" t="s">
        <v>59</v>
      </c>
      <c r="J356" t="s">
        <v>68</v>
      </c>
      <c r="K356">
        <v>22</v>
      </c>
      <c r="L356" s="63">
        <v>4.3835616438356165E-2</v>
      </c>
      <c r="M356">
        <v>19</v>
      </c>
    </row>
    <row r="357" spans="2:13" x14ac:dyDescent="0.25">
      <c r="B357" s="33">
        <v>1</v>
      </c>
      <c r="C357" t="s">
        <v>231</v>
      </c>
      <c r="D357" t="s">
        <v>183</v>
      </c>
      <c r="E357">
        <v>22</v>
      </c>
      <c r="F357" s="2">
        <v>6.02739726027397E-2</v>
      </c>
      <c r="H357" s="33">
        <v>1</v>
      </c>
      <c r="I357" t="s">
        <v>231</v>
      </c>
      <c r="J357" t="s">
        <v>183</v>
      </c>
      <c r="K357">
        <v>22</v>
      </c>
      <c r="L357" s="63">
        <v>0.10136986301369863</v>
      </c>
      <c r="M357">
        <v>45</v>
      </c>
    </row>
    <row r="358" spans="2:13" x14ac:dyDescent="0.25">
      <c r="B358" s="33">
        <v>1</v>
      </c>
      <c r="C358" t="s">
        <v>292</v>
      </c>
      <c r="D358" t="s">
        <v>296</v>
      </c>
      <c r="E358">
        <v>23</v>
      </c>
      <c r="F358" s="2">
        <v>2.19178082191781E-2</v>
      </c>
      <c r="H358" s="33">
        <v>1</v>
      </c>
      <c r="I358" t="s">
        <v>292</v>
      </c>
      <c r="J358" t="s">
        <v>296</v>
      </c>
      <c r="K358">
        <v>23</v>
      </c>
      <c r="L358" s="63">
        <v>2.1917808219178082E-2</v>
      </c>
      <c r="M358">
        <v>8</v>
      </c>
    </row>
    <row r="359" spans="2:13" x14ac:dyDescent="0.25">
      <c r="B359" s="33">
        <v>1</v>
      </c>
      <c r="C359" t="s">
        <v>231</v>
      </c>
      <c r="D359" t="s">
        <v>183</v>
      </c>
      <c r="E359">
        <v>23</v>
      </c>
      <c r="F359" s="2">
        <v>2.46575342465753E-2</v>
      </c>
      <c r="H359" s="33">
        <v>1</v>
      </c>
      <c r="I359" t="s">
        <v>231</v>
      </c>
      <c r="J359" t="s">
        <v>183</v>
      </c>
      <c r="K359">
        <v>23</v>
      </c>
      <c r="L359" s="63">
        <v>6.3013698630136991E-2</v>
      </c>
      <c r="M359">
        <v>25</v>
      </c>
    </row>
    <row r="360" spans="2:13" x14ac:dyDescent="0.25">
      <c r="B360" s="33">
        <v>1</v>
      </c>
      <c r="C360" t="s">
        <v>57</v>
      </c>
      <c r="D360" t="s">
        <v>58</v>
      </c>
      <c r="E360">
        <v>23</v>
      </c>
      <c r="F360" s="2">
        <v>4.65753424657534E-2</v>
      </c>
      <c r="H360" s="33">
        <v>1</v>
      </c>
      <c r="I360" t="s">
        <v>57</v>
      </c>
      <c r="J360" t="s">
        <v>58</v>
      </c>
      <c r="K360">
        <v>23</v>
      </c>
      <c r="L360" s="63">
        <v>0.10136986301369863</v>
      </c>
      <c r="M360">
        <v>43</v>
      </c>
    </row>
    <row r="361" spans="2:13" x14ac:dyDescent="0.25">
      <c r="B361" s="33">
        <v>1</v>
      </c>
      <c r="C361" t="s">
        <v>231</v>
      </c>
      <c r="D361" t="s">
        <v>185</v>
      </c>
      <c r="E361">
        <v>0</v>
      </c>
      <c r="F361" s="2">
        <v>6.02739726027397E-2</v>
      </c>
      <c r="H361" s="33">
        <v>1</v>
      </c>
      <c r="I361" t="s">
        <v>231</v>
      </c>
      <c r="J361" t="s">
        <v>185</v>
      </c>
      <c r="K361">
        <v>0</v>
      </c>
      <c r="L361" s="63">
        <v>9.5890410958904104E-2</v>
      </c>
      <c r="M361">
        <v>39</v>
      </c>
    </row>
    <row r="362" spans="2:13" x14ac:dyDescent="0.25">
      <c r="B362" s="33">
        <v>1</v>
      </c>
      <c r="C362" t="s">
        <v>2</v>
      </c>
      <c r="D362" t="s">
        <v>26</v>
      </c>
      <c r="E362">
        <v>1</v>
      </c>
      <c r="F362" s="2">
        <v>1.3698630136986301E-2</v>
      </c>
      <c r="H362" s="33">
        <v>1</v>
      </c>
      <c r="I362" t="s">
        <v>2</v>
      </c>
      <c r="J362" t="s">
        <v>26</v>
      </c>
      <c r="K362">
        <v>1</v>
      </c>
      <c r="L362" s="63">
        <v>2.4657534246575342E-2</v>
      </c>
      <c r="M362">
        <v>9</v>
      </c>
    </row>
    <row r="363" spans="2:13" x14ac:dyDescent="0.25">
      <c r="B363" s="33">
        <v>1</v>
      </c>
      <c r="C363" t="s">
        <v>59</v>
      </c>
      <c r="D363" t="s">
        <v>76</v>
      </c>
      <c r="E363">
        <v>1</v>
      </c>
      <c r="F363" s="2">
        <v>5.4794520547945197E-3</v>
      </c>
      <c r="H363" s="33">
        <v>1</v>
      </c>
      <c r="I363" t="s">
        <v>59</v>
      </c>
      <c r="J363" t="s">
        <v>76</v>
      </c>
      <c r="K363">
        <v>1</v>
      </c>
      <c r="L363" s="63">
        <v>3.0136986301369864E-2</v>
      </c>
      <c r="M363">
        <v>11</v>
      </c>
    </row>
    <row r="364" spans="2:13" x14ac:dyDescent="0.25">
      <c r="B364" s="33">
        <v>1</v>
      </c>
      <c r="C364" t="s">
        <v>0</v>
      </c>
      <c r="D364" t="s">
        <v>56</v>
      </c>
      <c r="E364">
        <v>4</v>
      </c>
      <c r="F364" s="2">
        <v>1.3698630136986301E-2</v>
      </c>
      <c r="H364" s="33">
        <v>1</v>
      </c>
      <c r="I364" t="s">
        <v>0</v>
      </c>
      <c r="J364" t="s">
        <v>56</v>
      </c>
      <c r="K364">
        <v>4</v>
      </c>
      <c r="L364" s="63">
        <v>4.1095890410958902E-2</v>
      </c>
      <c r="M364">
        <v>15</v>
      </c>
    </row>
    <row r="365" spans="2:13" x14ac:dyDescent="0.25">
      <c r="B365" s="33">
        <v>1</v>
      </c>
      <c r="C365" t="s">
        <v>292</v>
      </c>
      <c r="D365" t="s">
        <v>296</v>
      </c>
      <c r="E365">
        <v>5</v>
      </c>
      <c r="F365" s="2">
        <v>2.7397260273972599E-3</v>
      </c>
      <c r="H365" s="33">
        <v>1</v>
      </c>
      <c r="I365" t="s">
        <v>292</v>
      </c>
      <c r="J365" t="s">
        <v>296</v>
      </c>
      <c r="K365">
        <v>5</v>
      </c>
      <c r="L365" s="63">
        <v>2.7397260273972603E-3</v>
      </c>
      <c r="M365">
        <v>1</v>
      </c>
    </row>
    <row r="366" spans="2:13" x14ac:dyDescent="0.25">
      <c r="B366" s="33">
        <v>1</v>
      </c>
      <c r="C366" t="s">
        <v>0</v>
      </c>
      <c r="D366" t="s">
        <v>65</v>
      </c>
      <c r="E366">
        <v>5</v>
      </c>
      <c r="F366" s="2">
        <v>8.21917808219178E-3</v>
      </c>
      <c r="H366" s="33">
        <v>1</v>
      </c>
      <c r="I366" t="s">
        <v>0</v>
      </c>
      <c r="J366" t="s">
        <v>65</v>
      </c>
      <c r="K366">
        <v>5</v>
      </c>
      <c r="L366" s="63">
        <v>2.7397260273972601E-2</v>
      </c>
      <c r="M366">
        <v>11</v>
      </c>
    </row>
    <row r="367" spans="2:13" x14ac:dyDescent="0.25">
      <c r="B367" s="33">
        <v>1</v>
      </c>
      <c r="C367" t="s">
        <v>57</v>
      </c>
      <c r="D367" t="s">
        <v>69</v>
      </c>
      <c r="E367">
        <v>6</v>
      </c>
      <c r="F367" s="2">
        <v>8.21917808219178E-3</v>
      </c>
      <c r="H367" s="33">
        <v>1</v>
      </c>
      <c r="I367" t="s">
        <v>57</v>
      </c>
      <c r="J367" t="s">
        <v>69</v>
      </c>
      <c r="K367">
        <v>6</v>
      </c>
      <c r="L367" s="63">
        <v>2.1917808219178082E-2</v>
      </c>
      <c r="M367">
        <v>8</v>
      </c>
    </row>
    <row r="368" spans="2:13" x14ac:dyDescent="0.25">
      <c r="B368" s="33">
        <v>1</v>
      </c>
      <c r="C368" t="s">
        <v>2</v>
      </c>
      <c r="D368" t="s">
        <v>316</v>
      </c>
      <c r="E368">
        <v>7</v>
      </c>
      <c r="F368" s="2">
        <v>7.3972602739726001E-2</v>
      </c>
      <c r="H368" s="33">
        <v>1</v>
      </c>
      <c r="I368" t="s">
        <v>2</v>
      </c>
      <c r="J368" t="s">
        <v>316</v>
      </c>
      <c r="K368">
        <v>7</v>
      </c>
      <c r="L368" s="63">
        <v>6.3013698630136991E-2</v>
      </c>
      <c r="M368">
        <v>27</v>
      </c>
    </row>
    <row r="369" spans="2:13" x14ac:dyDescent="0.25">
      <c r="B369" s="33">
        <v>1</v>
      </c>
      <c r="C369" t="s">
        <v>276</v>
      </c>
      <c r="D369" t="s">
        <v>290</v>
      </c>
      <c r="E369">
        <v>8</v>
      </c>
      <c r="F369" s="2">
        <v>3.0136986301369899E-2</v>
      </c>
      <c r="H369" s="33">
        <v>1</v>
      </c>
      <c r="I369" t="s">
        <v>276</v>
      </c>
      <c r="J369" t="s">
        <v>290</v>
      </c>
      <c r="K369">
        <v>8</v>
      </c>
      <c r="L369" s="63">
        <v>2.7397260273972601E-2</v>
      </c>
      <c r="M369">
        <v>11</v>
      </c>
    </row>
    <row r="370" spans="2:13" x14ac:dyDescent="0.25">
      <c r="B370" s="33">
        <v>1</v>
      </c>
      <c r="C370" t="s">
        <v>307</v>
      </c>
      <c r="D370" t="s">
        <v>313</v>
      </c>
      <c r="E370">
        <v>8</v>
      </c>
      <c r="F370" s="2">
        <v>0.13150684931506801</v>
      </c>
      <c r="H370" s="33">
        <v>1</v>
      </c>
      <c r="I370" t="s">
        <v>307</v>
      </c>
      <c r="J370" t="s">
        <v>313</v>
      </c>
      <c r="K370">
        <v>8</v>
      </c>
      <c r="L370" s="63">
        <v>9.5890410958904104E-2</v>
      </c>
      <c r="M370">
        <v>48</v>
      </c>
    </row>
    <row r="371" spans="2:13" x14ac:dyDescent="0.25">
      <c r="B371" s="33">
        <v>1</v>
      </c>
      <c r="C371" t="s">
        <v>0</v>
      </c>
      <c r="D371" t="s">
        <v>62</v>
      </c>
      <c r="E371">
        <v>8</v>
      </c>
      <c r="F371" s="2">
        <v>0.106849315068493</v>
      </c>
      <c r="H371" s="33">
        <v>1</v>
      </c>
      <c r="I371" t="s">
        <v>0</v>
      </c>
      <c r="J371" t="s">
        <v>62</v>
      </c>
      <c r="K371">
        <v>8</v>
      </c>
      <c r="L371" s="63">
        <v>0.17534246575342466</v>
      </c>
      <c r="M371">
        <v>82</v>
      </c>
    </row>
    <row r="372" spans="2:13" x14ac:dyDescent="0.25">
      <c r="B372" s="33">
        <v>1</v>
      </c>
      <c r="C372" t="s">
        <v>231</v>
      </c>
      <c r="D372" t="s">
        <v>187</v>
      </c>
      <c r="E372">
        <v>8</v>
      </c>
      <c r="F372" s="2">
        <v>7.1232876712328794E-2</v>
      </c>
      <c r="H372" s="33">
        <v>1</v>
      </c>
      <c r="I372" t="s">
        <v>231</v>
      </c>
      <c r="J372" t="s">
        <v>187</v>
      </c>
      <c r="K372">
        <v>8</v>
      </c>
      <c r="L372" s="63">
        <v>0.14794520547945206</v>
      </c>
      <c r="M372">
        <v>59</v>
      </c>
    </row>
    <row r="373" spans="2:13" x14ac:dyDescent="0.25">
      <c r="B373" s="33">
        <v>1</v>
      </c>
      <c r="C373" t="s">
        <v>59</v>
      </c>
      <c r="D373" t="s">
        <v>68</v>
      </c>
      <c r="E373">
        <v>9</v>
      </c>
      <c r="F373" s="2">
        <v>8.2191780821917804E-2</v>
      </c>
      <c r="H373" s="33">
        <v>1</v>
      </c>
      <c r="I373" t="s">
        <v>59</v>
      </c>
      <c r="J373" t="s">
        <v>68</v>
      </c>
      <c r="K373">
        <v>9</v>
      </c>
      <c r="L373" s="63">
        <v>9.8630136986301367E-2</v>
      </c>
      <c r="M373">
        <v>41</v>
      </c>
    </row>
    <row r="374" spans="2:13" x14ac:dyDescent="0.25">
      <c r="B374" s="33">
        <v>1</v>
      </c>
      <c r="C374" t="s">
        <v>276</v>
      </c>
      <c r="D374" t="s">
        <v>286</v>
      </c>
      <c r="E374">
        <v>9</v>
      </c>
      <c r="F374" s="2">
        <v>4.1095890410958902E-2</v>
      </c>
      <c r="H374" s="33">
        <v>1</v>
      </c>
      <c r="I374" t="s">
        <v>276</v>
      </c>
      <c r="J374" t="s">
        <v>286</v>
      </c>
      <c r="K374">
        <v>9</v>
      </c>
      <c r="L374" s="63">
        <v>4.1095890410958902E-2</v>
      </c>
      <c r="M374">
        <v>15</v>
      </c>
    </row>
    <row r="375" spans="2:13" x14ac:dyDescent="0.25">
      <c r="B375" s="33">
        <v>1</v>
      </c>
      <c r="C375" t="s">
        <v>307</v>
      </c>
      <c r="D375" t="s">
        <v>312</v>
      </c>
      <c r="E375">
        <v>9</v>
      </c>
      <c r="F375" s="2">
        <v>0.13698630136986301</v>
      </c>
      <c r="H375" s="33">
        <v>1</v>
      </c>
      <c r="I375" t="s">
        <v>307</v>
      </c>
      <c r="J375" t="s">
        <v>312</v>
      </c>
      <c r="K375">
        <v>9</v>
      </c>
      <c r="L375" s="63">
        <v>0.10684931506849316</v>
      </c>
      <c r="M375">
        <v>50</v>
      </c>
    </row>
    <row r="376" spans="2:13" x14ac:dyDescent="0.25">
      <c r="B376" s="33">
        <v>1</v>
      </c>
      <c r="C376" t="s">
        <v>307</v>
      </c>
      <c r="D376" t="s">
        <v>393</v>
      </c>
      <c r="E376">
        <v>9</v>
      </c>
      <c r="F376" s="2">
        <v>0.18904109589041099</v>
      </c>
      <c r="H376" s="33">
        <v>1</v>
      </c>
      <c r="I376" t="s">
        <v>307</v>
      </c>
      <c r="J376" t="s">
        <v>393</v>
      </c>
      <c r="K376">
        <v>9</v>
      </c>
      <c r="L376" s="63">
        <v>0.16164383561643836</v>
      </c>
      <c r="M376">
        <v>69</v>
      </c>
    </row>
    <row r="377" spans="2:13" x14ac:dyDescent="0.25">
      <c r="B377" s="33">
        <v>1</v>
      </c>
      <c r="C377" t="s">
        <v>2</v>
      </c>
      <c r="D377" t="s">
        <v>317</v>
      </c>
      <c r="E377">
        <v>9</v>
      </c>
      <c r="F377" s="2">
        <v>0.312328767123288</v>
      </c>
      <c r="H377" s="33">
        <v>1</v>
      </c>
      <c r="I377" t="s">
        <v>2</v>
      </c>
      <c r="J377" t="s">
        <v>317</v>
      </c>
      <c r="K377">
        <v>9</v>
      </c>
      <c r="L377" s="63">
        <v>0.26027397260273971</v>
      </c>
      <c r="M377">
        <v>114</v>
      </c>
    </row>
    <row r="378" spans="2:13" x14ac:dyDescent="0.25">
      <c r="B378" s="33">
        <v>1</v>
      </c>
      <c r="C378" t="s">
        <v>0</v>
      </c>
      <c r="D378" t="s">
        <v>65</v>
      </c>
      <c r="E378">
        <v>9</v>
      </c>
      <c r="F378" s="2">
        <v>0.145205479452055</v>
      </c>
      <c r="H378" s="33">
        <v>1</v>
      </c>
      <c r="I378" t="s">
        <v>0</v>
      </c>
      <c r="J378" t="s">
        <v>65</v>
      </c>
      <c r="K378">
        <v>9</v>
      </c>
      <c r="L378" s="63">
        <v>0.15068493150684931</v>
      </c>
      <c r="M378">
        <v>68</v>
      </c>
    </row>
    <row r="379" spans="2:13" x14ac:dyDescent="0.25">
      <c r="B379" s="33">
        <v>1</v>
      </c>
      <c r="C379" t="s">
        <v>0</v>
      </c>
      <c r="D379" t="s">
        <v>61</v>
      </c>
      <c r="E379">
        <v>10</v>
      </c>
      <c r="F379" s="2">
        <v>7.3972602739726001E-2</v>
      </c>
      <c r="H379" s="33">
        <v>1</v>
      </c>
      <c r="I379" t="s">
        <v>0</v>
      </c>
      <c r="J379" t="s">
        <v>61</v>
      </c>
      <c r="K379">
        <v>10</v>
      </c>
      <c r="L379" s="63">
        <v>0.15342465753424658</v>
      </c>
      <c r="M379">
        <v>68</v>
      </c>
    </row>
    <row r="380" spans="2:13" x14ac:dyDescent="0.25">
      <c r="B380" s="33">
        <v>1</v>
      </c>
      <c r="C380" t="s">
        <v>2</v>
      </c>
      <c r="D380" t="s">
        <v>317</v>
      </c>
      <c r="E380">
        <v>10</v>
      </c>
      <c r="F380" s="2">
        <v>0.120547945205479</v>
      </c>
      <c r="H380" s="33">
        <v>1</v>
      </c>
      <c r="I380" t="s">
        <v>2</v>
      </c>
      <c r="J380" t="s">
        <v>317</v>
      </c>
      <c r="K380">
        <v>10</v>
      </c>
      <c r="L380" s="63">
        <v>0.11506849315068493</v>
      </c>
      <c r="M380">
        <v>44</v>
      </c>
    </row>
    <row r="381" spans="2:13" x14ac:dyDescent="0.25">
      <c r="B381" s="33">
        <v>1</v>
      </c>
      <c r="C381" t="s">
        <v>59</v>
      </c>
      <c r="D381" t="s">
        <v>76</v>
      </c>
      <c r="E381">
        <v>10</v>
      </c>
      <c r="F381" s="2">
        <v>3.2876712328767099E-2</v>
      </c>
      <c r="H381" s="33">
        <v>1</v>
      </c>
      <c r="I381" t="s">
        <v>59</v>
      </c>
      <c r="J381" t="s">
        <v>76</v>
      </c>
      <c r="K381">
        <v>10</v>
      </c>
      <c r="L381" s="63">
        <v>4.9315068493150684E-2</v>
      </c>
      <c r="M381">
        <v>18</v>
      </c>
    </row>
    <row r="382" spans="2:13" x14ac:dyDescent="0.25">
      <c r="B382" s="33">
        <v>1</v>
      </c>
      <c r="C382" t="s">
        <v>0</v>
      </c>
      <c r="D382" t="s">
        <v>73</v>
      </c>
      <c r="E382">
        <v>10</v>
      </c>
      <c r="F382" s="2">
        <v>2.7397260273972601E-2</v>
      </c>
      <c r="H382" s="33">
        <v>1</v>
      </c>
      <c r="I382" t="s">
        <v>0</v>
      </c>
      <c r="J382" t="s">
        <v>73</v>
      </c>
      <c r="K382">
        <v>10</v>
      </c>
      <c r="L382" s="63">
        <v>8.2191780821917804E-2</v>
      </c>
      <c r="M382">
        <v>38</v>
      </c>
    </row>
    <row r="383" spans="2:13" x14ac:dyDescent="0.25">
      <c r="B383" s="33">
        <v>1</v>
      </c>
      <c r="C383" t="s">
        <v>231</v>
      </c>
      <c r="D383" t="s">
        <v>187</v>
      </c>
      <c r="E383">
        <v>10</v>
      </c>
      <c r="F383" s="2">
        <v>0.120547945205479</v>
      </c>
      <c r="H383" s="33">
        <v>1</v>
      </c>
      <c r="I383" t="s">
        <v>231</v>
      </c>
      <c r="J383" t="s">
        <v>187</v>
      </c>
      <c r="K383">
        <v>10</v>
      </c>
      <c r="L383" s="63">
        <v>0.19178082191780821</v>
      </c>
      <c r="M383">
        <v>91</v>
      </c>
    </row>
    <row r="384" spans="2:13" x14ac:dyDescent="0.25">
      <c r="B384" s="33">
        <v>1</v>
      </c>
      <c r="C384" t="s">
        <v>0</v>
      </c>
      <c r="D384" t="s">
        <v>62</v>
      </c>
      <c r="E384">
        <v>10</v>
      </c>
      <c r="F384" s="2">
        <v>9.5890410958904104E-2</v>
      </c>
      <c r="H384" s="33">
        <v>1</v>
      </c>
      <c r="I384" t="s">
        <v>0</v>
      </c>
      <c r="J384" t="s">
        <v>62</v>
      </c>
      <c r="K384">
        <v>10</v>
      </c>
      <c r="L384" s="63">
        <v>0.16164383561643836</v>
      </c>
      <c r="M384">
        <v>65</v>
      </c>
    </row>
    <row r="385" spans="2:13" x14ac:dyDescent="0.25">
      <c r="B385" s="33">
        <v>1</v>
      </c>
      <c r="C385" t="s">
        <v>2</v>
      </c>
      <c r="D385" t="s">
        <v>26</v>
      </c>
      <c r="E385">
        <v>11</v>
      </c>
      <c r="F385" s="2">
        <v>8.4931506849315094E-2</v>
      </c>
      <c r="H385" s="33">
        <v>1</v>
      </c>
      <c r="I385" t="s">
        <v>2</v>
      </c>
      <c r="J385" t="s">
        <v>26</v>
      </c>
      <c r="K385">
        <v>11</v>
      </c>
      <c r="L385" s="63">
        <v>0.12602739726027398</v>
      </c>
      <c r="M385">
        <v>49</v>
      </c>
    </row>
    <row r="386" spans="2:13" x14ac:dyDescent="0.25">
      <c r="B386" s="33">
        <v>1</v>
      </c>
      <c r="C386" t="s">
        <v>307</v>
      </c>
      <c r="D386" t="s">
        <v>308</v>
      </c>
      <c r="E386">
        <v>11</v>
      </c>
      <c r="F386" s="2">
        <v>3.8356164383561597E-2</v>
      </c>
      <c r="H386" s="33">
        <v>1</v>
      </c>
      <c r="I386" t="s">
        <v>307</v>
      </c>
      <c r="J386" t="s">
        <v>308</v>
      </c>
      <c r="K386">
        <v>11</v>
      </c>
      <c r="L386" s="63">
        <v>3.5616438356164383E-2</v>
      </c>
      <c r="M386">
        <v>14</v>
      </c>
    </row>
    <row r="387" spans="2:13" x14ac:dyDescent="0.25">
      <c r="B387" s="33">
        <v>1</v>
      </c>
      <c r="C387" t="s">
        <v>2</v>
      </c>
      <c r="D387" t="s">
        <v>316</v>
      </c>
      <c r="E387">
        <v>11</v>
      </c>
      <c r="F387" s="2">
        <v>0.164383561643836</v>
      </c>
      <c r="H387" s="33">
        <v>1</v>
      </c>
      <c r="I387" t="s">
        <v>2</v>
      </c>
      <c r="J387" t="s">
        <v>316</v>
      </c>
      <c r="K387">
        <v>11</v>
      </c>
      <c r="L387" s="63">
        <v>0.15342465753424658</v>
      </c>
      <c r="M387">
        <v>60</v>
      </c>
    </row>
    <row r="388" spans="2:13" x14ac:dyDescent="0.25">
      <c r="B388" s="33">
        <v>1</v>
      </c>
      <c r="C388" t="s">
        <v>59</v>
      </c>
      <c r="D388" t="s">
        <v>76</v>
      </c>
      <c r="E388">
        <v>12</v>
      </c>
      <c r="F388" s="2">
        <v>3.5616438356164397E-2</v>
      </c>
      <c r="H388" s="33">
        <v>1</v>
      </c>
      <c r="I388" t="s">
        <v>59</v>
      </c>
      <c r="J388" t="s">
        <v>76</v>
      </c>
      <c r="K388">
        <v>12</v>
      </c>
      <c r="L388" s="63">
        <v>6.0273972602739728E-2</v>
      </c>
      <c r="M388">
        <v>23</v>
      </c>
    </row>
    <row r="389" spans="2:13" x14ac:dyDescent="0.25">
      <c r="B389" s="33">
        <v>1</v>
      </c>
      <c r="C389" t="s">
        <v>231</v>
      </c>
      <c r="D389" t="s">
        <v>189</v>
      </c>
      <c r="E389">
        <v>12</v>
      </c>
      <c r="F389" s="2">
        <v>7.3972602739726001E-2</v>
      </c>
      <c r="H389" s="33">
        <v>1</v>
      </c>
      <c r="I389" t="s">
        <v>231</v>
      </c>
      <c r="J389" t="s">
        <v>189</v>
      </c>
      <c r="K389">
        <v>12</v>
      </c>
      <c r="L389" s="63">
        <v>0.14246575342465753</v>
      </c>
      <c r="M389">
        <v>62</v>
      </c>
    </row>
    <row r="390" spans="2:13" x14ac:dyDescent="0.25">
      <c r="B390" s="33">
        <v>1</v>
      </c>
      <c r="C390" t="s">
        <v>57</v>
      </c>
      <c r="D390" t="s">
        <v>67</v>
      </c>
      <c r="E390">
        <v>12</v>
      </c>
      <c r="F390" s="2">
        <v>5.2054794520547898E-2</v>
      </c>
      <c r="H390" s="33">
        <v>1</v>
      </c>
      <c r="I390" t="s">
        <v>57</v>
      </c>
      <c r="J390" t="s">
        <v>67</v>
      </c>
      <c r="K390">
        <v>12</v>
      </c>
      <c r="L390" s="63">
        <v>0.12602739726027398</v>
      </c>
      <c r="M390">
        <v>49</v>
      </c>
    </row>
    <row r="391" spans="2:13" x14ac:dyDescent="0.25">
      <c r="B391" s="33">
        <v>1</v>
      </c>
      <c r="C391" t="s">
        <v>231</v>
      </c>
      <c r="D391" t="s">
        <v>186</v>
      </c>
      <c r="E391">
        <v>13</v>
      </c>
      <c r="F391" s="2">
        <v>3.2876712328767099E-2</v>
      </c>
      <c r="H391" s="33">
        <v>1</v>
      </c>
      <c r="I391" t="s">
        <v>231</v>
      </c>
      <c r="J391" t="s">
        <v>186</v>
      </c>
      <c r="K391">
        <v>13</v>
      </c>
      <c r="L391" s="63">
        <v>9.3150684931506855E-2</v>
      </c>
      <c r="M391">
        <v>35</v>
      </c>
    </row>
    <row r="392" spans="2:13" x14ac:dyDescent="0.25">
      <c r="B392" s="33">
        <v>1</v>
      </c>
      <c r="C392" t="s">
        <v>307</v>
      </c>
      <c r="D392" t="s">
        <v>394</v>
      </c>
      <c r="E392">
        <v>14</v>
      </c>
      <c r="F392" s="2">
        <v>6.5753424657534199E-2</v>
      </c>
      <c r="H392" s="33">
        <v>1</v>
      </c>
      <c r="I392" t="s">
        <v>307</v>
      </c>
      <c r="J392" t="s">
        <v>314</v>
      </c>
      <c r="K392">
        <v>14</v>
      </c>
      <c r="L392" s="63">
        <v>6.575342465753424E-2</v>
      </c>
      <c r="M392">
        <v>24</v>
      </c>
    </row>
    <row r="393" spans="2:13" x14ac:dyDescent="0.25">
      <c r="B393" s="33">
        <v>1</v>
      </c>
      <c r="C393" t="s">
        <v>0</v>
      </c>
      <c r="D393" t="s">
        <v>62</v>
      </c>
      <c r="E393">
        <v>14</v>
      </c>
      <c r="F393" s="2">
        <v>6.8493150684931503E-2</v>
      </c>
      <c r="H393" s="33">
        <v>1</v>
      </c>
      <c r="I393" t="s">
        <v>0</v>
      </c>
      <c r="J393" t="s">
        <v>62</v>
      </c>
      <c r="K393">
        <v>14</v>
      </c>
      <c r="L393" s="63">
        <v>0.10684931506849316</v>
      </c>
      <c r="M393">
        <v>48</v>
      </c>
    </row>
    <row r="394" spans="2:13" x14ac:dyDescent="0.25">
      <c r="B394" s="33">
        <v>1</v>
      </c>
      <c r="C394" t="s">
        <v>231</v>
      </c>
      <c r="D394" t="s">
        <v>184</v>
      </c>
      <c r="E394">
        <v>16</v>
      </c>
      <c r="F394" s="2">
        <v>0.13424657534246601</v>
      </c>
      <c r="H394" s="33">
        <v>1</v>
      </c>
      <c r="I394" t="s">
        <v>231</v>
      </c>
      <c r="J394" t="s">
        <v>184</v>
      </c>
      <c r="K394">
        <v>16</v>
      </c>
      <c r="L394" s="63">
        <v>0.32054794520547947</v>
      </c>
      <c r="M394">
        <v>142</v>
      </c>
    </row>
    <row r="395" spans="2:13" x14ac:dyDescent="0.25">
      <c r="B395" s="33">
        <v>1</v>
      </c>
      <c r="C395" t="s">
        <v>0</v>
      </c>
      <c r="D395" t="s">
        <v>62</v>
      </c>
      <c r="E395">
        <v>16</v>
      </c>
      <c r="F395" s="2">
        <v>0.12876712328767101</v>
      </c>
      <c r="H395" s="33">
        <v>1</v>
      </c>
      <c r="I395" t="s">
        <v>0</v>
      </c>
      <c r="J395" t="s">
        <v>62</v>
      </c>
      <c r="K395">
        <v>16</v>
      </c>
      <c r="L395" s="63">
        <v>0.19452054794520549</v>
      </c>
      <c r="M395">
        <v>89</v>
      </c>
    </row>
    <row r="396" spans="2:13" x14ac:dyDescent="0.25">
      <c r="B396" s="33">
        <v>1</v>
      </c>
      <c r="C396" t="s">
        <v>57</v>
      </c>
      <c r="D396" t="s">
        <v>77</v>
      </c>
      <c r="E396">
        <v>17</v>
      </c>
      <c r="F396" s="2">
        <v>1.3698630136986301E-2</v>
      </c>
      <c r="H396" s="33">
        <v>1</v>
      </c>
      <c r="I396" t="s">
        <v>57</v>
      </c>
      <c r="J396" t="s">
        <v>77</v>
      </c>
      <c r="K396">
        <v>17</v>
      </c>
      <c r="L396" s="63">
        <v>3.0136986301369864E-2</v>
      </c>
      <c r="M396">
        <v>12</v>
      </c>
    </row>
    <row r="397" spans="2:13" x14ac:dyDescent="0.25">
      <c r="B397" s="33">
        <v>1</v>
      </c>
      <c r="C397" t="s">
        <v>307</v>
      </c>
      <c r="D397" t="s">
        <v>310</v>
      </c>
      <c r="E397">
        <v>17</v>
      </c>
      <c r="F397" s="2">
        <v>4.3835616438356199E-2</v>
      </c>
      <c r="H397" s="33">
        <v>1</v>
      </c>
      <c r="I397" t="s">
        <v>307</v>
      </c>
      <c r="J397" t="s">
        <v>310</v>
      </c>
      <c r="K397">
        <v>17</v>
      </c>
      <c r="L397" s="63">
        <v>4.1095890410958902E-2</v>
      </c>
      <c r="M397">
        <v>16</v>
      </c>
    </row>
    <row r="398" spans="2:13" x14ac:dyDescent="0.25">
      <c r="B398" s="33">
        <v>1</v>
      </c>
      <c r="C398" t="s">
        <v>231</v>
      </c>
      <c r="D398" t="s">
        <v>188</v>
      </c>
      <c r="E398">
        <v>18</v>
      </c>
      <c r="F398" s="2">
        <v>7.1232876712328794E-2</v>
      </c>
      <c r="H398" s="33">
        <v>1</v>
      </c>
      <c r="I398" t="s">
        <v>231</v>
      </c>
      <c r="J398" t="s">
        <v>188</v>
      </c>
      <c r="K398">
        <v>18</v>
      </c>
      <c r="L398" s="63">
        <v>0.14520547945205478</v>
      </c>
      <c r="M398">
        <v>60</v>
      </c>
    </row>
    <row r="399" spans="2:13" x14ac:dyDescent="0.25">
      <c r="B399" s="33">
        <v>1</v>
      </c>
      <c r="C399" t="s">
        <v>0</v>
      </c>
      <c r="D399" t="s">
        <v>72</v>
      </c>
      <c r="E399">
        <v>18</v>
      </c>
      <c r="F399" s="2">
        <v>5.4794520547945202E-2</v>
      </c>
      <c r="H399" s="33">
        <v>1</v>
      </c>
      <c r="I399" t="s">
        <v>0</v>
      </c>
      <c r="J399" t="s">
        <v>72</v>
      </c>
      <c r="K399">
        <v>18</v>
      </c>
      <c r="L399" s="63">
        <v>9.8630136986301367E-2</v>
      </c>
      <c r="M399">
        <v>43</v>
      </c>
    </row>
    <row r="400" spans="2:13" x14ac:dyDescent="0.25">
      <c r="B400" s="33">
        <v>1</v>
      </c>
      <c r="C400" t="s">
        <v>0</v>
      </c>
      <c r="D400" t="s">
        <v>73</v>
      </c>
      <c r="E400">
        <v>19</v>
      </c>
      <c r="F400" s="2">
        <v>6.5753424657534199E-2</v>
      </c>
      <c r="H400" s="33">
        <v>1</v>
      </c>
      <c r="I400" t="s">
        <v>0</v>
      </c>
      <c r="J400" t="s">
        <v>73</v>
      </c>
      <c r="K400">
        <v>19</v>
      </c>
      <c r="L400" s="63">
        <v>8.7671232876712329E-2</v>
      </c>
      <c r="M400">
        <v>39</v>
      </c>
    </row>
    <row r="401" spans="2:13" x14ac:dyDescent="0.25">
      <c r="B401" s="33">
        <v>1</v>
      </c>
      <c r="C401" t="s">
        <v>276</v>
      </c>
      <c r="D401" t="s">
        <v>291</v>
      </c>
      <c r="E401">
        <v>19</v>
      </c>
      <c r="F401" s="2">
        <v>6.3013698630137005E-2</v>
      </c>
      <c r="H401" s="33">
        <v>1</v>
      </c>
      <c r="I401" t="s">
        <v>276</v>
      </c>
      <c r="J401" t="s">
        <v>291</v>
      </c>
      <c r="K401">
        <v>19</v>
      </c>
      <c r="L401" s="63">
        <v>5.7534246575342465E-2</v>
      </c>
      <c r="M401">
        <v>23</v>
      </c>
    </row>
    <row r="402" spans="2:13" x14ac:dyDescent="0.25">
      <c r="B402" s="33">
        <v>1</v>
      </c>
      <c r="C402" t="s">
        <v>59</v>
      </c>
      <c r="D402" t="s">
        <v>76</v>
      </c>
      <c r="E402">
        <v>19</v>
      </c>
      <c r="F402" s="2">
        <v>4.65753424657534E-2</v>
      </c>
      <c r="H402" s="33">
        <v>1</v>
      </c>
      <c r="I402" t="s">
        <v>59</v>
      </c>
      <c r="J402" t="s">
        <v>76</v>
      </c>
      <c r="K402">
        <v>19</v>
      </c>
      <c r="L402" s="63">
        <v>9.8630136986301367E-2</v>
      </c>
      <c r="M402">
        <v>42</v>
      </c>
    </row>
    <row r="403" spans="2:13" x14ac:dyDescent="0.25">
      <c r="B403" s="33">
        <v>1</v>
      </c>
      <c r="C403" t="s">
        <v>2</v>
      </c>
      <c r="D403" t="s">
        <v>36</v>
      </c>
      <c r="E403">
        <v>19</v>
      </c>
      <c r="F403" s="2">
        <v>8.2191780821917804E-2</v>
      </c>
      <c r="H403" s="33">
        <v>1</v>
      </c>
      <c r="I403" t="s">
        <v>2</v>
      </c>
      <c r="J403" t="s">
        <v>36</v>
      </c>
      <c r="K403">
        <v>19</v>
      </c>
      <c r="L403" s="63">
        <v>0.11506849315068493</v>
      </c>
      <c r="M403">
        <v>46</v>
      </c>
    </row>
    <row r="404" spans="2:13" x14ac:dyDescent="0.25">
      <c r="B404" s="33">
        <v>1</v>
      </c>
      <c r="C404" t="s">
        <v>57</v>
      </c>
      <c r="D404" t="s">
        <v>67</v>
      </c>
      <c r="E404">
        <v>21</v>
      </c>
      <c r="F404" s="2">
        <v>3.5616438356164397E-2</v>
      </c>
      <c r="H404" s="33">
        <v>1</v>
      </c>
      <c r="I404" t="s">
        <v>57</v>
      </c>
      <c r="J404" t="s">
        <v>67</v>
      </c>
      <c r="K404">
        <v>21</v>
      </c>
      <c r="L404" s="63">
        <v>0.1095890410958904</v>
      </c>
      <c r="M404">
        <v>43</v>
      </c>
    </row>
    <row r="405" spans="2:13" x14ac:dyDescent="0.25">
      <c r="B405" s="33">
        <v>1</v>
      </c>
      <c r="C405" t="s">
        <v>0</v>
      </c>
      <c r="D405" t="s">
        <v>79</v>
      </c>
      <c r="E405">
        <v>21</v>
      </c>
      <c r="F405" s="2">
        <v>5.4794520547945197E-3</v>
      </c>
      <c r="H405" s="33">
        <v>1</v>
      </c>
      <c r="I405" t="s">
        <v>0</v>
      </c>
      <c r="J405" t="s">
        <v>79</v>
      </c>
      <c r="K405">
        <v>21</v>
      </c>
      <c r="L405" s="63">
        <v>1.3698630136986301E-2</v>
      </c>
      <c r="M405">
        <v>5</v>
      </c>
    </row>
    <row r="406" spans="2:13" x14ac:dyDescent="0.25">
      <c r="B406" s="33">
        <v>1</v>
      </c>
      <c r="C406" t="s">
        <v>57</v>
      </c>
      <c r="D406" t="s">
        <v>74</v>
      </c>
      <c r="E406">
        <v>21</v>
      </c>
      <c r="F406" s="2">
        <v>3.8356164383561597E-2</v>
      </c>
      <c r="H406" s="33">
        <v>1</v>
      </c>
      <c r="I406" t="s">
        <v>57</v>
      </c>
      <c r="J406" t="s">
        <v>74</v>
      </c>
      <c r="K406">
        <v>21</v>
      </c>
      <c r="L406" s="63">
        <v>5.7534246575342465E-2</v>
      </c>
      <c r="M406">
        <v>23</v>
      </c>
    </row>
    <row r="407" spans="2:13" x14ac:dyDescent="0.25">
      <c r="B407" s="33">
        <v>1</v>
      </c>
      <c r="C407" t="s">
        <v>59</v>
      </c>
      <c r="D407" t="s">
        <v>76</v>
      </c>
      <c r="E407">
        <v>22</v>
      </c>
      <c r="F407" s="2">
        <v>1.9178082191780799E-2</v>
      </c>
      <c r="H407" s="33">
        <v>1</v>
      </c>
      <c r="I407" t="s">
        <v>59</v>
      </c>
      <c r="J407" t="s">
        <v>76</v>
      </c>
      <c r="K407">
        <v>22</v>
      </c>
      <c r="L407" s="63">
        <v>3.8356164383561646E-2</v>
      </c>
      <c r="M407">
        <v>15</v>
      </c>
    </row>
    <row r="408" spans="2:13" x14ac:dyDescent="0.25">
      <c r="B408" s="33">
        <v>1</v>
      </c>
      <c r="C408" t="s">
        <v>2</v>
      </c>
      <c r="D408" t="s">
        <v>317</v>
      </c>
      <c r="E408">
        <v>0</v>
      </c>
      <c r="F408" s="2">
        <v>5.4794520547945202E-2</v>
      </c>
      <c r="H408" s="33">
        <v>1</v>
      </c>
      <c r="I408" t="s">
        <v>2</v>
      </c>
      <c r="J408" t="s">
        <v>317</v>
      </c>
      <c r="K408">
        <v>0</v>
      </c>
      <c r="L408" s="63">
        <v>5.2054794520547946E-2</v>
      </c>
      <c r="M408">
        <v>20</v>
      </c>
    </row>
    <row r="409" spans="2:13" x14ac:dyDescent="0.25">
      <c r="B409" s="33">
        <v>1</v>
      </c>
      <c r="C409" t="s">
        <v>57</v>
      </c>
      <c r="D409" t="s">
        <v>67</v>
      </c>
      <c r="E409">
        <v>1</v>
      </c>
      <c r="F409" s="2">
        <v>1.6438356164383602E-2</v>
      </c>
      <c r="H409" s="33">
        <v>1</v>
      </c>
      <c r="I409" t="s">
        <v>57</v>
      </c>
      <c r="J409" t="s">
        <v>67</v>
      </c>
      <c r="K409">
        <v>1</v>
      </c>
      <c r="L409" s="63">
        <v>5.4794520547945202E-2</v>
      </c>
      <c r="M409">
        <v>23</v>
      </c>
    </row>
    <row r="410" spans="2:13" x14ac:dyDescent="0.25">
      <c r="B410" s="33">
        <v>1</v>
      </c>
      <c r="C410" t="s">
        <v>0</v>
      </c>
      <c r="D410" t="s">
        <v>61</v>
      </c>
      <c r="E410">
        <v>2</v>
      </c>
      <c r="F410" s="2">
        <v>1.0958904109589E-2</v>
      </c>
      <c r="H410" s="33">
        <v>1</v>
      </c>
      <c r="I410" t="s">
        <v>0</v>
      </c>
      <c r="J410" t="s">
        <v>61</v>
      </c>
      <c r="K410">
        <v>2</v>
      </c>
      <c r="L410" s="63">
        <v>3.5616438356164383E-2</v>
      </c>
      <c r="M410">
        <v>16</v>
      </c>
    </row>
    <row r="411" spans="2:13" x14ac:dyDescent="0.25">
      <c r="B411" s="33">
        <v>1</v>
      </c>
      <c r="C411" t="s">
        <v>2</v>
      </c>
      <c r="D411" t="s">
        <v>317</v>
      </c>
      <c r="E411">
        <v>4</v>
      </c>
      <c r="F411" s="2">
        <v>3.2876712328767099E-2</v>
      </c>
      <c r="H411" s="33">
        <v>1</v>
      </c>
      <c r="I411" t="s">
        <v>2</v>
      </c>
      <c r="J411" t="s">
        <v>317</v>
      </c>
      <c r="K411">
        <v>4</v>
      </c>
      <c r="L411" s="63">
        <v>2.7397260273972601E-2</v>
      </c>
      <c r="M411">
        <v>12</v>
      </c>
    </row>
    <row r="412" spans="2:13" x14ac:dyDescent="0.25">
      <c r="B412" s="33">
        <v>1</v>
      </c>
      <c r="C412" t="s">
        <v>0</v>
      </c>
      <c r="D412" t="s">
        <v>56</v>
      </c>
      <c r="E412">
        <v>6</v>
      </c>
      <c r="F412" s="2">
        <v>4.3835616438356199E-2</v>
      </c>
      <c r="H412" s="33">
        <v>1</v>
      </c>
      <c r="I412" t="s">
        <v>0</v>
      </c>
      <c r="J412" t="s">
        <v>56</v>
      </c>
      <c r="K412">
        <v>6</v>
      </c>
      <c r="L412" s="63">
        <v>8.2191780821917804E-2</v>
      </c>
      <c r="M412">
        <v>36</v>
      </c>
    </row>
    <row r="413" spans="2:13" x14ac:dyDescent="0.25">
      <c r="B413" s="33">
        <v>1</v>
      </c>
      <c r="C413" t="s">
        <v>2</v>
      </c>
      <c r="D413" t="s">
        <v>21</v>
      </c>
      <c r="E413">
        <v>7</v>
      </c>
      <c r="F413" s="2">
        <v>2.46575342465753E-2</v>
      </c>
      <c r="H413" s="33">
        <v>1</v>
      </c>
      <c r="I413" t="s">
        <v>2</v>
      </c>
      <c r="J413" t="s">
        <v>21</v>
      </c>
      <c r="K413">
        <v>7</v>
      </c>
      <c r="L413" s="63">
        <v>4.3835616438356165E-2</v>
      </c>
      <c r="M413">
        <v>18</v>
      </c>
    </row>
    <row r="414" spans="2:13" x14ac:dyDescent="0.25">
      <c r="B414" s="33">
        <v>1</v>
      </c>
      <c r="C414" t="s">
        <v>2</v>
      </c>
      <c r="D414" t="s">
        <v>21</v>
      </c>
      <c r="E414">
        <v>8</v>
      </c>
      <c r="F414" s="2">
        <v>3.0136986301369899E-2</v>
      </c>
      <c r="H414" s="33">
        <v>1</v>
      </c>
      <c r="I414" t="s">
        <v>2</v>
      </c>
      <c r="J414" t="s">
        <v>21</v>
      </c>
      <c r="K414">
        <v>8</v>
      </c>
      <c r="L414" s="63">
        <v>4.1095890410958902E-2</v>
      </c>
      <c r="M414">
        <v>17</v>
      </c>
    </row>
    <row r="415" spans="2:13" x14ac:dyDescent="0.25">
      <c r="B415" s="33">
        <v>1</v>
      </c>
      <c r="C415" t="s">
        <v>2</v>
      </c>
      <c r="D415" t="s">
        <v>32</v>
      </c>
      <c r="E415">
        <v>9</v>
      </c>
      <c r="F415" s="2">
        <v>2.46575342465753E-2</v>
      </c>
      <c r="H415" s="33">
        <v>1</v>
      </c>
      <c r="I415" t="s">
        <v>2</v>
      </c>
      <c r="J415" t="s">
        <v>32</v>
      </c>
      <c r="K415">
        <v>9</v>
      </c>
      <c r="L415" s="63">
        <v>2.7397260273972601E-2</v>
      </c>
      <c r="M415">
        <v>10</v>
      </c>
    </row>
    <row r="416" spans="2:13" x14ac:dyDescent="0.25">
      <c r="B416" s="33">
        <v>1</v>
      </c>
      <c r="C416" t="s">
        <v>276</v>
      </c>
      <c r="D416" t="s">
        <v>318</v>
      </c>
      <c r="E416">
        <v>9</v>
      </c>
      <c r="F416" s="2">
        <v>3.0136986301369899E-2</v>
      </c>
      <c r="H416" s="33">
        <v>1</v>
      </c>
      <c r="I416" t="s">
        <v>276</v>
      </c>
      <c r="J416" t="s">
        <v>318</v>
      </c>
      <c r="K416">
        <v>9</v>
      </c>
      <c r="L416" s="63">
        <v>2.4657534246575342E-2</v>
      </c>
      <c r="M416">
        <v>11</v>
      </c>
    </row>
    <row r="417" spans="2:13" x14ac:dyDescent="0.25">
      <c r="B417" s="33">
        <v>1</v>
      </c>
      <c r="C417" t="s">
        <v>231</v>
      </c>
      <c r="D417" t="s">
        <v>185</v>
      </c>
      <c r="E417">
        <v>10</v>
      </c>
      <c r="F417" s="2">
        <v>0.167123287671233</v>
      </c>
      <c r="H417" s="33">
        <v>1</v>
      </c>
      <c r="I417" t="s">
        <v>231</v>
      </c>
      <c r="J417" t="s">
        <v>185</v>
      </c>
      <c r="K417">
        <v>10</v>
      </c>
      <c r="L417" s="63">
        <v>0.28493150684931506</v>
      </c>
      <c r="M417">
        <v>125</v>
      </c>
    </row>
    <row r="418" spans="2:13" x14ac:dyDescent="0.25">
      <c r="B418" s="33">
        <v>1</v>
      </c>
      <c r="C418" t="s">
        <v>0</v>
      </c>
      <c r="D418" t="s">
        <v>71</v>
      </c>
      <c r="E418">
        <v>10</v>
      </c>
      <c r="F418" s="2">
        <v>4.65753424657534E-2</v>
      </c>
      <c r="H418" s="33">
        <v>1</v>
      </c>
      <c r="I418" t="s">
        <v>0</v>
      </c>
      <c r="J418" t="s">
        <v>71</v>
      </c>
      <c r="K418">
        <v>10</v>
      </c>
      <c r="L418" s="63">
        <v>9.8630136986301367E-2</v>
      </c>
      <c r="M418">
        <v>39</v>
      </c>
    </row>
    <row r="419" spans="2:13" x14ac:dyDescent="0.25">
      <c r="B419" s="33">
        <v>1</v>
      </c>
      <c r="C419" t="s">
        <v>0</v>
      </c>
      <c r="D419" t="s">
        <v>56</v>
      </c>
      <c r="E419">
        <v>11</v>
      </c>
      <c r="F419" s="2">
        <v>0.17808219178082199</v>
      </c>
      <c r="H419" s="33">
        <v>1</v>
      </c>
      <c r="I419" t="s">
        <v>0</v>
      </c>
      <c r="J419" t="s">
        <v>56</v>
      </c>
      <c r="K419">
        <v>11</v>
      </c>
      <c r="L419" s="63">
        <v>0.26575342465753427</v>
      </c>
      <c r="M419">
        <v>124</v>
      </c>
    </row>
    <row r="420" spans="2:13" x14ac:dyDescent="0.25">
      <c r="B420" s="33">
        <v>1</v>
      </c>
      <c r="C420" t="s">
        <v>0</v>
      </c>
      <c r="D420" t="s">
        <v>71</v>
      </c>
      <c r="E420">
        <v>11</v>
      </c>
      <c r="F420" s="2">
        <v>4.9315068493150697E-2</v>
      </c>
      <c r="H420" s="33">
        <v>1</v>
      </c>
      <c r="I420" t="s">
        <v>0</v>
      </c>
      <c r="J420" t="s">
        <v>71</v>
      </c>
      <c r="K420">
        <v>11</v>
      </c>
      <c r="L420" s="63">
        <v>8.7671232876712329E-2</v>
      </c>
      <c r="M420">
        <v>36</v>
      </c>
    </row>
    <row r="421" spans="2:13" x14ac:dyDescent="0.25">
      <c r="B421" s="33">
        <v>1</v>
      </c>
      <c r="C421" t="s">
        <v>0</v>
      </c>
      <c r="D421" t="s">
        <v>79</v>
      </c>
      <c r="E421">
        <v>11</v>
      </c>
      <c r="F421" s="2">
        <v>1.3698630136986301E-2</v>
      </c>
      <c r="H421" s="33">
        <v>1</v>
      </c>
      <c r="I421" t="s">
        <v>0</v>
      </c>
      <c r="J421" t="s">
        <v>79</v>
      </c>
      <c r="K421">
        <v>11</v>
      </c>
      <c r="L421" s="63">
        <v>1.643835616438356E-2</v>
      </c>
      <c r="M421">
        <v>6</v>
      </c>
    </row>
    <row r="422" spans="2:13" x14ac:dyDescent="0.25">
      <c r="B422" s="33">
        <v>1</v>
      </c>
      <c r="C422" t="s">
        <v>59</v>
      </c>
      <c r="D422" t="s">
        <v>60</v>
      </c>
      <c r="E422">
        <v>11</v>
      </c>
      <c r="F422" s="2">
        <v>0.13424657534246601</v>
      </c>
      <c r="H422" s="33">
        <v>1</v>
      </c>
      <c r="I422" t="s">
        <v>59</v>
      </c>
      <c r="J422" t="s">
        <v>60</v>
      </c>
      <c r="K422">
        <v>11</v>
      </c>
      <c r="L422" s="63">
        <v>0.23835616438356164</v>
      </c>
      <c r="M422">
        <v>102</v>
      </c>
    </row>
    <row r="423" spans="2:13" x14ac:dyDescent="0.25">
      <c r="B423" s="33">
        <v>1</v>
      </c>
      <c r="C423" t="s">
        <v>307</v>
      </c>
      <c r="D423" t="s">
        <v>393</v>
      </c>
      <c r="E423">
        <v>11</v>
      </c>
      <c r="F423" s="2">
        <v>0.147945205479452</v>
      </c>
      <c r="H423" s="33">
        <v>1</v>
      </c>
      <c r="I423" t="s">
        <v>307</v>
      </c>
      <c r="J423" t="s">
        <v>393</v>
      </c>
      <c r="K423">
        <v>11</v>
      </c>
      <c r="L423" s="63">
        <v>0.13150684931506848</v>
      </c>
      <c r="M423">
        <v>54</v>
      </c>
    </row>
    <row r="424" spans="2:13" x14ac:dyDescent="0.25">
      <c r="B424" s="33">
        <v>1</v>
      </c>
      <c r="C424" t="s">
        <v>307</v>
      </c>
      <c r="D424" t="s">
        <v>310</v>
      </c>
      <c r="E424">
        <v>11</v>
      </c>
      <c r="F424" s="2">
        <v>3.5616438356164397E-2</v>
      </c>
      <c r="H424" s="33">
        <v>1</v>
      </c>
      <c r="I424" t="s">
        <v>307</v>
      </c>
      <c r="J424" t="s">
        <v>310</v>
      </c>
      <c r="K424">
        <v>11</v>
      </c>
      <c r="L424" s="63">
        <v>3.287671232876712E-2</v>
      </c>
      <c r="M424">
        <v>13</v>
      </c>
    </row>
    <row r="425" spans="2:13" x14ac:dyDescent="0.25">
      <c r="B425" s="33">
        <v>1</v>
      </c>
      <c r="C425" t="s">
        <v>59</v>
      </c>
      <c r="D425" t="s">
        <v>76</v>
      </c>
      <c r="E425">
        <v>11</v>
      </c>
      <c r="F425" s="2">
        <v>5.2054794520547898E-2</v>
      </c>
      <c r="H425" s="33">
        <v>1</v>
      </c>
      <c r="I425" t="s">
        <v>59</v>
      </c>
      <c r="J425" t="s">
        <v>76</v>
      </c>
      <c r="K425">
        <v>11</v>
      </c>
      <c r="L425" s="63">
        <v>0.10684931506849316</v>
      </c>
      <c r="M425">
        <v>47</v>
      </c>
    </row>
    <row r="426" spans="2:13" x14ac:dyDescent="0.25">
      <c r="B426" s="33">
        <v>1</v>
      </c>
      <c r="C426" t="s">
        <v>2</v>
      </c>
      <c r="D426" t="s">
        <v>317</v>
      </c>
      <c r="E426">
        <v>12</v>
      </c>
      <c r="F426" s="2">
        <v>9.8630136986301395E-2</v>
      </c>
      <c r="H426" s="33">
        <v>1</v>
      </c>
      <c r="I426" t="s">
        <v>2</v>
      </c>
      <c r="J426" t="s">
        <v>317</v>
      </c>
      <c r="K426">
        <v>12</v>
      </c>
      <c r="L426" s="63">
        <v>8.4931506849315067E-2</v>
      </c>
      <c r="M426">
        <v>36</v>
      </c>
    </row>
    <row r="427" spans="2:13" x14ac:dyDescent="0.25">
      <c r="B427" s="33">
        <v>1</v>
      </c>
      <c r="C427" t="s">
        <v>307</v>
      </c>
      <c r="D427" t="s">
        <v>313</v>
      </c>
      <c r="E427">
        <v>12</v>
      </c>
      <c r="F427" s="2">
        <v>2.19178082191781E-2</v>
      </c>
      <c r="H427" s="33">
        <v>1</v>
      </c>
      <c r="I427" t="s">
        <v>307</v>
      </c>
      <c r="J427" t="s">
        <v>313</v>
      </c>
      <c r="K427">
        <v>12</v>
      </c>
      <c r="L427" s="63">
        <v>1.9178082191780823E-2</v>
      </c>
      <c r="M427">
        <v>8</v>
      </c>
    </row>
    <row r="428" spans="2:13" x14ac:dyDescent="0.25">
      <c r="B428" s="33">
        <v>1</v>
      </c>
      <c r="C428" t="s">
        <v>231</v>
      </c>
      <c r="D428" t="s">
        <v>184</v>
      </c>
      <c r="E428">
        <v>12</v>
      </c>
      <c r="F428" s="2">
        <v>9.5890410958904104E-2</v>
      </c>
      <c r="H428" s="33">
        <v>1</v>
      </c>
      <c r="I428" t="s">
        <v>231</v>
      </c>
      <c r="J428" t="s">
        <v>184</v>
      </c>
      <c r="K428">
        <v>12</v>
      </c>
      <c r="L428" s="63">
        <v>0.22739726027397261</v>
      </c>
      <c r="M428">
        <v>91</v>
      </c>
    </row>
    <row r="429" spans="2:13" x14ac:dyDescent="0.25">
      <c r="B429" s="33">
        <v>1</v>
      </c>
      <c r="C429" t="s">
        <v>57</v>
      </c>
      <c r="D429" t="s">
        <v>74</v>
      </c>
      <c r="E429">
        <v>13</v>
      </c>
      <c r="F429" s="2">
        <v>4.1095890410958902E-2</v>
      </c>
      <c r="H429" s="33">
        <v>1</v>
      </c>
      <c r="I429" t="s">
        <v>57</v>
      </c>
      <c r="J429" t="s">
        <v>74</v>
      </c>
      <c r="K429">
        <v>13</v>
      </c>
      <c r="L429" s="63">
        <v>8.4931506849315067E-2</v>
      </c>
      <c r="M429">
        <v>34</v>
      </c>
    </row>
    <row r="430" spans="2:13" x14ac:dyDescent="0.25">
      <c r="B430" s="33">
        <v>1</v>
      </c>
      <c r="C430" t="s">
        <v>307</v>
      </c>
      <c r="D430" t="s">
        <v>308</v>
      </c>
      <c r="E430">
        <v>13</v>
      </c>
      <c r="F430" s="2">
        <v>8.4931506849315094E-2</v>
      </c>
      <c r="H430" s="33">
        <v>1</v>
      </c>
      <c r="I430" t="s">
        <v>307</v>
      </c>
      <c r="J430" t="s">
        <v>308</v>
      </c>
      <c r="K430">
        <v>13</v>
      </c>
      <c r="L430" s="63">
        <v>7.9452054794520555E-2</v>
      </c>
      <c r="M430">
        <v>31</v>
      </c>
    </row>
    <row r="431" spans="2:13" x14ac:dyDescent="0.25">
      <c r="B431" s="33">
        <v>1</v>
      </c>
      <c r="C431" t="s">
        <v>57</v>
      </c>
      <c r="D431" t="s">
        <v>77</v>
      </c>
      <c r="E431">
        <v>14</v>
      </c>
      <c r="F431" s="2">
        <v>1.6438356164383602E-2</v>
      </c>
      <c r="H431" s="33">
        <v>1</v>
      </c>
      <c r="I431" t="s">
        <v>57</v>
      </c>
      <c r="J431" t="s">
        <v>77</v>
      </c>
      <c r="K431">
        <v>14</v>
      </c>
      <c r="L431" s="63">
        <v>4.6575342465753428E-2</v>
      </c>
      <c r="M431">
        <v>17</v>
      </c>
    </row>
    <row r="432" spans="2:13" x14ac:dyDescent="0.25">
      <c r="B432" s="33">
        <v>1</v>
      </c>
      <c r="C432" t="s">
        <v>59</v>
      </c>
      <c r="D432" t="s">
        <v>76</v>
      </c>
      <c r="E432">
        <v>14</v>
      </c>
      <c r="F432" s="2">
        <v>3.2876712328767099E-2</v>
      </c>
      <c r="H432" s="33">
        <v>1</v>
      </c>
      <c r="I432" t="s">
        <v>59</v>
      </c>
      <c r="J432" t="s">
        <v>76</v>
      </c>
      <c r="K432">
        <v>14</v>
      </c>
      <c r="L432" s="63">
        <v>9.0410958904109592E-2</v>
      </c>
      <c r="M432">
        <v>36</v>
      </c>
    </row>
    <row r="433" spans="2:13" x14ac:dyDescent="0.25">
      <c r="B433" s="33">
        <v>1</v>
      </c>
      <c r="C433" t="s">
        <v>231</v>
      </c>
      <c r="D433" t="s">
        <v>189</v>
      </c>
      <c r="E433">
        <v>15</v>
      </c>
      <c r="F433" s="2">
        <v>6.8493150684931503E-2</v>
      </c>
      <c r="H433" s="33">
        <v>1</v>
      </c>
      <c r="I433" t="s">
        <v>231</v>
      </c>
      <c r="J433" t="s">
        <v>189</v>
      </c>
      <c r="K433">
        <v>15</v>
      </c>
      <c r="L433" s="63">
        <v>0.14520547945205478</v>
      </c>
      <c r="M433">
        <v>58</v>
      </c>
    </row>
    <row r="434" spans="2:13" x14ac:dyDescent="0.25">
      <c r="B434" s="33">
        <v>1</v>
      </c>
      <c r="C434" t="s">
        <v>231</v>
      </c>
      <c r="D434" t="s">
        <v>187</v>
      </c>
      <c r="E434">
        <v>15</v>
      </c>
      <c r="F434" s="2">
        <v>8.7671232876712302E-2</v>
      </c>
      <c r="H434" s="33">
        <v>1</v>
      </c>
      <c r="I434" t="s">
        <v>231</v>
      </c>
      <c r="J434" t="s">
        <v>187</v>
      </c>
      <c r="K434">
        <v>15</v>
      </c>
      <c r="L434" s="63">
        <v>0.18082191780821918</v>
      </c>
      <c r="M434">
        <v>82</v>
      </c>
    </row>
    <row r="435" spans="2:13" x14ac:dyDescent="0.25">
      <c r="B435" s="33">
        <v>1</v>
      </c>
      <c r="C435" t="s">
        <v>57</v>
      </c>
      <c r="D435" t="s">
        <v>67</v>
      </c>
      <c r="E435">
        <v>15</v>
      </c>
      <c r="F435" s="2">
        <v>7.3972602739726001E-2</v>
      </c>
      <c r="H435" s="33">
        <v>1</v>
      </c>
      <c r="I435" t="s">
        <v>57</v>
      </c>
      <c r="J435" t="s">
        <v>67</v>
      </c>
      <c r="K435">
        <v>15</v>
      </c>
      <c r="L435" s="63">
        <v>0.17260273972602741</v>
      </c>
      <c r="M435">
        <v>72</v>
      </c>
    </row>
    <row r="436" spans="2:13" x14ac:dyDescent="0.25">
      <c r="B436" s="33">
        <v>1</v>
      </c>
      <c r="C436" t="s">
        <v>2</v>
      </c>
      <c r="D436" t="s">
        <v>26</v>
      </c>
      <c r="E436">
        <v>16</v>
      </c>
      <c r="F436" s="2">
        <v>6.8493150684931503E-2</v>
      </c>
      <c r="H436" s="33">
        <v>1</v>
      </c>
      <c r="I436" t="s">
        <v>2</v>
      </c>
      <c r="J436" t="s">
        <v>26</v>
      </c>
      <c r="K436">
        <v>16</v>
      </c>
      <c r="L436" s="63">
        <v>0.16986301369863013</v>
      </c>
      <c r="M436">
        <v>75</v>
      </c>
    </row>
    <row r="437" spans="2:13" x14ac:dyDescent="0.25">
      <c r="B437" s="33">
        <v>1</v>
      </c>
      <c r="C437" t="s">
        <v>0</v>
      </c>
      <c r="D437" t="s">
        <v>72</v>
      </c>
      <c r="E437">
        <v>17</v>
      </c>
      <c r="F437" s="2">
        <v>5.2054794520547898E-2</v>
      </c>
      <c r="H437" s="33">
        <v>1</v>
      </c>
      <c r="I437" t="s">
        <v>0</v>
      </c>
      <c r="J437" t="s">
        <v>72</v>
      </c>
      <c r="K437">
        <v>17</v>
      </c>
      <c r="L437" s="63">
        <v>7.6712328767123292E-2</v>
      </c>
      <c r="M437">
        <v>29</v>
      </c>
    </row>
    <row r="438" spans="2:13" x14ac:dyDescent="0.25">
      <c r="B438" s="33">
        <v>1</v>
      </c>
      <c r="C438" t="s">
        <v>57</v>
      </c>
      <c r="D438" t="s">
        <v>74</v>
      </c>
      <c r="E438">
        <v>18</v>
      </c>
      <c r="F438" s="2">
        <v>5.2054794520547898E-2</v>
      </c>
      <c r="H438" s="33">
        <v>1</v>
      </c>
      <c r="I438" t="s">
        <v>57</v>
      </c>
      <c r="J438" t="s">
        <v>74</v>
      </c>
      <c r="K438">
        <v>18</v>
      </c>
      <c r="L438" s="63">
        <v>0.11232876712328767</v>
      </c>
      <c r="M438">
        <v>45</v>
      </c>
    </row>
    <row r="439" spans="2:13" x14ac:dyDescent="0.25">
      <c r="B439" s="33">
        <v>1</v>
      </c>
      <c r="C439" t="s">
        <v>2</v>
      </c>
      <c r="D439" t="s">
        <v>317</v>
      </c>
      <c r="E439">
        <v>19</v>
      </c>
      <c r="F439" s="2">
        <v>0.13972602739726001</v>
      </c>
      <c r="H439" s="33">
        <v>1</v>
      </c>
      <c r="I439" t="s">
        <v>2</v>
      </c>
      <c r="J439" t="s">
        <v>317</v>
      </c>
      <c r="K439">
        <v>19</v>
      </c>
      <c r="L439" s="63">
        <v>0.12602739726027398</v>
      </c>
      <c r="M439">
        <v>51</v>
      </c>
    </row>
    <row r="440" spans="2:13" x14ac:dyDescent="0.25">
      <c r="B440" s="33">
        <v>1</v>
      </c>
      <c r="C440" t="s">
        <v>231</v>
      </c>
      <c r="D440" t="s">
        <v>183</v>
      </c>
      <c r="E440">
        <v>20</v>
      </c>
      <c r="F440" s="2">
        <v>5.4794520547945202E-2</v>
      </c>
      <c r="H440" s="33">
        <v>1</v>
      </c>
      <c r="I440" t="s">
        <v>231</v>
      </c>
      <c r="J440" t="s">
        <v>183</v>
      </c>
      <c r="K440">
        <v>20</v>
      </c>
      <c r="L440" s="63">
        <v>0.15342465753424658</v>
      </c>
      <c r="M440">
        <v>70</v>
      </c>
    </row>
    <row r="441" spans="2:13" x14ac:dyDescent="0.25">
      <c r="B441" s="33">
        <v>1</v>
      </c>
      <c r="C441" t="s">
        <v>276</v>
      </c>
      <c r="D441" t="s">
        <v>291</v>
      </c>
      <c r="E441">
        <v>20</v>
      </c>
      <c r="F441" s="2">
        <v>4.1095890410958902E-2</v>
      </c>
      <c r="H441" s="33">
        <v>1</v>
      </c>
      <c r="I441" t="s">
        <v>276</v>
      </c>
      <c r="J441" t="s">
        <v>291</v>
      </c>
      <c r="K441">
        <v>20</v>
      </c>
      <c r="L441" s="63">
        <v>3.8356164383561646E-2</v>
      </c>
      <c r="M441">
        <v>15</v>
      </c>
    </row>
    <row r="442" spans="2:13" x14ac:dyDescent="0.25">
      <c r="B442" s="33">
        <v>1</v>
      </c>
      <c r="C442" t="s">
        <v>307</v>
      </c>
      <c r="D442" t="s">
        <v>308</v>
      </c>
      <c r="E442">
        <v>20</v>
      </c>
      <c r="F442" s="2">
        <v>2.7397260273972601E-2</v>
      </c>
      <c r="H442" s="33">
        <v>1</v>
      </c>
      <c r="I442" t="s">
        <v>307</v>
      </c>
      <c r="J442" t="s">
        <v>308</v>
      </c>
      <c r="K442">
        <v>20</v>
      </c>
      <c r="L442" s="63">
        <v>2.7397260273972601E-2</v>
      </c>
      <c r="M442">
        <v>10</v>
      </c>
    </row>
    <row r="443" spans="2:13" x14ac:dyDescent="0.25">
      <c r="B443" s="33">
        <v>1</v>
      </c>
      <c r="C443" t="s">
        <v>231</v>
      </c>
      <c r="D443" t="s">
        <v>187</v>
      </c>
      <c r="E443">
        <v>21</v>
      </c>
      <c r="F443" s="2">
        <v>3.2876712328767099E-2</v>
      </c>
      <c r="H443" s="33">
        <v>1</v>
      </c>
      <c r="I443" t="s">
        <v>231</v>
      </c>
      <c r="J443" t="s">
        <v>187</v>
      </c>
      <c r="K443">
        <v>21</v>
      </c>
      <c r="L443" s="63">
        <v>7.1232876712328766E-2</v>
      </c>
      <c r="M443">
        <v>26</v>
      </c>
    </row>
    <row r="444" spans="2:13" x14ac:dyDescent="0.25">
      <c r="B444" s="33">
        <v>1</v>
      </c>
      <c r="C444" t="s">
        <v>59</v>
      </c>
      <c r="D444" t="s">
        <v>60</v>
      </c>
      <c r="E444">
        <v>23</v>
      </c>
      <c r="F444" s="2">
        <v>3.2876712328767099E-2</v>
      </c>
      <c r="H444" s="33">
        <v>1</v>
      </c>
      <c r="I444" t="s">
        <v>59</v>
      </c>
      <c r="J444" t="s">
        <v>60</v>
      </c>
      <c r="K444">
        <v>23</v>
      </c>
      <c r="L444" s="63">
        <v>6.575342465753424E-2</v>
      </c>
      <c r="M444">
        <v>25</v>
      </c>
    </row>
    <row r="445" spans="2:13" x14ac:dyDescent="0.25">
      <c r="B445" s="33">
        <v>1</v>
      </c>
      <c r="C445" t="s">
        <v>231</v>
      </c>
      <c r="D445" t="s">
        <v>184</v>
      </c>
      <c r="E445">
        <v>0</v>
      </c>
      <c r="F445" s="2">
        <v>4.3835616438356199E-2</v>
      </c>
      <c r="H445" s="33">
        <v>1</v>
      </c>
      <c r="I445" t="s">
        <v>231</v>
      </c>
      <c r="J445" t="s">
        <v>184</v>
      </c>
      <c r="K445">
        <v>0</v>
      </c>
      <c r="L445" s="63">
        <v>9.3150684931506855E-2</v>
      </c>
      <c r="M445">
        <v>35</v>
      </c>
    </row>
    <row r="446" spans="2:13" x14ac:dyDescent="0.25">
      <c r="B446" s="33">
        <v>1</v>
      </c>
      <c r="C446" t="s">
        <v>57</v>
      </c>
      <c r="D446" t="s">
        <v>74</v>
      </c>
      <c r="E446">
        <v>3</v>
      </c>
      <c r="F446" s="2">
        <v>1.0958904109589E-2</v>
      </c>
      <c r="H446" s="33">
        <v>1</v>
      </c>
      <c r="I446" t="s">
        <v>57</v>
      </c>
      <c r="J446" t="s">
        <v>74</v>
      </c>
      <c r="K446">
        <v>3</v>
      </c>
      <c r="L446" s="63">
        <v>3.5616438356164383E-2</v>
      </c>
      <c r="M446">
        <v>14</v>
      </c>
    </row>
    <row r="447" spans="2:13" x14ac:dyDescent="0.25">
      <c r="B447" s="33">
        <v>1</v>
      </c>
      <c r="C447" t="s">
        <v>231</v>
      </c>
      <c r="D447" t="s">
        <v>185</v>
      </c>
      <c r="E447">
        <v>3</v>
      </c>
      <c r="F447" s="2">
        <v>1.0958904109589E-2</v>
      </c>
      <c r="H447" s="33">
        <v>1</v>
      </c>
      <c r="I447" t="s">
        <v>231</v>
      </c>
      <c r="J447" t="s">
        <v>185</v>
      </c>
      <c r="K447">
        <v>3</v>
      </c>
      <c r="L447" s="63">
        <v>2.4657534246575342E-2</v>
      </c>
      <c r="M447">
        <v>9</v>
      </c>
    </row>
    <row r="448" spans="2:13" x14ac:dyDescent="0.25">
      <c r="B448" s="33">
        <v>1</v>
      </c>
      <c r="C448" t="s">
        <v>57</v>
      </c>
      <c r="D448" t="s">
        <v>58</v>
      </c>
      <c r="E448">
        <v>3</v>
      </c>
      <c r="F448" s="2">
        <v>1.0958904109589E-2</v>
      </c>
      <c r="H448" s="33">
        <v>1</v>
      </c>
      <c r="I448" t="s">
        <v>57</v>
      </c>
      <c r="J448" t="s">
        <v>58</v>
      </c>
      <c r="K448">
        <v>3</v>
      </c>
      <c r="L448" s="63">
        <v>4.6575342465753428E-2</v>
      </c>
      <c r="M448">
        <v>19</v>
      </c>
    </row>
    <row r="449" spans="2:13" x14ac:dyDescent="0.25">
      <c r="B449" s="33">
        <v>1</v>
      </c>
      <c r="C449" t="s">
        <v>231</v>
      </c>
      <c r="D449" t="s">
        <v>183</v>
      </c>
      <c r="E449">
        <v>3</v>
      </c>
      <c r="F449" s="2">
        <v>1.6438356164383602E-2</v>
      </c>
      <c r="H449" s="33">
        <v>1</v>
      </c>
      <c r="I449" t="s">
        <v>231</v>
      </c>
      <c r="J449" t="s">
        <v>183</v>
      </c>
      <c r="K449">
        <v>3</v>
      </c>
      <c r="L449" s="63">
        <v>3.0136986301369864E-2</v>
      </c>
      <c r="M449">
        <v>11</v>
      </c>
    </row>
    <row r="450" spans="2:13" x14ac:dyDescent="0.25">
      <c r="B450" s="33">
        <v>1</v>
      </c>
      <c r="C450" t="s">
        <v>0</v>
      </c>
      <c r="D450" t="s">
        <v>64</v>
      </c>
      <c r="E450">
        <v>4</v>
      </c>
      <c r="F450" s="2">
        <v>5.4794520547945197E-3</v>
      </c>
      <c r="H450" s="33">
        <v>1</v>
      </c>
      <c r="I450" t="s">
        <v>0</v>
      </c>
      <c r="J450" t="s">
        <v>64</v>
      </c>
      <c r="K450">
        <v>4</v>
      </c>
      <c r="L450" s="63">
        <v>1.0958904109589041E-2</v>
      </c>
      <c r="M450">
        <v>4</v>
      </c>
    </row>
    <row r="451" spans="2:13" x14ac:dyDescent="0.25">
      <c r="B451" s="33">
        <v>1</v>
      </c>
      <c r="C451" t="s">
        <v>231</v>
      </c>
      <c r="D451" t="s">
        <v>189</v>
      </c>
      <c r="E451">
        <v>5</v>
      </c>
      <c r="F451" s="2">
        <v>8.21917808219178E-3</v>
      </c>
      <c r="H451" s="33">
        <v>1</v>
      </c>
      <c r="I451" t="s">
        <v>231</v>
      </c>
      <c r="J451" t="s">
        <v>189</v>
      </c>
      <c r="K451">
        <v>5</v>
      </c>
      <c r="L451" s="63">
        <v>1.643835616438356E-2</v>
      </c>
      <c r="M451">
        <v>6</v>
      </c>
    </row>
    <row r="452" spans="2:13" x14ac:dyDescent="0.25">
      <c r="B452" s="33">
        <v>1</v>
      </c>
      <c r="C452" t="s">
        <v>307</v>
      </c>
      <c r="D452" t="s">
        <v>310</v>
      </c>
      <c r="E452">
        <v>7</v>
      </c>
      <c r="F452" s="2">
        <v>2.46575342465753E-2</v>
      </c>
      <c r="H452" s="33">
        <v>1</v>
      </c>
      <c r="I452" t="s">
        <v>307</v>
      </c>
      <c r="J452" t="s">
        <v>310</v>
      </c>
      <c r="K452">
        <v>7</v>
      </c>
      <c r="L452" s="63">
        <v>2.1917808219178082E-2</v>
      </c>
      <c r="M452">
        <v>9</v>
      </c>
    </row>
    <row r="453" spans="2:13" x14ac:dyDescent="0.25">
      <c r="B453" s="33">
        <v>1</v>
      </c>
      <c r="C453" t="s">
        <v>57</v>
      </c>
      <c r="D453" t="s">
        <v>66</v>
      </c>
      <c r="E453">
        <v>7</v>
      </c>
      <c r="F453" s="2">
        <v>4.3835616438356199E-2</v>
      </c>
      <c r="H453" s="33">
        <v>1</v>
      </c>
      <c r="I453" t="s">
        <v>57</v>
      </c>
      <c r="J453" t="s">
        <v>66</v>
      </c>
      <c r="K453">
        <v>7</v>
      </c>
      <c r="L453" s="63">
        <v>6.575342465753424E-2</v>
      </c>
      <c r="M453">
        <v>26</v>
      </c>
    </row>
    <row r="454" spans="2:13" x14ac:dyDescent="0.25">
      <c r="B454" s="33">
        <v>1</v>
      </c>
      <c r="C454" t="s">
        <v>0</v>
      </c>
      <c r="D454" t="s">
        <v>71</v>
      </c>
      <c r="E454">
        <v>7</v>
      </c>
      <c r="F454" s="2">
        <v>6.02739726027397E-2</v>
      </c>
      <c r="H454" s="33">
        <v>1</v>
      </c>
      <c r="I454" t="s">
        <v>0</v>
      </c>
      <c r="J454" t="s">
        <v>71</v>
      </c>
      <c r="K454">
        <v>7</v>
      </c>
      <c r="L454" s="63">
        <v>7.1232876712328766E-2</v>
      </c>
      <c r="M454">
        <v>29</v>
      </c>
    </row>
    <row r="455" spans="2:13" x14ac:dyDescent="0.25">
      <c r="B455" s="33">
        <v>1</v>
      </c>
      <c r="C455" t="s">
        <v>307</v>
      </c>
      <c r="D455" t="s">
        <v>308</v>
      </c>
      <c r="E455">
        <v>7</v>
      </c>
      <c r="F455" s="2">
        <v>3.5616438356164397E-2</v>
      </c>
      <c r="H455" s="33">
        <v>1</v>
      </c>
      <c r="I455" t="s">
        <v>307</v>
      </c>
      <c r="J455" t="s">
        <v>308</v>
      </c>
      <c r="K455">
        <v>7</v>
      </c>
      <c r="L455" s="63">
        <v>3.287671232876712E-2</v>
      </c>
      <c r="M455">
        <v>13</v>
      </c>
    </row>
    <row r="456" spans="2:13" x14ac:dyDescent="0.25">
      <c r="B456" s="33">
        <v>1</v>
      </c>
      <c r="C456" t="s">
        <v>57</v>
      </c>
      <c r="D456" t="s">
        <v>66</v>
      </c>
      <c r="E456">
        <v>8</v>
      </c>
      <c r="F456" s="2">
        <v>5.75342465753425E-2</v>
      </c>
      <c r="H456" s="33">
        <v>1</v>
      </c>
      <c r="I456" t="s">
        <v>57</v>
      </c>
      <c r="J456" t="s">
        <v>66</v>
      </c>
      <c r="K456">
        <v>8</v>
      </c>
      <c r="L456" s="63">
        <v>0.17260273972602741</v>
      </c>
      <c r="M456">
        <v>77</v>
      </c>
    </row>
    <row r="457" spans="2:13" x14ac:dyDescent="0.25">
      <c r="B457" s="33">
        <v>1</v>
      </c>
      <c r="C457" t="s">
        <v>0</v>
      </c>
      <c r="D457" t="s">
        <v>61</v>
      </c>
      <c r="E457">
        <v>8</v>
      </c>
      <c r="F457" s="2">
        <v>6.3013698630137005E-2</v>
      </c>
      <c r="H457" s="33">
        <v>1</v>
      </c>
      <c r="I457" t="s">
        <v>0</v>
      </c>
      <c r="J457" t="s">
        <v>61</v>
      </c>
      <c r="K457">
        <v>8</v>
      </c>
      <c r="L457" s="63">
        <v>8.7671232876712329E-2</v>
      </c>
      <c r="M457">
        <v>34</v>
      </c>
    </row>
    <row r="458" spans="2:13" x14ac:dyDescent="0.25">
      <c r="B458" s="33">
        <v>1</v>
      </c>
      <c r="C458" t="s">
        <v>2</v>
      </c>
      <c r="D458" t="s">
        <v>317</v>
      </c>
      <c r="E458">
        <v>8</v>
      </c>
      <c r="F458" s="2">
        <v>0.20821917808219201</v>
      </c>
      <c r="H458" s="33">
        <v>1</v>
      </c>
      <c r="I458" t="s">
        <v>2</v>
      </c>
      <c r="J458" t="s">
        <v>317</v>
      </c>
      <c r="K458">
        <v>8</v>
      </c>
      <c r="L458" s="63">
        <v>0.16438356164383561</v>
      </c>
      <c r="M458">
        <v>76</v>
      </c>
    </row>
    <row r="459" spans="2:13" x14ac:dyDescent="0.25">
      <c r="B459" s="33">
        <v>1</v>
      </c>
      <c r="C459" t="s">
        <v>2</v>
      </c>
      <c r="D459" t="s">
        <v>19</v>
      </c>
      <c r="E459">
        <v>10</v>
      </c>
      <c r="F459" s="2">
        <v>6.02739726027397E-2</v>
      </c>
      <c r="H459" s="33">
        <v>1</v>
      </c>
      <c r="I459" t="s">
        <v>2</v>
      </c>
      <c r="J459" t="s">
        <v>19</v>
      </c>
      <c r="K459">
        <v>10</v>
      </c>
      <c r="L459" s="63">
        <v>0.12602739726027398</v>
      </c>
      <c r="M459">
        <v>52</v>
      </c>
    </row>
    <row r="460" spans="2:13" x14ac:dyDescent="0.25">
      <c r="B460" s="33">
        <v>1</v>
      </c>
      <c r="C460" t="s">
        <v>0</v>
      </c>
      <c r="D460" t="s">
        <v>79</v>
      </c>
      <c r="E460">
        <v>10</v>
      </c>
      <c r="F460" s="2">
        <v>1.9178082191780799E-2</v>
      </c>
      <c r="H460" s="33">
        <v>1</v>
      </c>
      <c r="I460" t="s">
        <v>0</v>
      </c>
      <c r="J460" t="s">
        <v>79</v>
      </c>
      <c r="K460">
        <v>10</v>
      </c>
      <c r="L460" s="63">
        <v>2.1917808219178082E-2</v>
      </c>
      <c r="M460">
        <v>8</v>
      </c>
    </row>
    <row r="461" spans="2:13" x14ac:dyDescent="0.25">
      <c r="B461" s="33">
        <v>1</v>
      </c>
      <c r="C461" t="s">
        <v>0</v>
      </c>
      <c r="D461" t="s">
        <v>70</v>
      </c>
      <c r="E461">
        <v>10</v>
      </c>
      <c r="F461" s="2">
        <v>2.7397260273972601E-2</v>
      </c>
      <c r="H461" s="33">
        <v>1</v>
      </c>
      <c r="I461" t="s">
        <v>0</v>
      </c>
      <c r="J461" t="s">
        <v>70</v>
      </c>
      <c r="K461">
        <v>10</v>
      </c>
      <c r="L461" s="63">
        <v>7.9452054794520555E-2</v>
      </c>
      <c r="M461">
        <v>31</v>
      </c>
    </row>
    <row r="462" spans="2:13" x14ac:dyDescent="0.25">
      <c r="B462" s="33">
        <v>1</v>
      </c>
      <c r="C462" t="s">
        <v>231</v>
      </c>
      <c r="D462" t="s">
        <v>190</v>
      </c>
      <c r="E462">
        <v>11</v>
      </c>
      <c r="F462" s="2">
        <v>1.3698630136986301E-2</v>
      </c>
      <c r="H462" s="33">
        <v>1</v>
      </c>
      <c r="I462" t="s">
        <v>231</v>
      </c>
      <c r="J462" t="s">
        <v>190</v>
      </c>
      <c r="K462">
        <v>11</v>
      </c>
      <c r="L462" s="63">
        <v>2.1917808219178082E-2</v>
      </c>
      <c r="M462">
        <v>8</v>
      </c>
    </row>
    <row r="463" spans="2:13" x14ac:dyDescent="0.25">
      <c r="B463" s="33">
        <v>1</v>
      </c>
      <c r="C463" t="s">
        <v>0</v>
      </c>
      <c r="D463" t="s">
        <v>64</v>
      </c>
      <c r="E463">
        <v>11</v>
      </c>
      <c r="F463" s="2">
        <v>6.8493150684931503E-2</v>
      </c>
      <c r="H463" s="33">
        <v>1</v>
      </c>
      <c r="I463" t="s">
        <v>0</v>
      </c>
      <c r="J463" t="s">
        <v>64</v>
      </c>
      <c r="K463">
        <v>11</v>
      </c>
      <c r="L463" s="63">
        <v>0.13150684931506848</v>
      </c>
      <c r="M463">
        <v>54</v>
      </c>
    </row>
    <row r="464" spans="2:13" x14ac:dyDescent="0.25">
      <c r="B464" s="33">
        <v>1</v>
      </c>
      <c r="C464" t="s">
        <v>2</v>
      </c>
      <c r="D464" t="s">
        <v>316</v>
      </c>
      <c r="E464">
        <v>13</v>
      </c>
      <c r="F464" s="2">
        <v>0.112328767123288</v>
      </c>
      <c r="H464" s="33">
        <v>1</v>
      </c>
      <c r="I464" t="s">
        <v>2</v>
      </c>
      <c r="J464" t="s">
        <v>316</v>
      </c>
      <c r="K464">
        <v>13</v>
      </c>
      <c r="L464" s="63">
        <v>9.3150684931506855E-2</v>
      </c>
      <c r="M464">
        <v>41</v>
      </c>
    </row>
    <row r="465" spans="2:13" x14ac:dyDescent="0.25">
      <c r="B465" s="33">
        <v>1</v>
      </c>
      <c r="C465" t="s">
        <v>59</v>
      </c>
      <c r="D465" t="s">
        <v>68</v>
      </c>
      <c r="E465">
        <v>13</v>
      </c>
      <c r="F465" s="2">
        <v>8.7671232876712302E-2</v>
      </c>
      <c r="H465" s="33">
        <v>1</v>
      </c>
      <c r="I465" t="s">
        <v>59</v>
      </c>
      <c r="J465" t="s">
        <v>68</v>
      </c>
      <c r="K465">
        <v>13</v>
      </c>
      <c r="L465" s="63">
        <v>0.16164383561643836</v>
      </c>
      <c r="M465">
        <v>66</v>
      </c>
    </row>
    <row r="466" spans="2:13" x14ac:dyDescent="0.25">
      <c r="B466" s="33">
        <v>1</v>
      </c>
      <c r="C466" t="s">
        <v>2</v>
      </c>
      <c r="D466" t="s">
        <v>17</v>
      </c>
      <c r="E466">
        <v>14</v>
      </c>
      <c r="F466" s="2">
        <v>7.9452054794520596E-2</v>
      </c>
      <c r="H466" s="33">
        <v>1</v>
      </c>
      <c r="I466" t="s">
        <v>2</v>
      </c>
      <c r="J466" t="s">
        <v>17</v>
      </c>
      <c r="K466">
        <v>14</v>
      </c>
      <c r="L466" s="63">
        <v>0.13424657534246576</v>
      </c>
      <c r="M466">
        <v>61</v>
      </c>
    </row>
    <row r="467" spans="2:13" x14ac:dyDescent="0.25">
      <c r="B467" s="33">
        <v>1</v>
      </c>
      <c r="C467" t="s">
        <v>307</v>
      </c>
      <c r="D467" t="s">
        <v>393</v>
      </c>
      <c r="E467">
        <v>14</v>
      </c>
      <c r="F467" s="2">
        <v>0.12876712328767101</v>
      </c>
      <c r="H467" s="33">
        <v>1</v>
      </c>
      <c r="I467" t="s">
        <v>307</v>
      </c>
      <c r="J467" t="s">
        <v>393</v>
      </c>
      <c r="K467">
        <v>14</v>
      </c>
      <c r="L467" s="63">
        <v>0.12328767123287671</v>
      </c>
      <c r="M467">
        <v>47</v>
      </c>
    </row>
    <row r="468" spans="2:13" x14ac:dyDescent="0.25">
      <c r="B468" s="33">
        <v>1</v>
      </c>
      <c r="C468" t="s">
        <v>231</v>
      </c>
      <c r="D468" t="s">
        <v>185</v>
      </c>
      <c r="E468">
        <v>15</v>
      </c>
      <c r="F468" s="2">
        <v>0.20547945205479401</v>
      </c>
      <c r="H468" s="33">
        <v>1</v>
      </c>
      <c r="I468" t="s">
        <v>231</v>
      </c>
      <c r="J468" t="s">
        <v>185</v>
      </c>
      <c r="K468">
        <v>15</v>
      </c>
      <c r="L468" s="63">
        <v>0.30136986301369861</v>
      </c>
      <c r="M468">
        <v>141</v>
      </c>
    </row>
    <row r="469" spans="2:13" x14ac:dyDescent="0.25">
      <c r="B469" s="33">
        <v>1</v>
      </c>
      <c r="C469" t="s">
        <v>59</v>
      </c>
      <c r="D469" t="s">
        <v>63</v>
      </c>
      <c r="E469">
        <v>15</v>
      </c>
      <c r="F469" s="2">
        <v>4.9315068493150697E-2</v>
      </c>
      <c r="H469" s="33">
        <v>1</v>
      </c>
      <c r="I469" t="s">
        <v>59</v>
      </c>
      <c r="J469" t="s">
        <v>63</v>
      </c>
      <c r="K469">
        <v>15</v>
      </c>
      <c r="L469" s="63">
        <v>0.1095890410958904</v>
      </c>
      <c r="M469">
        <v>44</v>
      </c>
    </row>
    <row r="470" spans="2:13" x14ac:dyDescent="0.25">
      <c r="B470" s="33">
        <v>1</v>
      </c>
      <c r="C470" t="s">
        <v>0</v>
      </c>
      <c r="D470" t="s">
        <v>70</v>
      </c>
      <c r="E470">
        <v>16</v>
      </c>
      <c r="F470" s="2">
        <v>8.7671232876712302E-2</v>
      </c>
      <c r="H470" s="33">
        <v>1</v>
      </c>
      <c r="I470" t="s">
        <v>0</v>
      </c>
      <c r="J470" t="s">
        <v>70</v>
      </c>
      <c r="K470">
        <v>16</v>
      </c>
      <c r="L470" s="63">
        <v>8.7671232876712329E-2</v>
      </c>
      <c r="M470">
        <v>40</v>
      </c>
    </row>
    <row r="471" spans="2:13" x14ac:dyDescent="0.25">
      <c r="B471" s="33">
        <v>1</v>
      </c>
      <c r="C471" t="s">
        <v>2</v>
      </c>
      <c r="D471" t="s">
        <v>19</v>
      </c>
      <c r="E471">
        <v>16</v>
      </c>
      <c r="F471" s="2">
        <v>0.106849315068493</v>
      </c>
      <c r="H471" s="33">
        <v>1</v>
      </c>
      <c r="I471" t="s">
        <v>2</v>
      </c>
      <c r="J471" t="s">
        <v>19</v>
      </c>
      <c r="K471">
        <v>16</v>
      </c>
      <c r="L471" s="63">
        <v>0.14520547945205478</v>
      </c>
      <c r="M471">
        <v>67</v>
      </c>
    </row>
    <row r="472" spans="2:13" x14ac:dyDescent="0.25">
      <c r="B472" s="33">
        <v>1</v>
      </c>
      <c r="C472" t="s">
        <v>307</v>
      </c>
      <c r="D472" t="s">
        <v>393</v>
      </c>
      <c r="E472">
        <v>16</v>
      </c>
      <c r="F472" s="2">
        <v>0.161643835616438</v>
      </c>
      <c r="H472" s="33">
        <v>1</v>
      </c>
      <c r="I472" t="s">
        <v>307</v>
      </c>
      <c r="J472" t="s">
        <v>393</v>
      </c>
      <c r="K472">
        <v>16</v>
      </c>
      <c r="L472" s="63">
        <v>0.15342465753424658</v>
      </c>
      <c r="M472">
        <v>59</v>
      </c>
    </row>
    <row r="473" spans="2:13" x14ac:dyDescent="0.25">
      <c r="B473" s="33">
        <v>1</v>
      </c>
      <c r="C473" t="s">
        <v>0</v>
      </c>
      <c r="D473" t="s">
        <v>64</v>
      </c>
      <c r="E473">
        <v>17</v>
      </c>
      <c r="F473" s="2">
        <v>6.8493150684931503E-2</v>
      </c>
      <c r="H473" s="33">
        <v>1</v>
      </c>
      <c r="I473" t="s">
        <v>0</v>
      </c>
      <c r="J473" t="s">
        <v>64</v>
      </c>
      <c r="K473">
        <v>17</v>
      </c>
      <c r="L473" s="63">
        <v>6.3013698630136991E-2</v>
      </c>
      <c r="M473">
        <v>30</v>
      </c>
    </row>
    <row r="474" spans="2:13" x14ac:dyDescent="0.25">
      <c r="B474" s="33">
        <v>1</v>
      </c>
      <c r="C474" t="s">
        <v>2</v>
      </c>
      <c r="D474" t="s">
        <v>317</v>
      </c>
      <c r="E474">
        <v>18</v>
      </c>
      <c r="F474" s="2">
        <v>0.101369863013699</v>
      </c>
      <c r="H474" s="33">
        <v>1</v>
      </c>
      <c r="I474" t="s">
        <v>2</v>
      </c>
      <c r="J474" t="s">
        <v>317</v>
      </c>
      <c r="K474">
        <v>18</v>
      </c>
      <c r="L474" s="63">
        <v>9.3150684931506855E-2</v>
      </c>
      <c r="M474">
        <v>37</v>
      </c>
    </row>
    <row r="475" spans="2:13" x14ac:dyDescent="0.25">
      <c r="B475" s="33">
        <v>1</v>
      </c>
      <c r="C475" t="s">
        <v>0</v>
      </c>
      <c r="D475" t="s">
        <v>71</v>
      </c>
      <c r="E475">
        <v>19</v>
      </c>
      <c r="F475" s="2">
        <v>3.5616438356164397E-2</v>
      </c>
      <c r="H475" s="33">
        <v>1</v>
      </c>
      <c r="I475" t="s">
        <v>0</v>
      </c>
      <c r="J475" t="s">
        <v>71</v>
      </c>
      <c r="K475">
        <v>19</v>
      </c>
      <c r="L475" s="63">
        <v>7.9452054794520555E-2</v>
      </c>
      <c r="M475">
        <v>34</v>
      </c>
    </row>
    <row r="476" spans="2:13" x14ac:dyDescent="0.25">
      <c r="B476" s="33">
        <v>1</v>
      </c>
      <c r="C476" t="s">
        <v>2</v>
      </c>
      <c r="D476" t="s">
        <v>37</v>
      </c>
      <c r="E476">
        <v>19</v>
      </c>
      <c r="F476" s="2">
        <v>1.9178082191780799E-2</v>
      </c>
      <c r="H476" s="33">
        <v>1</v>
      </c>
      <c r="I476" t="s">
        <v>2</v>
      </c>
      <c r="J476" t="s">
        <v>37</v>
      </c>
      <c r="K476">
        <v>19</v>
      </c>
      <c r="L476" s="63">
        <v>2.4657534246575342E-2</v>
      </c>
      <c r="M476">
        <v>11</v>
      </c>
    </row>
    <row r="477" spans="2:13" x14ac:dyDescent="0.25">
      <c r="B477" s="33">
        <v>1</v>
      </c>
      <c r="C477" t="s">
        <v>2</v>
      </c>
      <c r="D477" t="s">
        <v>26</v>
      </c>
      <c r="E477">
        <v>20</v>
      </c>
      <c r="F477" s="2">
        <v>6.3013698630137005E-2</v>
      </c>
      <c r="H477" s="33">
        <v>1</v>
      </c>
      <c r="I477" t="s">
        <v>2</v>
      </c>
      <c r="J477" t="s">
        <v>26</v>
      </c>
      <c r="K477">
        <v>20</v>
      </c>
      <c r="L477" s="63">
        <v>0.11506849315068493</v>
      </c>
      <c r="M477">
        <v>46</v>
      </c>
    </row>
    <row r="478" spans="2:13" x14ac:dyDescent="0.25">
      <c r="B478" s="33">
        <v>1</v>
      </c>
      <c r="C478" t="s">
        <v>2</v>
      </c>
      <c r="D478" t="s">
        <v>37</v>
      </c>
      <c r="E478">
        <v>20</v>
      </c>
      <c r="F478" s="2">
        <v>1.9178082191780799E-2</v>
      </c>
      <c r="H478" s="33">
        <v>1</v>
      </c>
      <c r="I478" t="s">
        <v>2</v>
      </c>
      <c r="J478" t="s">
        <v>37</v>
      </c>
      <c r="K478">
        <v>20</v>
      </c>
      <c r="L478" s="63">
        <v>4.1095890410958902E-2</v>
      </c>
      <c r="M478">
        <v>16</v>
      </c>
    </row>
    <row r="479" spans="2:13" x14ac:dyDescent="0.25">
      <c r="B479" s="33">
        <v>1</v>
      </c>
      <c r="C479" t="s">
        <v>292</v>
      </c>
      <c r="D479" t="s">
        <v>320</v>
      </c>
      <c r="E479">
        <v>21</v>
      </c>
      <c r="F479" s="2">
        <v>1.6438356164383602E-2</v>
      </c>
      <c r="H479" s="33">
        <v>1</v>
      </c>
      <c r="I479" t="s">
        <v>292</v>
      </c>
      <c r="J479" t="s">
        <v>320</v>
      </c>
      <c r="K479">
        <v>21</v>
      </c>
      <c r="L479" s="63">
        <v>1.3698630136986301E-2</v>
      </c>
      <c r="M479">
        <v>6</v>
      </c>
    </row>
    <row r="480" spans="2:13" x14ac:dyDescent="0.25">
      <c r="B480" s="33">
        <v>1</v>
      </c>
      <c r="C480" t="s">
        <v>0</v>
      </c>
      <c r="D480" t="s">
        <v>64</v>
      </c>
      <c r="E480">
        <v>21</v>
      </c>
      <c r="F480" s="2">
        <v>4.65753424657534E-2</v>
      </c>
      <c r="H480" s="33">
        <v>1</v>
      </c>
      <c r="I480" t="s">
        <v>0</v>
      </c>
      <c r="J480" t="s">
        <v>64</v>
      </c>
      <c r="K480">
        <v>21</v>
      </c>
      <c r="L480" s="63">
        <v>9.5890410958904104E-2</v>
      </c>
      <c r="M480">
        <v>40</v>
      </c>
    </row>
    <row r="481" spans="2:13" x14ac:dyDescent="0.25">
      <c r="B481" s="33">
        <v>1</v>
      </c>
      <c r="C481" t="s">
        <v>2</v>
      </c>
      <c r="D481" t="s">
        <v>317</v>
      </c>
      <c r="E481">
        <v>21</v>
      </c>
      <c r="F481" s="2">
        <v>6.3013698630137005E-2</v>
      </c>
      <c r="H481" s="33">
        <v>1</v>
      </c>
      <c r="I481" t="s">
        <v>2</v>
      </c>
      <c r="J481" t="s">
        <v>317</v>
      </c>
      <c r="K481">
        <v>21</v>
      </c>
      <c r="L481" s="63">
        <v>5.4794520547945202E-2</v>
      </c>
      <c r="M481">
        <v>23</v>
      </c>
    </row>
    <row r="482" spans="2:13" x14ac:dyDescent="0.25">
      <c r="B482" s="33">
        <v>1</v>
      </c>
      <c r="C482" t="s">
        <v>2</v>
      </c>
      <c r="D482" t="s">
        <v>317</v>
      </c>
      <c r="E482">
        <v>22</v>
      </c>
      <c r="F482" s="2">
        <v>9.0410958904109606E-2</v>
      </c>
      <c r="H482" s="33">
        <v>1</v>
      </c>
      <c r="I482" t="s">
        <v>2</v>
      </c>
      <c r="J482" t="s">
        <v>317</v>
      </c>
      <c r="K482">
        <v>22</v>
      </c>
      <c r="L482" s="63">
        <v>8.2191780821917804E-2</v>
      </c>
      <c r="M482">
        <v>33</v>
      </c>
    </row>
    <row r="483" spans="2:13" x14ac:dyDescent="0.25">
      <c r="B483" s="33">
        <v>1</v>
      </c>
      <c r="C483" t="s">
        <v>59</v>
      </c>
      <c r="D483" t="s">
        <v>63</v>
      </c>
      <c r="E483">
        <v>2</v>
      </c>
      <c r="F483" s="2">
        <v>1.6438356164383602E-2</v>
      </c>
      <c r="H483" s="33">
        <v>1</v>
      </c>
      <c r="I483" t="s">
        <v>59</v>
      </c>
      <c r="J483" t="s">
        <v>63</v>
      </c>
      <c r="K483">
        <v>2</v>
      </c>
      <c r="L483" s="63">
        <v>1.643835616438356E-2</v>
      </c>
      <c r="M483">
        <v>7</v>
      </c>
    </row>
    <row r="484" spans="2:13" x14ac:dyDescent="0.25">
      <c r="B484" s="33">
        <v>1</v>
      </c>
      <c r="C484" t="s">
        <v>0</v>
      </c>
      <c r="D484" t="s">
        <v>61</v>
      </c>
      <c r="E484">
        <v>5</v>
      </c>
      <c r="F484" s="2">
        <v>5.4794520547945197E-3</v>
      </c>
      <c r="H484" s="33">
        <v>1</v>
      </c>
      <c r="I484" t="s">
        <v>0</v>
      </c>
      <c r="J484" t="s">
        <v>61</v>
      </c>
      <c r="K484">
        <v>5</v>
      </c>
      <c r="L484" s="63">
        <v>1.643835616438356E-2</v>
      </c>
      <c r="M484">
        <v>6</v>
      </c>
    </row>
    <row r="485" spans="2:13" x14ac:dyDescent="0.25">
      <c r="B485" s="33">
        <v>1</v>
      </c>
      <c r="C485" t="s">
        <v>57</v>
      </c>
      <c r="D485" t="s">
        <v>69</v>
      </c>
      <c r="E485">
        <v>7</v>
      </c>
      <c r="F485" s="2">
        <v>1.6438356164383602E-2</v>
      </c>
      <c r="H485" s="33">
        <v>1</v>
      </c>
      <c r="I485" t="s">
        <v>57</v>
      </c>
      <c r="J485" t="s">
        <v>69</v>
      </c>
      <c r="K485">
        <v>7</v>
      </c>
      <c r="L485" s="63">
        <v>7.1232876712328766E-2</v>
      </c>
      <c r="M485">
        <v>28</v>
      </c>
    </row>
    <row r="486" spans="2:13" x14ac:dyDescent="0.25">
      <c r="B486" s="33">
        <v>1</v>
      </c>
      <c r="C486" t="s">
        <v>2</v>
      </c>
      <c r="D486" t="s">
        <v>317</v>
      </c>
      <c r="E486">
        <v>7</v>
      </c>
      <c r="F486" s="2">
        <v>0.106849315068493</v>
      </c>
      <c r="H486" s="33">
        <v>1</v>
      </c>
      <c r="I486" t="s">
        <v>2</v>
      </c>
      <c r="J486" t="s">
        <v>317</v>
      </c>
      <c r="K486">
        <v>7</v>
      </c>
      <c r="L486" s="63">
        <v>9.8630136986301367E-2</v>
      </c>
      <c r="M486">
        <v>39</v>
      </c>
    </row>
    <row r="487" spans="2:13" x14ac:dyDescent="0.25">
      <c r="B487" s="33">
        <v>1</v>
      </c>
      <c r="C487" t="s">
        <v>307</v>
      </c>
      <c r="D487" t="s">
        <v>394</v>
      </c>
      <c r="E487">
        <v>8</v>
      </c>
      <c r="F487" s="2">
        <v>5.75342465753425E-2</v>
      </c>
      <c r="H487" s="33">
        <v>1</v>
      </c>
      <c r="I487" t="s">
        <v>307</v>
      </c>
      <c r="J487" t="s">
        <v>314</v>
      </c>
      <c r="K487">
        <v>8</v>
      </c>
      <c r="L487" s="63">
        <v>5.7534246575342465E-2</v>
      </c>
      <c r="M487">
        <v>21</v>
      </c>
    </row>
    <row r="488" spans="2:13" x14ac:dyDescent="0.25">
      <c r="B488" s="33">
        <v>1</v>
      </c>
      <c r="C488" t="s">
        <v>2</v>
      </c>
      <c r="D488" t="s">
        <v>28</v>
      </c>
      <c r="E488">
        <v>8</v>
      </c>
      <c r="F488" s="2">
        <v>6.5753424657534199E-2</v>
      </c>
      <c r="H488" s="33">
        <v>1</v>
      </c>
      <c r="I488" t="s">
        <v>2</v>
      </c>
      <c r="J488" t="s">
        <v>28</v>
      </c>
      <c r="K488">
        <v>8</v>
      </c>
      <c r="L488" s="63">
        <v>7.9452054794520555E-2</v>
      </c>
      <c r="M488">
        <v>32</v>
      </c>
    </row>
    <row r="489" spans="2:13" x14ac:dyDescent="0.25">
      <c r="B489" s="33">
        <v>1</v>
      </c>
      <c r="C489" t="s">
        <v>57</v>
      </c>
      <c r="D489" t="s">
        <v>75</v>
      </c>
      <c r="E489">
        <v>8</v>
      </c>
      <c r="F489" s="2">
        <v>2.7397260273972601E-2</v>
      </c>
      <c r="H489" s="33">
        <v>1</v>
      </c>
      <c r="I489" t="s">
        <v>57</v>
      </c>
      <c r="J489" t="s">
        <v>75</v>
      </c>
      <c r="K489">
        <v>8</v>
      </c>
      <c r="L489" s="63">
        <v>9.3150684931506855E-2</v>
      </c>
      <c r="M489">
        <v>37</v>
      </c>
    </row>
    <row r="490" spans="2:13" x14ac:dyDescent="0.25">
      <c r="B490" s="33">
        <v>1</v>
      </c>
      <c r="C490" t="s">
        <v>292</v>
      </c>
      <c r="D490" t="s">
        <v>321</v>
      </c>
      <c r="E490">
        <v>9</v>
      </c>
      <c r="F490" s="2">
        <v>7.3972602739726001E-2</v>
      </c>
      <c r="H490" s="33">
        <v>1</v>
      </c>
      <c r="I490" t="s">
        <v>292</v>
      </c>
      <c r="J490" t="s">
        <v>321</v>
      </c>
      <c r="K490">
        <v>9</v>
      </c>
      <c r="L490" s="63">
        <v>6.575342465753424E-2</v>
      </c>
      <c r="M490">
        <v>27</v>
      </c>
    </row>
    <row r="491" spans="2:13" x14ac:dyDescent="0.25">
      <c r="B491" s="33">
        <v>1</v>
      </c>
      <c r="C491" t="s">
        <v>231</v>
      </c>
      <c r="D491" t="s">
        <v>184</v>
      </c>
      <c r="E491">
        <v>9</v>
      </c>
      <c r="F491" s="2">
        <v>0.115068493150685</v>
      </c>
      <c r="H491" s="33">
        <v>1</v>
      </c>
      <c r="I491" t="s">
        <v>231</v>
      </c>
      <c r="J491" t="s">
        <v>184</v>
      </c>
      <c r="K491">
        <v>9</v>
      </c>
      <c r="L491" s="63">
        <v>0.12054794520547946</v>
      </c>
      <c r="M491">
        <v>53</v>
      </c>
    </row>
    <row r="492" spans="2:13" x14ac:dyDescent="0.25">
      <c r="B492" s="33">
        <v>1</v>
      </c>
      <c r="C492" t="s">
        <v>2</v>
      </c>
      <c r="D492" t="s">
        <v>36</v>
      </c>
      <c r="E492">
        <v>10</v>
      </c>
      <c r="F492" s="2">
        <v>6.3013698630137005E-2</v>
      </c>
      <c r="H492" s="33">
        <v>1</v>
      </c>
      <c r="I492" t="s">
        <v>2</v>
      </c>
      <c r="J492" t="s">
        <v>36</v>
      </c>
      <c r="K492">
        <v>10</v>
      </c>
      <c r="L492" s="63">
        <v>8.4931506849315067E-2</v>
      </c>
      <c r="M492">
        <v>42</v>
      </c>
    </row>
    <row r="493" spans="2:13" x14ac:dyDescent="0.25">
      <c r="B493" s="33">
        <v>1</v>
      </c>
      <c r="C493" t="s">
        <v>0</v>
      </c>
      <c r="D493" t="s">
        <v>61</v>
      </c>
      <c r="E493">
        <v>11</v>
      </c>
      <c r="F493" s="2">
        <v>0.120547945205479</v>
      </c>
      <c r="H493" s="33">
        <v>1</v>
      </c>
      <c r="I493" t="s">
        <v>0</v>
      </c>
      <c r="J493" t="s">
        <v>61</v>
      </c>
      <c r="K493">
        <v>11</v>
      </c>
      <c r="L493" s="63">
        <v>0.15068493150684931</v>
      </c>
      <c r="M493">
        <v>68</v>
      </c>
    </row>
    <row r="494" spans="2:13" x14ac:dyDescent="0.25">
      <c r="B494" s="33">
        <v>1</v>
      </c>
      <c r="C494" t="s">
        <v>0</v>
      </c>
      <c r="D494" t="s">
        <v>78</v>
      </c>
      <c r="E494">
        <v>12</v>
      </c>
      <c r="F494" s="2">
        <v>1.3698630136986301E-2</v>
      </c>
      <c r="H494" s="33">
        <v>1</v>
      </c>
      <c r="I494" t="s">
        <v>0</v>
      </c>
      <c r="J494" t="s">
        <v>78</v>
      </c>
      <c r="K494">
        <v>12</v>
      </c>
      <c r="L494" s="63">
        <v>3.8356164383561646E-2</v>
      </c>
      <c r="M494">
        <v>14</v>
      </c>
    </row>
    <row r="495" spans="2:13" x14ac:dyDescent="0.25">
      <c r="B495" s="33">
        <v>1</v>
      </c>
      <c r="C495" t="s">
        <v>57</v>
      </c>
      <c r="D495" t="s">
        <v>67</v>
      </c>
      <c r="E495">
        <v>13</v>
      </c>
      <c r="F495" s="2">
        <v>4.9315068493150697E-2</v>
      </c>
      <c r="H495" s="33">
        <v>1</v>
      </c>
      <c r="I495" t="s">
        <v>57</v>
      </c>
      <c r="J495" t="s">
        <v>67</v>
      </c>
      <c r="K495">
        <v>13</v>
      </c>
      <c r="L495" s="63">
        <v>0.12602739726027398</v>
      </c>
      <c r="M495">
        <v>52</v>
      </c>
    </row>
    <row r="496" spans="2:13" x14ac:dyDescent="0.25">
      <c r="B496" s="33">
        <v>1</v>
      </c>
      <c r="C496" t="s">
        <v>2</v>
      </c>
      <c r="D496" t="s">
        <v>28</v>
      </c>
      <c r="E496">
        <v>13</v>
      </c>
      <c r="F496" s="2">
        <v>6.8493150684931503E-2</v>
      </c>
      <c r="H496" s="33">
        <v>1</v>
      </c>
      <c r="I496" t="s">
        <v>2</v>
      </c>
      <c r="J496" t="s">
        <v>28</v>
      </c>
      <c r="K496">
        <v>13</v>
      </c>
      <c r="L496" s="63">
        <v>0.17260273972602741</v>
      </c>
      <c r="M496">
        <v>76</v>
      </c>
    </row>
    <row r="497" spans="2:13" x14ac:dyDescent="0.25">
      <c r="B497" s="33">
        <v>1</v>
      </c>
      <c r="C497" t="s">
        <v>2</v>
      </c>
      <c r="D497" t="s">
        <v>28</v>
      </c>
      <c r="E497">
        <v>14</v>
      </c>
      <c r="F497" s="2">
        <v>4.3835616438356199E-2</v>
      </c>
      <c r="H497" s="33">
        <v>1</v>
      </c>
      <c r="I497" t="s">
        <v>2</v>
      </c>
      <c r="J497" t="s">
        <v>28</v>
      </c>
      <c r="K497">
        <v>14</v>
      </c>
      <c r="L497" s="63">
        <v>6.0273972602739728E-2</v>
      </c>
      <c r="M497">
        <v>22</v>
      </c>
    </row>
    <row r="498" spans="2:13" x14ac:dyDescent="0.25">
      <c r="B498" s="33">
        <v>1</v>
      </c>
      <c r="C498" t="s">
        <v>0</v>
      </c>
      <c r="D498" t="s">
        <v>71</v>
      </c>
      <c r="E498">
        <v>15</v>
      </c>
      <c r="F498" s="2">
        <v>5.4794520547945202E-2</v>
      </c>
      <c r="H498" s="33">
        <v>1</v>
      </c>
      <c r="I498" t="s">
        <v>0</v>
      </c>
      <c r="J498" t="s">
        <v>71</v>
      </c>
      <c r="K498">
        <v>15</v>
      </c>
      <c r="L498" s="63">
        <v>9.3150684931506855E-2</v>
      </c>
      <c r="M498">
        <v>37</v>
      </c>
    </row>
    <row r="499" spans="2:13" x14ac:dyDescent="0.25">
      <c r="B499" s="33">
        <v>1</v>
      </c>
      <c r="C499" t="s">
        <v>0</v>
      </c>
      <c r="D499" t="s">
        <v>65</v>
      </c>
      <c r="E499">
        <v>15</v>
      </c>
      <c r="F499" s="2">
        <v>8.2191780821917804E-2</v>
      </c>
      <c r="H499" s="33">
        <v>1</v>
      </c>
      <c r="I499" t="s">
        <v>0</v>
      </c>
      <c r="J499" t="s">
        <v>65</v>
      </c>
      <c r="K499">
        <v>15</v>
      </c>
      <c r="L499" s="63">
        <v>9.0410958904109592E-2</v>
      </c>
      <c r="M499">
        <v>38</v>
      </c>
    </row>
    <row r="500" spans="2:13" x14ac:dyDescent="0.25">
      <c r="B500" s="33">
        <v>1</v>
      </c>
      <c r="C500" t="s">
        <v>2</v>
      </c>
      <c r="D500" t="s">
        <v>21</v>
      </c>
      <c r="E500">
        <v>17</v>
      </c>
      <c r="F500" s="2">
        <v>3.8356164383561597E-2</v>
      </c>
      <c r="H500" s="33">
        <v>1</v>
      </c>
      <c r="I500" t="s">
        <v>2</v>
      </c>
      <c r="J500" t="s">
        <v>21</v>
      </c>
      <c r="K500">
        <v>17</v>
      </c>
      <c r="L500" s="63">
        <v>6.3013698630136991E-2</v>
      </c>
      <c r="M500">
        <v>30</v>
      </c>
    </row>
    <row r="501" spans="2:13" x14ac:dyDescent="0.25">
      <c r="B501" s="33">
        <v>1</v>
      </c>
      <c r="C501" t="s">
        <v>231</v>
      </c>
      <c r="D501" t="s">
        <v>186</v>
      </c>
      <c r="E501">
        <v>18</v>
      </c>
      <c r="F501" s="2">
        <v>4.65753424657534E-2</v>
      </c>
      <c r="H501" s="33">
        <v>1</v>
      </c>
      <c r="I501" t="s">
        <v>231</v>
      </c>
      <c r="J501" t="s">
        <v>186</v>
      </c>
      <c r="K501">
        <v>18</v>
      </c>
      <c r="L501" s="63">
        <v>9.8630136986301367E-2</v>
      </c>
      <c r="M501">
        <v>39</v>
      </c>
    </row>
    <row r="502" spans="2:13" x14ac:dyDescent="0.25">
      <c r="B502" s="33">
        <v>1</v>
      </c>
      <c r="C502" t="s">
        <v>57</v>
      </c>
      <c r="D502" t="s">
        <v>69</v>
      </c>
      <c r="E502">
        <v>19</v>
      </c>
      <c r="F502" s="2">
        <v>5.4794520547945202E-2</v>
      </c>
      <c r="H502" s="33">
        <v>1</v>
      </c>
      <c r="I502" t="s">
        <v>57</v>
      </c>
      <c r="J502" t="s">
        <v>69</v>
      </c>
      <c r="K502">
        <v>19</v>
      </c>
      <c r="L502" s="63">
        <v>0.16986301369863013</v>
      </c>
      <c r="M502">
        <v>68</v>
      </c>
    </row>
    <row r="503" spans="2:13" x14ac:dyDescent="0.25">
      <c r="B503" s="33">
        <v>1</v>
      </c>
      <c r="C503" t="s">
        <v>231</v>
      </c>
      <c r="D503" t="s">
        <v>187</v>
      </c>
      <c r="E503">
        <v>20</v>
      </c>
      <c r="F503" s="2">
        <v>8.2191780821917804E-2</v>
      </c>
      <c r="H503" s="33">
        <v>1</v>
      </c>
      <c r="I503" t="s">
        <v>231</v>
      </c>
      <c r="J503" t="s">
        <v>187</v>
      </c>
      <c r="K503">
        <v>20</v>
      </c>
      <c r="L503" s="63">
        <v>0.14520547945205478</v>
      </c>
      <c r="M503">
        <v>67</v>
      </c>
    </row>
    <row r="504" spans="2:13" x14ac:dyDescent="0.25">
      <c r="B504" s="33">
        <v>1</v>
      </c>
      <c r="C504" t="s">
        <v>276</v>
      </c>
      <c r="D504" t="s">
        <v>287</v>
      </c>
      <c r="E504">
        <v>20</v>
      </c>
      <c r="F504" s="2">
        <v>1.0958904109589E-2</v>
      </c>
      <c r="H504" s="33">
        <v>1</v>
      </c>
      <c r="I504" t="s">
        <v>276</v>
      </c>
      <c r="J504" t="s">
        <v>287</v>
      </c>
      <c r="K504">
        <v>20</v>
      </c>
      <c r="L504" s="63">
        <v>1.0958904109589041E-2</v>
      </c>
      <c r="M504">
        <v>4</v>
      </c>
    </row>
    <row r="505" spans="2:13" x14ac:dyDescent="0.25">
      <c r="B505" s="33">
        <v>1</v>
      </c>
      <c r="C505" t="s">
        <v>0</v>
      </c>
      <c r="D505" t="s">
        <v>56</v>
      </c>
      <c r="E505">
        <v>23</v>
      </c>
      <c r="F505" s="2">
        <v>6.02739726027397E-2</v>
      </c>
      <c r="H505" s="33">
        <v>1</v>
      </c>
      <c r="I505" t="s">
        <v>0</v>
      </c>
      <c r="J505" t="s">
        <v>56</v>
      </c>
      <c r="K505">
        <v>23</v>
      </c>
      <c r="L505" s="63">
        <v>0.12876712328767123</v>
      </c>
      <c r="M505">
        <v>49</v>
      </c>
    </row>
    <row r="506" spans="2:13" x14ac:dyDescent="0.25">
      <c r="B506" s="33">
        <v>1</v>
      </c>
      <c r="C506" t="s">
        <v>2</v>
      </c>
      <c r="D506" t="s">
        <v>316</v>
      </c>
      <c r="E506">
        <v>23</v>
      </c>
      <c r="F506" s="2">
        <v>6.3013698630137005E-2</v>
      </c>
      <c r="H506" s="33">
        <v>1</v>
      </c>
      <c r="I506" t="s">
        <v>2</v>
      </c>
      <c r="J506" t="s">
        <v>316</v>
      </c>
      <c r="K506">
        <v>23</v>
      </c>
      <c r="L506" s="63">
        <v>5.7534246575342465E-2</v>
      </c>
      <c r="M506">
        <v>23</v>
      </c>
    </row>
    <row r="507" spans="2:13" x14ac:dyDescent="0.25">
      <c r="B507" s="33">
        <v>1</v>
      </c>
      <c r="C507" t="s">
        <v>2</v>
      </c>
      <c r="D507" t="s">
        <v>316</v>
      </c>
      <c r="E507">
        <v>0</v>
      </c>
      <c r="F507" s="2">
        <v>4.9315068493150697E-2</v>
      </c>
      <c r="H507" s="33">
        <v>1</v>
      </c>
      <c r="I507" t="s">
        <v>2</v>
      </c>
      <c r="J507" t="s">
        <v>316</v>
      </c>
      <c r="K507">
        <v>0</v>
      </c>
      <c r="L507" s="63">
        <v>4.6575342465753428E-2</v>
      </c>
      <c r="M507">
        <v>18</v>
      </c>
    </row>
    <row r="508" spans="2:13" x14ac:dyDescent="0.25">
      <c r="B508" s="33">
        <v>1</v>
      </c>
      <c r="C508" t="s">
        <v>307</v>
      </c>
      <c r="D508" t="s">
        <v>312</v>
      </c>
      <c r="E508">
        <v>0</v>
      </c>
      <c r="F508" s="2">
        <v>4.65753424657534E-2</v>
      </c>
      <c r="H508" s="33">
        <v>1</v>
      </c>
      <c r="I508" t="s">
        <v>307</v>
      </c>
      <c r="J508" t="s">
        <v>312</v>
      </c>
      <c r="K508">
        <v>0</v>
      </c>
      <c r="L508" s="63">
        <v>4.6575342465753428E-2</v>
      </c>
      <c r="M508">
        <v>17</v>
      </c>
    </row>
    <row r="509" spans="2:13" x14ac:dyDescent="0.25">
      <c r="B509" s="33">
        <v>1</v>
      </c>
      <c r="C509" t="s">
        <v>2</v>
      </c>
      <c r="D509" t="s">
        <v>316</v>
      </c>
      <c r="E509">
        <v>1</v>
      </c>
      <c r="F509" s="2">
        <v>3.0136986301369899E-2</v>
      </c>
      <c r="H509" s="33">
        <v>1</v>
      </c>
      <c r="I509" t="s">
        <v>2</v>
      </c>
      <c r="J509" t="s">
        <v>316</v>
      </c>
      <c r="K509">
        <v>1</v>
      </c>
      <c r="L509" s="63">
        <v>2.7397260273972601E-2</v>
      </c>
      <c r="M509">
        <v>11</v>
      </c>
    </row>
    <row r="510" spans="2:13" x14ac:dyDescent="0.25">
      <c r="B510" s="33">
        <v>1</v>
      </c>
      <c r="C510" t="s">
        <v>0</v>
      </c>
      <c r="D510" t="s">
        <v>70</v>
      </c>
      <c r="E510">
        <v>2</v>
      </c>
      <c r="F510" s="2">
        <v>1.0958904109589E-2</v>
      </c>
      <c r="H510" s="33">
        <v>1</v>
      </c>
      <c r="I510" t="s">
        <v>0</v>
      </c>
      <c r="J510" t="s">
        <v>70</v>
      </c>
      <c r="K510">
        <v>2</v>
      </c>
      <c r="L510" s="63">
        <v>2.1917808219178082E-2</v>
      </c>
      <c r="M510">
        <v>9</v>
      </c>
    </row>
    <row r="511" spans="2:13" x14ac:dyDescent="0.25">
      <c r="B511" s="33">
        <v>1</v>
      </c>
      <c r="C511" t="s">
        <v>57</v>
      </c>
      <c r="D511" t="s">
        <v>74</v>
      </c>
      <c r="E511">
        <v>2</v>
      </c>
      <c r="F511" s="2">
        <v>5.4794520547945197E-3</v>
      </c>
      <c r="H511" s="33">
        <v>1</v>
      </c>
      <c r="I511" t="s">
        <v>57</v>
      </c>
      <c r="J511" t="s">
        <v>74</v>
      </c>
      <c r="K511">
        <v>2</v>
      </c>
      <c r="L511" s="63">
        <v>1.643835616438356E-2</v>
      </c>
      <c r="M511">
        <v>6</v>
      </c>
    </row>
    <row r="512" spans="2:13" x14ac:dyDescent="0.25">
      <c r="B512" s="33">
        <v>1</v>
      </c>
      <c r="C512" t="s">
        <v>2</v>
      </c>
      <c r="D512" t="s">
        <v>316</v>
      </c>
      <c r="E512">
        <v>2</v>
      </c>
      <c r="F512" s="2">
        <v>3.5616438356164397E-2</v>
      </c>
      <c r="H512" s="33">
        <v>1</v>
      </c>
      <c r="I512" t="s">
        <v>2</v>
      </c>
      <c r="J512" t="s">
        <v>316</v>
      </c>
      <c r="K512">
        <v>2</v>
      </c>
      <c r="L512" s="63">
        <v>3.5616438356164383E-2</v>
      </c>
      <c r="M512">
        <v>13</v>
      </c>
    </row>
    <row r="513" spans="2:13" x14ac:dyDescent="0.25">
      <c r="B513" s="33">
        <v>1</v>
      </c>
      <c r="C513" t="s">
        <v>2</v>
      </c>
      <c r="D513" t="s">
        <v>19</v>
      </c>
      <c r="E513">
        <v>7</v>
      </c>
      <c r="F513" s="2">
        <v>6.3013698630137005E-2</v>
      </c>
      <c r="H513" s="33">
        <v>1</v>
      </c>
      <c r="I513" t="s">
        <v>2</v>
      </c>
      <c r="J513" t="s">
        <v>19</v>
      </c>
      <c r="K513">
        <v>7</v>
      </c>
      <c r="L513" s="63">
        <v>7.3972602739726029E-2</v>
      </c>
      <c r="M513">
        <v>34</v>
      </c>
    </row>
    <row r="514" spans="2:13" x14ac:dyDescent="0.25">
      <c r="B514" s="33">
        <v>1</v>
      </c>
      <c r="C514" t="s">
        <v>2</v>
      </c>
      <c r="D514" t="s">
        <v>32</v>
      </c>
      <c r="E514">
        <v>8</v>
      </c>
      <c r="F514" s="2">
        <v>1.3698630136986301E-2</v>
      </c>
      <c r="H514" s="33">
        <v>1</v>
      </c>
      <c r="I514" t="s">
        <v>2</v>
      </c>
      <c r="J514" t="s">
        <v>32</v>
      </c>
      <c r="K514">
        <v>8</v>
      </c>
      <c r="L514" s="63">
        <v>1.0958904109589041E-2</v>
      </c>
      <c r="M514">
        <v>5</v>
      </c>
    </row>
    <row r="515" spans="2:13" x14ac:dyDescent="0.25">
      <c r="B515" s="33">
        <v>1</v>
      </c>
      <c r="C515" t="s">
        <v>0</v>
      </c>
      <c r="D515" t="s">
        <v>71</v>
      </c>
      <c r="E515">
        <v>9</v>
      </c>
      <c r="F515" s="2">
        <v>2.7397260273972601E-2</v>
      </c>
      <c r="H515" s="33">
        <v>1</v>
      </c>
      <c r="I515" t="s">
        <v>0</v>
      </c>
      <c r="J515" t="s">
        <v>71</v>
      </c>
      <c r="K515">
        <v>9</v>
      </c>
      <c r="L515" s="63">
        <v>9.0410958904109592E-2</v>
      </c>
      <c r="M515">
        <v>40</v>
      </c>
    </row>
    <row r="516" spans="2:13" x14ac:dyDescent="0.25">
      <c r="B516" s="33">
        <v>1</v>
      </c>
      <c r="C516" t="s">
        <v>0</v>
      </c>
      <c r="D516" t="s">
        <v>70</v>
      </c>
      <c r="E516">
        <v>9</v>
      </c>
      <c r="F516" s="2">
        <v>4.9315068493150697E-2</v>
      </c>
      <c r="H516" s="33">
        <v>1</v>
      </c>
      <c r="I516" t="s">
        <v>0</v>
      </c>
      <c r="J516" t="s">
        <v>70</v>
      </c>
      <c r="K516">
        <v>9</v>
      </c>
      <c r="L516" s="63">
        <v>0.11232876712328767</v>
      </c>
      <c r="M516">
        <v>43</v>
      </c>
    </row>
    <row r="517" spans="2:13" x14ac:dyDescent="0.25">
      <c r="B517" s="33">
        <v>1</v>
      </c>
      <c r="C517" t="s">
        <v>0</v>
      </c>
      <c r="D517" t="s">
        <v>65</v>
      </c>
      <c r="E517">
        <v>10</v>
      </c>
      <c r="F517" s="2">
        <v>8.2191780821917804E-2</v>
      </c>
      <c r="H517" s="33">
        <v>1</v>
      </c>
      <c r="I517" t="s">
        <v>0</v>
      </c>
      <c r="J517" t="s">
        <v>65</v>
      </c>
      <c r="K517">
        <v>10</v>
      </c>
      <c r="L517" s="63">
        <v>0.11780821917808219</v>
      </c>
      <c r="M517">
        <v>48</v>
      </c>
    </row>
    <row r="518" spans="2:13" x14ac:dyDescent="0.25">
      <c r="B518" s="33">
        <v>1</v>
      </c>
      <c r="C518" t="s">
        <v>276</v>
      </c>
      <c r="D518" t="s">
        <v>318</v>
      </c>
      <c r="E518">
        <v>10</v>
      </c>
      <c r="F518" s="2">
        <v>2.46575342465753E-2</v>
      </c>
      <c r="H518" s="33">
        <v>1</v>
      </c>
      <c r="I518" t="s">
        <v>276</v>
      </c>
      <c r="J518" t="s">
        <v>318</v>
      </c>
      <c r="K518">
        <v>10</v>
      </c>
      <c r="L518" s="63">
        <v>2.4657534246575342E-2</v>
      </c>
      <c r="M518">
        <v>9</v>
      </c>
    </row>
    <row r="519" spans="2:13" x14ac:dyDescent="0.25">
      <c r="B519" s="33">
        <v>1</v>
      </c>
      <c r="C519" t="s">
        <v>276</v>
      </c>
      <c r="D519" t="s">
        <v>286</v>
      </c>
      <c r="E519">
        <v>11</v>
      </c>
      <c r="F519" s="2">
        <v>1.9178082191780799E-2</v>
      </c>
      <c r="H519" s="33">
        <v>1</v>
      </c>
      <c r="I519" t="s">
        <v>276</v>
      </c>
      <c r="J519" t="s">
        <v>286</v>
      </c>
      <c r="K519">
        <v>11</v>
      </c>
      <c r="L519" s="63">
        <v>1.9178082191780823E-2</v>
      </c>
      <c r="M519">
        <v>7</v>
      </c>
    </row>
    <row r="520" spans="2:13" x14ac:dyDescent="0.25">
      <c r="B520" s="33">
        <v>1</v>
      </c>
      <c r="C520" t="s">
        <v>0</v>
      </c>
      <c r="D520" t="s">
        <v>62</v>
      </c>
      <c r="E520">
        <v>11</v>
      </c>
      <c r="F520" s="2">
        <v>7.6712328767123306E-2</v>
      </c>
      <c r="H520" s="33">
        <v>1</v>
      </c>
      <c r="I520" t="s">
        <v>0</v>
      </c>
      <c r="J520" t="s">
        <v>62</v>
      </c>
      <c r="K520">
        <v>11</v>
      </c>
      <c r="L520" s="63">
        <v>0.13424657534246576</v>
      </c>
      <c r="M520">
        <v>57</v>
      </c>
    </row>
    <row r="521" spans="2:13" x14ac:dyDescent="0.25">
      <c r="B521" s="33">
        <v>1</v>
      </c>
      <c r="C521" t="s">
        <v>2</v>
      </c>
      <c r="D521" t="s">
        <v>17</v>
      </c>
      <c r="E521">
        <v>12</v>
      </c>
      <c r="F521" s="2">
        <v>8.7671232876712302E-2</v>
      </c>
      <c r="H521" s="33">
        <v>1</v>
      </c>
      <c r="I521" t="s">
        <v>2</v>
      </c>
      <c r="J521" t="s">
        <v>17</v>
      </c>
      <c r="K521">
        <v>12</v>
      </c>
      <c r="L521" s="63">
        <v>9.3150684931506855E-2</v>
      </c>
      <c r="M521">
        <v>39</v>
      </c>
    </row>
    <row r="522" spans="2:13" x14ac:dyDescent="0.25">
      <c r="B522" s="33">
        <v>1</v>
      </c>
      <c r="C522" t="s">
        <v>231</v>
      </c>
      <c r="D522" t="s">
        <v>184</v>
      </c>
      <c r="E522">
        <v>13</v>
      </c>
      <c r="F522" s="2">
        <v>8.4931506849315094E-2</v>
      </c>
      <c r="H522" s="33">
        <v>1</v>
      </c>
      <c r="I522" t="s">
        <v>231</v>
      </c>
      <c r="J522" t="s">
        <v>184</v>
      </c>
      <c r="K522">
        <v>13</v>
      </c>
      <c r="L522" s="63">
        <v>0.15342465753424658</v>
      </c>
      <c r="M522">
        <v>61</v>
      </c>
    </row>
    <row r="523" spans="2:13" x14ac:dyDescent="0.25">
      <c r="B523" s="33">
        <v>1</v>
      </c>
      <c r="C523" t="s">
        <v>0</v>
      </c>
      <c r="D523" t="s">
        <v>56</v>
      </c>
      <c r="E523">
        <v>14</v>
      </c>
      <c r="F523" s="2">
        <v>0.13424657534246601</v>
      </c>
      <c r="H523" s="33">
        <v>1</v>
      </c>
      <c r="I523" t="s">
        <v>0</v>
      </c>
      <c r="J523" t="s">
        <v>56</v>
      </c>
      <c r="K523">
        <v>14</v>
      </c>
      <c r="L523" s="63">
        <v>0.21369863013698631</v>
      </c>
      <c r="M523">
        <v>88</v>
      </c>
    </row>
    <row r="524" spans="2:13" x14ac:dyDescent="0.25">
      <c r="B524" s="33">
        <v>1</v>
      </c>
      <c r="C524" t="s">
        <v>0</v>
      </c>
      <c r="D524" t="s">
        <v>71</v>
      </c>
      <c r="E524">
        <v>14</v>
      </c>
      <c r="F524" s="2">
        <v>4.65753424657534E-2</v>
      </c>
      <c r="H524" s="33">
        <v>1</v>
      </c>
      <c r="I524" t="s">
        <v>0</v>
      </c>
      <c r="J524" t="s">
        <v>71</v>
      </c>
      <c r="K524">
        <v>14</v>
      </c>
      <c r="L524" s="63">
        <v>0.10684931506849316</v>
      </c>
      <c r="M524">
        <v>44</v>
      </c>
    </row>
    <row r="525" spans="2:13" x14ac:dyDescent="0.25">
      <c r="B525" s="33">
        <v>1</v>
      </c>
      <c r="C525" t="s">
        <v>276</v>
      </c>
      <c r="D525" t="s">
        <v>290</v>
      </c>
      <c r="E525">
        <v>14</v>
      </c>
      <c r="F525" s="2">
        <v>3.2876712328767099E-2</v>
      </c>
      <c r="H525" s="33">
        <v>1</v>
      </c>
      <c r="I525" t="s">
        <v>276</v>
      </c>
      <c r="J525" t="s">
        <v>290</v>
      </c>
      <c r="K525">
        <v>14</v>
      </c>
      <c r="L525" s="63">
        <v>3.287671232876712E-2</v>
      </c>
      <c r="M525">
        <v>12</v>
      </c>
    </row>
    <row r="526" spans="2:13" x14ac:dyDescent="0.25">
      <c r="B526" s="33">
        <v>1</v>
      </c>
      <c r="C526" t="s">
        <v>57</v>
      </c>
      <c r="D526" t="s">
        <v>69</v>
      </c>
      <c r="E526">
        <v>15</v>
      </c>
      <c r="F526" s="2">
        <v>3.5616438356164397E-2</v>
      </c>
      <c r="H526" s="33">
        <v>1</v>
      </c>
      <c r="I526" t="s">
        <v>57</v>
      </c>
      <c r="J526" t="s">
        <v>69</v>
      </c>
      <c r="K526">
        <v>15</v>
      </c>
      <c r="L526" s="63">
        <v>8.4931506849315067E-2</v>
      </c>
      <c r="M526">
        <v>33</v>
      </c>
    </row>
    <row r="527" spans="2:13" x14ac:dyDescent="0.25">
      <c r="B527" s="33">
        <v>1</v>
      </c>
      <c r="C527" t="s">
        <v>307</v>
      </c>
      <c r="D527" t="s">
        <v>308</v>
      </c>
      <c r="E527">
        <v>15</v>
      </c>
      <c r="F527" s="2">
        <v>9.3150684931506897E-2</v>
      </c>
      <c r="H527" s="33">
        <v>1</v>
      </c>
      <c r="I527" t="s">
        <v>307</v>
      </c>
      <c r="J527" t="s">
        <v>308</v>
      </c>
      <c r="K527">
        <v>15</v>
      </c>
      <c r="L527" s="63">
        <v>9.0410958904109592E-2</v>
      </c>
      <c r="M527">
        <v>34</v>
      </c>
    </row>
    <row r="528" spans="2:13" x14ac:dyDescent="0.25">
      <c r="B528" s="33">
        <v>1</v>
      </c>
      <c r="C528" t="s">
        <v>0</v>
      </c>
      <c r="D528" t="s">
        <v>65</v>
      </c>
      <c r="E528">
        <v>16</v>
      </c>
      <c r="F528" s="2">
        <v>0.115068493150685</v>
      </c>
      <c r="H528" s="33">
        <v>1</v>
      </c>
      <c r="I528" t="s">
        <v>0</v>
      </c>
      <c r="J528" t="s">
        <v>65</v>
      </c>
      <c r="K528">
        <v>16</v>
      </c>
      <c r="L528" s="63">
        <v>0.22191780821917809</v>
      </c>
      <c r="M528">
        <v>100</v>
      </c>
    </row>
    <row r="529" spans="2:13" x14ac:dyDescent="0.25">
      <c r="B529" s="33">
        <v>1</v>
      </c>
      <c r="C529" t="s">
        <v>307</v>
      </c>
      <c r="D529" t="s">
        <v>394</v>
      </c>
      <c r="E529">
        <v>16</v>
      </c>
      <c r="F529" s="2">
        <v>6.8493150684931503E-2</v>
      </c>
      <c r="H529" s="33">
        <v>1</v>
      </c>
      <c r="I529" t="s">
        <v>307</v>
      </c>
      <c r="J529" t="s">
        <v>314</v>
      </c>
      <c r="K529">
        <v>16</v>
      </c>
      <c r="L529" s="63">
        <v>6.3013698630136991E-2</v>
      </c>
      <c r="M529">
        <v>25</v>
      </c>
    </row>
    <row r="530" spans="2:13" x14ac:dyDescent="0.25">
      <c r="B530" s="33">
        <v>1</v>
      </c>
      <c r="C530" t="s">
        <v>0</v>
      </c>
      <c r="D530" t="s">
        <v>70</v>
      </c>
      <c r="E530">
        <v>17</v>
      </c>
      <c r="F530" s="2">
        <v>5.4794520547945202E-2</v>
      </c>
      <c r="H530" s="33">
        <v>1</v>
      </c>
      <c r="I530" t="s">
        <v>0</v>
      </c>
      <c r="J530" t="s">
        <v>70</v>
      </c>
      <c r="K530">
        <v>17</v>
      </c>
      <c r="L530" s="63">
        <v>0.14246575342465753</v>
      </c>
      <c r="M530">
        <v>61</v>
      </c>
    </row>
    <row r="531" spans="2:13" x14ac:dyDescent="0.25">
      <c r="B531" s="33">
        <v>1</v>
      </c>
      <c r="C531" t="s">
        <v>292</v>
      </c>
      <c r="D531" t="s">
        <v>296</v>
      </c>
      <c r="E531">
        <v>18</v>
      </c>
      <c r="F531" s="2">
        <v>8.2191780821917804E-2</v>
      </c>
      <c r="H531" s="33">
        <v>1</v>
      </c>
      <c r="I531" t="s">
        <v>292</v>
      </c>
      <c r="J531" t="s">
        <v>296</v>
      </c>
      <c r="K531">
        <v>18</v>
      </c>
      <c r="L531" s="63">
        <v>7.9452054794520555E-2</v>
      </c>
      <c r="M531">
        <v>30</v>
      </c>
    </row>
    <row r="532" spans="2:13" x14ac:dyDescent="0.25">
      <c r="B532" s="33">
        <v>1</v>
      </c>
      <c r="C532" t="s">
        <v>307</v>
      </c>
      <c r="D532" t="s">
        <v>310</v>
      </c>
      <c r="E532">
        <v>18</v>
      </c>
      <c r="F532" s="2">
        <v>5.75342465753425E-2</v>
      </c>
      <c r="H532" s="33">
        <v>1</v>
      </c>
      <c r="I532" t="s">
        <v>307</v>
      </c>
      <c r="J532" t="s">
        <v>310</v>
      </c>
      <c r="K532">
        <v>18</v>
      </c>
      <c r="L532" s="63">
        <v>5.4794520547945202E-2</v>
      </c>
      <c r="M532">
        <v>21</v>
      </c>
    </row>
    <row r="533" spans="2:13" x14ac:dyDescent="0.25">
      <c r="B533" s="33">
        <v>1</v>
      </c>
      <c r="C533" t="s">
        <v>292</v>
      </c>
      <c r="D533" t="s">
        <v>320</v>
      </c>
      <c r="E533">
        <v>18</v>
      </c>
      <c r="F533" s="2">
        <v>5.4794520547945202E-2</v>
      </c>
      <c r="H533" s="33">
        <v>1</v>
      </c>
      <c r="I533" t="s">
        <v>292</v>
      </c>
      <c r="J533" t="s">
        <v>320</v>
      </c>
      <c r="K533">
        <v>18</v>
      </c>
      <c r="L533" s="63">
        <v>5.2054794520547946E-2</v>
      </c>
      <c r="M533">
        <v>20</v>
      </c>
    </row>
    <row r="534" spans="2:13" x14ac:dyDescent="0.25">
      <c r="B534" s="33">
        <v>1</v>
      </c>
      <c r="C534" t="s">
        <v>307</v>
      </c>
      <c r="D534" t="s">
        <v>313</v>
      </c>
      <c r="E534">
        <v>18</v>
      </c>
      <c r="F534" s="2">
        <v>5.75342465753425E-2</v>
      </c>
      <c r="H534" s="33">
        <v>1</v>
      </c>
      <c r="I534" t="s">
        <v>307</v>
      </c>
      <c r="J534" t="s">
        <v>313</v>
      </c>
      <c r="K534">
        <v>18</v>
      </c>
      <c r="L534" s="63">
        <v>4.9315068493150684E-2</v>
      </c>
      <c r="M534">
        <v>21</v>
      </c>
    </row>
    <row r="535" spans="2:13" x14ac:dyDescent="0.25">
      <c r="B535" s="33">
        <v>1</v>
      </c>
      <c r="C535" t="s">
        <v>292</v>
      </c>
      <c r="D535" t="s">
        <v>296</v>
      </c>
      <c r="E535">
        <v>19</v>
      </c>
      <c r="F535" s="2">
        <v>2.7397260273972601E-2</v>
      </c>
      <c r="H535" s="33">
        <v>1</v>
      </c>
      <c r="I535" t="s">
        <v>292</v>
      </c>
      <c r="J535" t="s">
        <v>296</v>
      </c>
      <c r="K535">
        <v>19</v>
      </c>
      <c r="L535" s="63">
        <v>2.7397260273972601E-2</v>
      </c>
      <c r="M535">
        <v>10</v>
      </c>
    </row>
    <row r="536" spans="2:13" x14ac:dyDescent="0.25">
      <c r="B536" s="33">
        <v>1</v>
      </c>
      <c r="C536" t="s">
        <v>2</v>
      </c>
      <c r="D536" t="s">
        <v>316</v>
      </c>
      <c r="E536">
        <v>19</v>
      </c>
      <c r="F536" s="2">
        <v>0.19178082191780799</v>
      </c>
      <c r="H536" s="33">
        <v>1</v>
      </c>
      <c r="I536" t="s">
        <v>2</v>
      </c>
      <c r="J536" t="s">
        <v>316</v>
      </c>
      <c r="K536">
        <v>19</v>
      </c>
      <c r="L536" s="63">
        <v>0.16438356164383561</v>
      </c>
      <c r="M536">
        <v>70</v>
      </c>
    </row>
    <row r="537" spans="2:13" x14ac:dyDescent="0.25">
      <c r="B537" s="33">
        <v>1</v>
      </c>
      <c r="C537" t="s">
        <v>231</v>
      </c>
      <c r="D537" t="s">
        <v>188</v>
      </c>
      <c r="E537">
        <v>19</v>
      </c>
      <c r="F537" s="2">
        <v>2.7397260273972601E-2</v>
      </c>
      <c r="H537" s="33">
        <v>1</v>
      </c>
      <c r="I537" t="s">
        <v>231</v>
      </c>
      <c r="J537" t="s">
        <v>188</v>
      </c>
      <c r="K537">
        <v>19</v>
      </c>
      <c r="L537" s="63">
        <v>9.5890410958904104E-2</v>
      </c>
      <c r="M537">
        <v>36</v>
      </c>
    </row>
    <row r="538" spans="2:13" x14ac:dyDescent="0.25">
      <c r="B538" s="33">
        <v>1</v>
      </c>
      <c r="C538" t="s">
        <v>0</v>
      </c>
      <c r="D538" t="s">
        <v>56</v>
      </c>
      <c r="E538">
        <v>20</v>
      </c>
      <c r="F538" s="2">
        <v>0.106849315068493</v>
      </c>
      <c r="H538" s="33">
        <v>1</v>
      </c>
      <c r="I538" t="s">
        <v>0</v>
      </c>
      <c r="J538" t="s">
        <v>56</v>
      </c>
      <c r="K538">
        <v>20</v>
      </c>
      <c r="L538" s="63">
        <v>0.18356164383561643</v>
      </c>
      <c r="M538">
        <v>78</v>
      </c>
    </row>
    <row r="539" spans="2:13" x14ac:dyDescent="0.25">
      <c r="B539" s="33">
        <v>1</v>
      </c>
      <c r="C539" t="s">
        <v>231</v>
      </c>
      <c r="D539" t="s">
        <v>188</v>
      </c>
      <c r="E539">
        <v>20</v>
      </c>
      <c r="F539" s="2">
        <v>3.5616438356164397E-2</v>
      </c>
      <c r="H539" s="33">
        <v>1</v>
      </c>
      <c r="I539" t="s">
        <v>231</v>
      </c>
      <c r="J539" t="s">
        <v>188</v>
      </c>
      <c r="K539">
        <v>20</v>
      </c>
      <c r="L539" s="63">
        <v>4.9315068493150684E-2</v>
      </c>
      <c r="M539">
        <v>23</v>
      </c>
    </row>
    <row r="540" spans="2:13" x14ac:dyDescent="0.25">
      <c r="B540" s="33">
        <v>1</v>
      </c>
      <c r="C540" t="s">
        <v>0</v>
      </c>
      <c r="D540" t="s">
        <v>64</v>
      </c>
      <c r="E540">
        <v>20</v>
      </c>
      <c r="F540" s="2">
        <v>3.0136986301369899E-2</v>
      </c>
      <c r="H540" s="33">
        <v>1</v>
      </c>
      <c r="I540" t="s">
        <v>0</v>
      </c>
      <c r="J540" t="s">
        <v>64</v>
      </c>
      <c r="K540">
        <v>20</v>
      </c>
      <c r="L540" s="63">
        <v>6.8493150684931503E-2</v>
      </c>
      <c r="M540">
        <v>28</v>
      </c>
    </row>
    <row r="541" spans="2:13" x14ac:dyDescent="0.25">
      <c r="B541" s="33">
        <v>1</v>
      </c>
      <c r="C541" t="s">
        <v>2</v>
      </c>
      <c r="D541" t="s">
        <v>36</v>
      </c>
      <c r="E541">
        <v>21</v>
      </c>
      <c r="F541" s="2">
        <v>4.1095890410958902E-2</v>
      </c>
      <c r="H541" s="33">
        <v>1</v>
      </c>
      <c r="I541" t="s">
        <v>2</v>
      </c>
      <c r="J541" t="s">
        <v>36</v>
      </c>
      <c r="K541">
        <v>21</v>
      </c>
      <c r="L541" s="63">
        <v>4.9315068493150684E-2</v>
      </c>
      <c r="M541">
        <v>20</v>
      </c>
    </row>
    <row r="542" spans="2:13" x14ac:dyDescent="0.25">
      <c r="B542" s="33">
        <v>1</v>
      </c>
      <c r="C542" t="s">
        <v>59</v>
      </c>
      <c r="D542" t="s">
        <v>60</v>
      </c>
      <c r="E542">
        <v>21</v>
      </c>
      <c r="F542" s="2">
        <v>7.6712328767123306E-2</v>
      </c>
      <c r="H542" s="33">
        <v>1</v>
      </c>
      <c r="I542" t="s">
        <v>59</v>
      </c>
      <c r="J542" t="s">
        <v>60</v>
      </c>
      <c r="K542">
        <v>21</v>
      </c>
      <c r="L542" s="63">
        <v>0.12876712328767123</v>
      </c>
      <c r="M542">
        <v>53</v>
      </c>
    </row>
    <row r="543" spans="2:13" x14ac:dyDescent="0.25">
      <c r="B543" s="33">
        <v>1</v>
      </c>
      <c r="C543" t="s">
        <v>59</v>
      </c>
      <c r="D543" t="s">
        <v>63</v>
      </c>
      <c r="E543">
        <v>4</v>
      </c>
      <c r="F543" s="2">
        <v>1.0958904109589E-2</v>
      </c>
      <c r="H543" s="33">
        <v>1</v>
      </c>
      <c r="I543" t="s">
        <v>59</v>
      </c>
      <c r="J543" t="s">
        <v>63</v>
      </c>
      <c r="K543">
        <v>4</v>
      </c>
      <c r="L543" s="63">
        <v>2.7397260273972601E-2</v>
      </c>
      <c r="M543">
        <v>12</v>
      </c>
    </row>
    <row r="544" spans="2:13" x14ac:dyDescent="0.25">
      <c r="B544" s="33">
        <v>1</v>
      </c>
      <c r="C544" t="s">
        <v>57</v>
      </c>
      <c r="D544" t="s">
        <v>75</v>
      </c>
      <c r="E544">
        <v>4</v>
      </c>
      <c r="F544" s="2">
        <v>5.4794520547945197E-3</v>
      </c>
      <c r="H544" s="33">
        <v>1</v>
      </c>
      <c r="I544" t="s">
        <v>57</v>
      </c>
      <c r="J544" t="s">
        <v>75</v>
      </c>
      <c r="K544">
        <v>4</v>
      </c>
      <c r="L544" s="63">
        <v>1.643835616438356E-2</v>
      </c>
      <c r="M544">
        <v>6</v>
      </c>
    </row>
    <row r="545" spans="2:13" x14ac:dyDescent="0.25">
      <c r="B545" s="33">
        <v>1</v>
      </c>
      <c r="C545" t="s">
        <v>59</v>
      </c>
      <c r="D545" t="s">
        <v>60</v>
      </c>
      <c r="E545">
        <v>6</v>
      </c>
      <c r="F545" s="2">
        <v>2.7397260273972601E-2</v>
      </c>
      <c r="H545" s="33">
        <v>1</v>
      </c>
      <c r="I545" t="s">
        <v>59</v>
      </c>
      <c r="J545" t="s">
        <v>60</v>
      </c>
      <c r="K545">
        <v>6</v>
      </c>
      <c r="L545" s="63">
        <v>3.8356164383561646E-2</v>
      </c>
      <c r="M545">
        <v>15</v>
      </c>
    </row>
    <row r="546" spans="2:13" x14ac:dyDescent="0.25">
      <c r="B546" s="33">
        <v>1</v>
      </c>
      <c r="C546" t="s">
        <v>231</v>
      </c>
      <c r="D546" t="s">
        <v>184</v>
      </c>
      <c r="E546">
        <v>7</v>
      </c>
      <c r="F546" s="2">
        <v>6.02739726027397E-2</v>
      </c>
      <c r="H546" s="33">
        <v>1</v>
      </c>
      <c r="I546" t="s">
        <v>231</v>
      </c>
      <c r="J546" t="s">
        <v>184</v>
      </c>
      <c r="K546">
        <v>7</v>
      </c>
      <c r="L546" s="63">
        <v>0.14794520547945206</v>
      </c>
      <c r="M546">
        <v>61</v>
      </c>
    </row>
    <row r="547" spans="2:13" x14ac:dyDescent="0.25">
      <c r="B547" s="33">
        <v>1</v>
      </c>
      <c r="C547" t="s">
        <v>59</v>
      </c>
      <c r="D547" t="s">
        <v>68</v>
      </c>
      <c r="E547">
        <v>8</v>
      </c>
      <c r="F547" s="2">
        <v>5.75342465753425E-2</v>
      </c>
      <c r="H547" s="33">
        <v>1</v>
      </c>
      <c r="I547" t="s">
        <v>59</v>
      </c>
      <c r="J547" t="s">
        <v>68</v>
      </c>
      <c r="K547">
        <v>8</v>
      </c>
      <c r="L547" s="63">
        <v>0.13150684931506848</v>
      </c>
      <c r="M547">
        <v>49</v>
      </c>
    </row>
    <row r="548" spans="2:13" x14ac:dyDescent="0.25">
      <c r="B548" s="33">
        <v>1</v>
      </c>
      <c r="C548" t="s">
        <v>2</v>
      </c>
      <c r="D548" t="s">
        <v>37</v>
      </c>
      <c r="E548">
        <v>8</v>
      </c>
      <c r="F548" s="2">
        <v>3.2876712328767099E-2</v>
      </c>
      <c r="H548" s="33">
        <v>1</v>
      </c>
      <c r="I548" t="s">
        <v>2</v>
      </c>
      <c r="J548" t="s">
        <v>37</v>
      </c>
      <c r="K548">
        <v>8</v>
      </c>
      <c r="L548" s="63">
        <v>3.287671232876712E-2</v>
      </c>
      <c r="M548">
        <v>13</v>
      </c>
    </row>
    <row r="549" spans="2:13" x14ac:dyDescent="0.25">
      <c r="B549" s="33">
        <v>1</v>
      </c>
      <c r="C549" t="s">
        <v>2</v>
      </c>
      <c r="D549" t="s">
        <v>17</v>
      </c>
      <c r="E549">
        <v>8</v>
      </c>
      <c r="F549" s="2">
        <v>6.5753424657534199E-2</v>
      </c>
      <c r="H549" s="33">
        <v>1</v>
      </c>
      <c r="I549" t="s">
        <v>2</v>
      </c>
      <c r="J549" t="s">
        <v>17</v>
      </c>
      <c r="K549">
        <v>8</v>
      </c>
      <c r="L549" s="63">
        <v>7.9452054794520555E-2</v>
      </c>
      <c r="M549">
        <v>36</v>
      </c>
    </row>
    <row r="550" spans="2:13" x14ac:dyDescent="0.25">
      <c r="B550" s="33">
        <v>1</v>
      </c>
      <c r="C550" t="s">
        <v>57</v>
      </c>
      <c r="D550" t="s">
        <v>77</v>
      </c>
      <c r="E550">
        <v>10</v>
      </c>
      <c r="F550" s="2">
        <v>5.4794520547945197E-3</v>
      </c>
      <c r="H550" s="33">
        <v>1</v>
      </c>
      <c r="I550" t="s">
        <v>57</v>
      </c>
      <c r="J550" t="s">
        <v>77</v>
      </c>
      <c r="K550">
        <v>10</v>
      </c>
      <c r="L550" s="63">
        <v>4.1095890410958902E-2</v>
      </c>
      <c r="M550">
        <v>16</v>
      </c>
    </row>
    <row r="551" spans="2:13" x14ac:dyDescent="0.25">
      <c r="B551" s="33">
        <v>1</v>
      </c>
      <c r="C551" t="s">
        <v>2</v>
      </c>
      <c r="D551" t="s">
        <v>37</v>
      </c>
      <c r="E551">
        <v>11</v>
      </c>
      <c r="F551" s="2">
        <v>4.3835616438356199E-2</v>
      </c>
      <c r="H551" s="33">
        <v>1</v>
      </c>
      <c r="I551" t="s">
        <v>2</v>
      </c>
      <c r="J551" t="s">
        <v>37</v>
      </c>
      <c r="K551">
        <v>11</v>
      </c>
      <c r="L551" s="63">
        <v>4.3835616438356165E-2</v>
      </c>
      <c r="M551">
        <v>17</v>
      </c>
    </row>
    <row r="552" spans="2:13" x14ac:dyDescent="0.25">
      <c r="B552" s="33">
        <v>1</v>
      </c>
      <c r="C552" t="s">
        <v>2</v>
      </c>
      <c r="D552" t="s">
        <v>28</v>
      </c>
      <c r="E552">
        <v>12</v>
      </c>
      <c r="F552" s="2">
        <v>5.75342465753425E-2</v>
      </c>
      <c r="H552" s="33">
        <v>1</v>
      </c>
      <c r="I552" t="s">
        <v>2</v>
      </c>
      <c r="J552" t="s">
        <v>28</v>
      </c>
      <c r="K552">
        <v>12</v>
      </c>
      <c r="L552" s="63">
        <v>6.575342465753424E-2</v>
      </c>
      <c r="M552">
        <v>27</v>
      </c>
    </row>
    <row r="553" spans="2:13" x14ac:dyDescent="0.25">
      <c r="B553" s="33">
        <v>1</v>
      </c>
      <c r="C553" t="s">
        <v>0</v>
      </c>
      <c r="D553" t="s">
        <v>56</v>
      </c>
      <c r="E553">
        <v>12</v>
      </c>
      <c r="F553" s="2">
        <v>0.112328767123288</v>
      </c>
      <c r="H553" s="33">
        <v>1</v>
      </c>
      <c r="I553" t="s">
        <v>0</v>
      </c>
      <c r="J553" t="s">
        <v>56</v>
      </c>
      <c r="K553">
        <v>12</v>
      </c>
      <c r="L553" s="63">
        <v>0.20547945205479451</v>
      </c>
      <c r="M553">
        <v>86</v>
      </c>
    </row>
    <row r="554" spans="2:13" x14ac:dyDescent="0.25">
      <c r="B554" s="33">
        <v>1</v>
      </c>
      <c r="C554" t="s">
        <v>2</v>
      </c>
      <c r="D554" t="s">
        <v>19</v>
      </c>
      <c r="E554">
        <v>12</v>
      </c>
      <c r="F554" s="2">
        <v>5.2054794520547898E-2</v>
      </c>
      <c r="H554" s="33">
        <v>1</v>
      </c>
      <c r="I554" t="s">
        <v>2</v>
      </c>
      <c r="J554" t="s">
        <v>19</v>
      </c>
      <c r="K554">
        <v>12</v>
      </c>
      <c r="L554" s="63">
        <v>5.7534246575342465E-2</v>
      </c>
      <c r="M554">
        <v>24</v>
      </c>
    </row>
    <row r="555" spans="2:13" x14ac:dyDescent="0.25">
      <c r="B555" s="33">
        <v>1</v>
      </c>
      <c r="C555" t="s">
        <v>276</v>
      </c>
      <c r="D555" t="s">
        <v>291</v>
      </c>
      <c r="E555">
        <v>13</v>
      </c>
      <c r="F555" s="2">
        <v>1.9178082191780799E-2</v>
      </c>
      <c r="H555" s="33">
        <v>1</v>
      </c>
      <c r="I555" t="s">
        <v>276</v>
      </c>
      <c r="J555" t="s">
        <v>291</v>
      </c>
      <c r="K555">
        <v>13</v>
      </c>
      <c r="L555" s="63">
        <v>1.9178082191780823E-2</v>
      </c>
      <c r="M555">
        <v>7</v>
      </c>
    </row>
    <row r="556" spans="2:13" x14ac:dyDescent="0.25">
      <c r="B556" s="33">
        <v>1</v>
      </c>
      <c r="C556" t="s">
        <v>57</v>
      </c>
      <c r="D556" t="s">
        <v>67</v>
      </c>
      <c r="E556">
        <v>14</v>
      </c>
      <c r="F556" s="2">
        <v>9.3150684931506897E-2</v>
      </c>
      <c r="H556" s="33">
        <v>1</v>
      </c>
      <c r="I556" t="s">
        <v>57</v>
      </c>
      <c r="J556" t="s">
        <v>67</v>
      </c>
      <c r="K556">
        <v>14</v>
      </c>
      <c r="L556" s="63">
        <v>0.19726027397260273</v>
      </c>
      <c r="M556">
        <v>83</v>
      </c>
    </row>
    <row r="557" spans="2:13" x14ac:dyDescent="0.25">
      <c r="B557" s="33">
        <v>1</v>
      </c>
      <c r="C557" t="s">
        <v>57</v>
      </c>
      <c r="D557" t="s">
        <v>69</v>
      </c>
      <c r="E557">
        <v>18</v>
      </c>
      <c r="F557" s="2">
        <v>5.4794520547945202E-2</v>
      </c>
      <c r="H557" s="33">
        <v>1</v>
      </c>
      <c r="I557" t="s">
        <v>57</v>
      </c>
      <c r="J557" t="s">
        <v>69</v>
      </c>
      <c r="K557">
        <v>18</v>
      </c>
      <c r="L557" s="63">
        <v>0.13424657534246576</v>
      </c>
      <c r="M557">
        <v>56</v>
      </c>
    </row>
    <row r="558" spans="2:13" x14ac:dyDescent="0.25">
      <c r="B558" s="33">
        <v>1</v>
      </c>
      <c r="C558" t="s">
        <v>59</v>
      </c>
      <c r="D558" t="s">
        <v>68</v>
      </c>
      <c r="E558">
        <v>20</v>
      </c>
      <c r="F558" s="2">
        <v>3.8356164383561597E-2</v>
      </c>
      <c r="H558" s="33">
        <v>1</v>
      </c>
      <c r="I558" t="s">
        <v>59</v>
      </c>
      <c r="J558" t="s">
        <v>68</v>
      </c>
      <c r="K558">
        <v>20</v>
      </c>
      <c r="L558" s="63">
        <v>7.9452054794520555E-2</v>
      </c>
      <c r="M558">
        <v>32</v>
      </c>
    </row>
    <row r="559" spans="2:13" x14ac:dyDescent="0.25">
      <c r="B559" s="33">
        <v>1</v>
      </c>
      <c r="C559" t="s">
        <v>2</v>
      </c>
      <c r="D559" t="s">
        <v>317</v>
      </c>
      <c r="E559">
        <v>23</v>
      </c>
      <c r="F559" s="2">
        <v>6.3013698630137005E-2</v>
      </c>
      <c r="H559" s="33">
        <v>1</v>
      </c>
      <c r="I559" t="s">
        <v>2</v>
      </c>
      <c r="J559" t="s">
        <v>317</v>
      </c>
      <c r="K559">
        <v>23</v>
      </c>
      <c r="L559" s="63">
        <v>6.0273972602739728E-2</v>
      </c>
      <c r="M559">
        <v>23</v>
      </c>
    </row>
    <row r="560" spans="2:13" x14ac:dyDescent="0.25">
      <c r="B560" s="33">
        <v>1</v>
      </c>
      <c r="C560" t="s">
        <v>231</v>
      </c>
      <c r="D560" t="s">
        <v>187</v>
      </c>
      <c r="E560">
        <v>0</v>
      </c>
      <c r="F560" s="2">
        <v>2.19178082191781E-2</v>
      </c>
      <c r="H560" s="33">
        <v>1</v>
      </c>
      <c r="I560" t="s">
        <v>231</v>
      </c>
      <c r="J560" t="s">
        <v>187</v>
      </c>
      <c r="K560">
        <v>0</v>
      </c>
      <c r="L560" s="63">
        <v>5.7534246575342465E-2</v>
      </c>
      <c r="M560">
        <v>22</v>
      </c>
    </row>
    <row r="561" spans="2:13" x14ac:dyDescent="0.25">
      <c r="B561" s="33">
        <v>1</v>
      </c>
      <c r="C561" t="s">
        <v>231</v>
      </c>
      <c r="D561" t="s">
        <v>183</v>
      </c>
      <c r="E561">
        <v>1</v>
      </c>
      <c r="F561" s="2">
        <v>3.2876712328767099E-2</v>
      </c>
      <c r="H561" s="33">
        <v>1</v>
      </c>
      <c r="I561" t="s">
        <v>231</v>
      </c>
      <c r="J561" t="s">
        <v>183</v>
      </c>
      <c r="K561">
        <v>1</v>
      </c>
      <c r="L561" s="63">
        <v>9.3150684931506855E-2</v>
      </c>
      <c r="M561">
        <v>39</v>
      </c>
    </row>
    <row r="562" spans="2:13" x14ac:dyDescent="0.25">
      <c r="B562" s="33">
        <v>1</v>
      </c>
      <c r="C562" t="s">
        <v>2</v>
      </c>
      <c r="D562" t="s">
        <v>36</v>
      </c>
      <c r="E562">
        <v>1</v>
      </c>
      <c r="F562" s="2">
        <v>1.0958904109589E-2</v>
      </c>
      <c r="H562" s="33">
        <v>1</v>
      </c>
      <c r="I562" t="s">
        <v>2</v>
      </c>
      <c r="J562" t="s">
        <v>36</v>
      </c>
      <c r="K562">
        <v>1</v>
      </c>
      <c r="L562" s="63">
        <v>1.0958904109589041E-2</v>
      </c>
      <c r="M562">
        <v>5</v>
      </c>
    </row>
    <row r="563" spans="2:13" x14ac:dyDescent="0.25">
      <c r="B563" s="33">
        <v>1</v>
      </c>
      <c r="C563" t="s">
        <v>57</v>
      </c>
      <c r="D563" t="s">
        <v>74</v>
      </c>
      <c r="E563">
        <v>1</v>
      </c>
      <c r="F563" s="2">
        <v>1.3698630136986301E-2</v>
      </c>
      <c r="H563" s="33">
        <v>1</v>
      </c>
      <c r="I563" t="s">
        <v>57</v>
      </c>
      <c r="J563" t="s">
        <v>74</v>
      </c>
      <c r="K563">
        <v>1</v>
      </c>
      <c r="L563" s="63">
        <v>3.0136986301369864E-2</v>
      </c>
      <c r="M563">
        <v>12</v>
      </c>
    </row>
    <row r="564" spans="2:13" x14ac:dyDescent="0.25">
      <c r="B564" s="33">
        <v>1</v>
      </c>
      <c r="C564" t="s">
        <v>57</v>
      </c>
      <c r="D564" t="s">
        <v>77</v>
      </c>
      <c r="E564">
        <v>2</v>
      </c>
      <c r="F564" s="2">
        <v>0</v>
      </c>
      <c r="H564" s="33">
        <v>1</v>
      </c>
      <c r="I564" t="s">
        <v>57</v>
      </c>
      <c r="J564" t="s">
        <v>77</v>
      </c>
      <c r="K564">
        <v>2</v>
      </c>
      <c r="L564" s="63">
        <v>1.3698630136986301E-2</v>
      </c>
      <c r="M564">
        <v>5</v>
      </c>
    </row>
    <row r="565" spans="2:13" x14ac:dyDescent="0.25">
      <c r="B565" s="33">
        <v>1</v>
      </c>
      <c r="C565" t="s">
        <v>0</v>
      </c>
      <c r="D565" t="s">
        <v>61</v>
      </c>
      <c r="E565">
        <v>6</v>
      </c>
      <c r="F565" s="2">
        <v>5.4794520547945197E-3</v>
      </c>
      <c r="H565" s="33">
        <v>1</v>
      </c>
      <c r="I565" t="s">
        <v>0</v>
      </c>
      <c r="J565" t="s">
        <v>61</v>
      </c>
      <c r="K565">
        <v>6</v>
      </c>
      <c r="L565" s="63">
        <v>2.7397260273972601E-2</v>
      </c>
      <c r="M565">
        <v>13</v>
      </c>
    </row>
    <row r="566" spans="2:13" x14ac:dyDescent="0.25">
      <c r="B566" s="33">
        <v>1</v>
      </c>
      <c r="C566" t="s">
        <v>2</v>
      </c>
      <c r="D566" t="s">
        <v>36</v>
      </c>
      <c r="E566">
        <v>6</v>
      </c>
      <c r="F566" s="2">
        <v>8.21917808219178E-3</v>
      </c>
      <c r="H566" s="33">
        <v>1</v>
      </c>
      <c r="I566" t="s">
        <v>2</v>
      </c>
      <c r="J566" t="s">
        <v>36</v>
      </c>
      <c r="K566">
        <v>6</v>
      </c>
      <c r="L566" s="63">
        <v>2.7397260273972601E-2</v>
      </c>
      <c r="M566">
        <v>14</v>
      </c>
    </row>
    <row r="567" spans="2:13" x14ac:dyDescent="0.25">
      <c r="B567" s="33">
        <v>1</v>
      </c>
      <c r="C567" t="s">
        <v>59</v>
      </c>
      <c r="D567" t="s">
        <v>68</v>
      </c>
      <c r="E567">
        <v>6</v>
      </c>
      <c r="F567" s="2">
        <v>1.6438356164383602E-2</v>
      </c>
      <c r="H567" s="33">
        <v>1</v>
      </c>
      <c r="I567" t="s">
        <v>59</v>
      </c>
      <c r="J567" t="s">
        <v>68</v>
      </c>
      <c r="K567">
        <v>6</v>
      </c>
      <c r="L567" s="63">
        <v>1.9178082191780823E-2</v>
      </c>
      <c r="M567">
        <v>8</v>
      </c>
    </row>
    <row r="568" spans="2:13" x14ac:dyDescent="0.25">
      <c r="B568" s="33">
        <v>1</v>
      </c>
      <c r="C568" t="s">
        <v>276</v>
      </c>
      <c r="D568" t="s">
        <v>290</v>
      </c>
      <c r="E568">
        <v>9</v>
      </c>
      <c r="F568" s="2">
        <v>6.5753424657534199E-2</v>
      </c>
      <c r="H568" s="33">
        <v>1</v>
      </c>
      <c r="I568" t="s">
        <v>276</v>
      </c>
      <c r="J568" t="s">
        <v>290</v>
      </c>
      <c r="K568">
        <v>9</v>
      </c>
      <c r="L568" s="63">
        <v>6.3013698630136991E-2</v>
      </c>
      <c r="M568">
        <v>24</v>
      </c>
    </row>
    <row r="569" spans="2:13" x14ac:dyDescent="0.25">
      <c r="B569" s="33">
        <v>1</v>
      </c>
      <c r="C569" t="s">
        <v>57</v>
      </c>
      <c r="D569" t="s">
        <v>58</v>
      </c>
      <c r="E569">
        <v>11</v>
      </c>
      <c r="F569" s="2">
        <v>0.106849315068493</v>
      </c>
      <c r="H569" s="33">
        <v>1</v>
      </c>
      <c r="I569" t="s">
        <v>57</v>
      </c>
      <c r="J569" t="s">
        <v>58</v>
      </c>
      <c r="K569">
        <v>11</v>
      </c>
      <c r="L569" s="63">
        <v>0.27123287671232876</v>
      </c>
      <c r="M569">
        <v>115</v>
      </c>
    </row>
    <row r="570" spans="2:13" x14ac:dyDescent="0.25">
      <c r="B570" s="33">
        <v>1</v>
      </c>
      <c r="C570" t="s">
        <v>231</v>
      </c>
      <c r="D570" t="s">
        <v>188</v>
      </c>
      <c r="E570">
        <v>12</v>
      </c>
      <c r="F570" s="2">
        <v>3.0136986301369899E-2</v>
      </c>
      <c r="H570" s="33">
        <v>1</v>
      </c>
      <c r="I570" t="s">
        <v>231</v>
      </c>
      <c r="J570" t="s">
        <v>188</v>
      </c>
      <c r="K570">
        <v>12</v>
      </c>
      <c r="L570" s="63">
        <v>6.0273972602739728E-2</v>
      </c>
      <c r="M570">
        <v>23</v>
      </c>
    </row>
    <row r="571" spans="2:13" x14ac:dyDescent="0.25">
      <c r="B571" s="33">
        <v>1</v>
      </c>
      <c r="C571" t="s">
        <v>2</v>
      </c>
      <c r="D571" t="s">
        <v>37</v>
      </c>
      <c r="E571">
        <v>14</v>
      </c>
      <c r="F571" s="2">
        <v>2.7397260273972601E-2</v>
      </c>
      <c r="H571" s="33">
        <v>1</v>
      </c>
      <c r="I571" t="s">
        <v>2</v>
      </c>
      <c r="J571" t="s">
        <v>37</v>
      </c>
      <c r="K571">
        <v>14</v>
      </c>
      <c r="L571" s="63">
        <v>3.287671232876712E-2</v>
      </c>
      <c r="M571">
        <v>16</v>
      </c>
    </row>
    <row r="572" spans="2:13" x14ac:dyDescent="0.25">
      <c r="B572" s="33">
        <v>1</v>
      </c>
      <c r="C572" t="s">
        <v>0</v>
      </c>
      <c r="D572" t="s">
        <v>61</v>
      </c>
      <c r="E572">
        <v>14</v>
      </c>
      <c r="F572" s="2">
        <v>9.0410958904109606E-2</v>
      </c>
      <c r="H572" s="33">
        <v>1</v>
      </c>
      <c r="I572" t="s">
        <v>0</v>
      </c>
      <c r="J572" t="s">
        <v>61</v>
      </c>
      <c r="K572">
        <v>14</v>
      </c>
      <c r="L572" s="63">
        <v>0.15068493150684931</v>
      </c>
      <c r="M572">
        <v>65</v>
      </c>
    </row>
    <row r="573" spans="2:13" x14ac:dyDescent="0.25">
      <c r="B573" s="33">
        <v>1</v>
      </c>
      <c r="C573" t="s">
        <v>231</v>
      </c>
      <c r="D573" t="s">
        <v>183</v>
      </c>
      <c r="E573">
        <v>14</v>
      </c>
      <c r="F573" s="2">
        <v>0.13698630136986301</v>
      </c>
      <c r="H573" s="33">
        <v>1</v>
      </c>
      <c r="I573" t="s">
        <v>231</v>
      </c>
      <c r="J573" t="s">
        <v>183</v>
      </c>
      <c r="K573">
        <v>14</v>
      </c>
      <c r="L573" s="63">
        <v>0.21917808219178081</v>
      </c>
      <c r="M573">
        <v>100</v>
      </c>
    </row>
    <row r="574" spans="2:13" x14ac:dyDescent="0.25">
      <c r="B574" s="33">
        <v>1</v>
      </c>
      <c r="C574" t="s">
        <v>231</v>
      </c>
      <c r="D574" t="s">
        <v>188</v>
      </c>
      <c r="E574">
        <v>16</v>
      </c>
      <c r="F574" s="2">
        <v>6.02739726027397E-2</v>
      </c>
      <c r="H574" s="33">
        <v>1</v>
      </c>
      <c r="I574" t="s">
        <v>231</v>
      </c>
      <c r="J574" t="s">
        <v>188</v>
      </c>
      <c r="K574">
        <v>16</v>
      </c>
      <c r="L574" s="63">
        <v>8.7671232876712329E-2</v>
      </c>
      <c r="M574">
        <v>38</v>
      </c>
    </row>
    <row r="575" spans="2:13" x14ac:dyDescent="0.25">
      <c r="B575" s="33">
        <v>1</v>
      </c>
      <c r="C575" t="s">
        <v>57</v>
      </c>
      <c r="D575" t="s">
        <v>75</v>
      </c>
      <c r="E575">
        <v>16</v>
      </c>
      <c r="F575" s="2">
        <v>3.0136986301369899E-2</v>
      </c>
      <c r="H575" s="33">
        <v>1</v>
      </c>
      <c r="I575" t="s">
        <v>57</v>
      </c>
      <c r="J575" t="s">
        <v>75</v>
      </c>
      <c r="K575">
        <v>16</v>
      </c>
      <c r="L575" s="63">
        <v>0.10684931506849316</v>
      </c>
      <c r="M575">
        <v>46</v>
      </c>
    </row>
    <row r="576" spans="2:13" x14ac:dyDescent="0.25">
      <c r="B576" s="33">
        <v>1</v>
      </c>
      <c r="C576" t="s">
        <v>57</v>
      </c>
      <c r="D576" t="s">
        <v>74</v>
      </c>
      <c r="E576">
        <v>20</v>
      </c>
      <c r="F576" s="2">
        <v>2.46575342465753E-2</v>
      </c>
      <c r="H576" s="33">
        <v>1</v>
      </c>
      <c r="I576" t="s">
        <v>57</v>
      </c>
      <c r="J576" t="s">
        <v>74</v>
      </c>
      <c r="K576">
        <v>20</v>
      </c>
      <c r="L576" s="63">
        <v>5.4794520547945202E-2</v>
      </c>
      <c r="M576">
        <v>22</v>
      </c>
    </row>
    <row r="577" spans="2:13" x14ac:dyDescent="0.25">
      <c r="B577" s="33">
        <v>1</v>
      </c>
      <c r="C577" t="s">
        <v>57</v>
      </c>
      <c r="D577" t="s">
        <v>69</v>
      </c>
      <c r="E577">
        <v>20</v>
      </c>
      <c r="F577" s="2">
        <v>4.3835616438356199E-2</v>
      </c>
      <c r="H577" s="33">
        <v>1</v>
      </c>
      <c r="I577" t="s">
        <v>57</v>
      </c>
      <c r="J577" t="s">
        <v>69</v>
      </c>
      <c r="K577">
        <v>20</v>
      </c>
      <c r="L577" s="63">
        <v>7.1232876712328766E-2</v>
      </c>
      <c r="M577">
        <v>27</v>
      </c>
    </row>
    <row r="578" spans="2:13" x14ac:dyDescent="0.25">
      <c r="B578" s="33">
        <v>1</v>
      </c>
      <c r="C578" t="s">
        <v>2</v>
      </c>
      <c r="D578" t="s">
        <v>316</v>
      </c>
      <c r="E578">
        <v>20</v>
      </c>
      <c r="F578" s="2">
        <v>0.123287671232877</v>
      </c>
      <c r="H578" s="33">
        <v>1</v>
      </c>
      <c r="I578" t="s">
        <v>2</v>
      </c>
      <c r="J578" t="s">
        <v>316</v>
      </c>
      <c r="K578">
        <v>20</v>
      </c>
      <c r="L578" s="63">
        <v>9.8630136986301367E-2</v>
      </c>
      <c r="M578">
        <v>45</v>
      </c>
    </row>
    <row r="579" spans="2:13" x14ac:dyDescent="0.25">
      <c r="B579" s="33">
        <v>1</v>
      </c>
      <c r="C579" t="s">
        <v>0</v>
      </c>
      <c r="D579" t="s">
        <v>61</v>
      </c>
      <c r="E579">
        <v>21</v>
      </c>
      <c r="F579" s="2">
        <v>3.5616438356164397E-2</v>
      </c>
      <c r="H579" s="33">
        <v>1</v>
      </c>
      <c r="I579" t="s">
        <v>0</v>
      </c>
      <c r="J579" t="s">
        <v>61</v>
      </c>
      <c r="K579">
        <v>21</v>
      </c>
      <c r="L579" s="63">
        <v>8.4931506849315067E-2</v>
      </c>
      <c r="M579">
        <v>33</v>
      </c>
    </row>
    <row r="580" spans="2:13" x14ac:dyDescent="0.25">
      <c r="B580" s="33">
        <v>1</v>
      </c>
      <c r="C580" t="s">
        <v>231</v>
      </c>
      <c r="D580" t="s">
        <v>183</v>
      </c>
      <c r="E580">
        <v>21</v>
      </c>
      <c r="F580" s="2">
        <v>0.10958904109589</v>
      </c>
      <c r="H580" s="33">
        <v>1</v>
      </c>
      <c r="I580" t="s">
        <v>231</v>
      </c>
      <c r="J580" t="s">
        <v>183</v>
      </c>
      <c r="K580">
        <v>21</v>
      </c>
      <c r="L580" s="63">
        <v>0.12328767123287671</v>
      </c>
      <c r="M580">
        <v>54</v>
      </c>
    </row>
    <row r="581" spans="2:13" x14ac:dyDescent="0.25">
      <c r="B581" s="33">
        <v>1</v>
      </c>
      <c r="C581" t="s">
        <v>57</v>
      </c>
      <c r="D581" t="s">
        <v>74</v>
      </c>
      <c r="E581">
        <v>22</v>
      </c>
      <c r="F581" s="2">
        <v>2.19178082191781E-2</v>
      </c>
      <c r="H581" s="33">
        <v>1</v>
      </c>
      <c r="I581" t="s">
        <v>57</v>
      </c>
      <c r="J581" t="s">
        <v>74</v>
      </c>
      <c r="K581">
        <v>22</v>
      </c>
      <c r="L581" s="63">
        <v>4.6575342465753428E-2</v>
      </c>
      <c r="M581">
        <v>22</v>
      </c>
    </row>
    <row r="582" spans="2:13" x14ac:dyDescent="0.25">
      <c r="B582" s="33">
        <v>1</v>
      </c>
      <c r="C582" t="s">
        <v>57</v>
      </c>
      <c r="D582" t="s">
        <v>58</v>
      </c>
      <c r="E582">
        <v>0</v>
      </c>
      <c r="F582" s="2">
        <v>3.8356164383561597E-2</v>
      </c>
      <c r="H582" s="33">
        <v>1</v>
      </c>
      <c r="I582" t="s">
        <v>57</v>
      </c>
      <c r="J582" t="s">
        <v>58</v>
      </c>
      <c r="K582">
        <v>0</v>
      </c>
      <c r="L582" s="63">
        <v>7.9452054794520555E-2</v>
      </c>
      <c r="M582">
        <v>32</v>
      </c>
    </row>
    <row r="583" spans="2:13" x14ac:dyDescent="0.25">
      <c r="B583" s="33">
        <v>1</v>
      </c>
      <c r="C583" t="s">
        <v>59</v>
      </c>
      <c r="D583" t="s">
        <v>68</v>
      </c>
      <c r="E583">
        <v>1</v>
      </c>
      <c r="F583" s="2">
        <v>1.0958904109589E-2</v>
      </c>
      <c r="H583" s="33">
        <v>1</v>
      </c>
      <c r="I583" t="s">
        <v>59</v>
      </c>
      <c r="J583" t="s">
        <v>68</v>
      </c>
      <c r="K583">
        <v>1</v>
      </c>
      <c r="L583" s="63">
        <v>1.0958904109589041E-2</v>
      </c>
      <c r="M583">
        <v>4</v>
      </c>
    </row>
    <row r="584" spans="2:13" x14ac:dyDescent="0.25">
      <c r="B584" s="33">
        <v>1</v>
      </c>
      <c r="C584" t="s">
        <v>57</v>
      </c>
      <c r="D584" t="s">
        <v>75</v>
      </c>
      <c r="E584">
        <v>1</v>
      </c>
      <c r="F584" s="2">
        <v>1.3698630136986301E-2</v>
      </c>
      <c r="H584" s="33">
        <v>1</v>
      </c>
      <c r="I584" t="s">
        <v>57</v>
      </c>
      <c r="J584" t="s">
        <v>75</v>
      </c>
      <c r="K584">
        <v>1</v>
      </c>
      <c r="L584" s="63">
        <v>1.9178082191780823E-2</v>
      </c>
      <c r="M584">
        <v>7</v>
      </c>
    </row>
    <row r="585" spans="2:13" x14ac:dyDescent="0.25">
      <c r="B585" s="33">
        <v>1</v>
      </c>
      <c r="C585" t="s">
        <v>57</v>
      </c>
      <c r="D585" t="s">
        <v>69</v>
      </c>
      <c r="E585">
        <v>1</v>
      </c>
      <c r="F585" s="2">
        <v>8.21917808219178E-3</v>
      </c>
      <c r="H585" s="33">
        <v>1</v>
      </c>
      <c r="I585" t="s">
        <v>57</v>
      </c>
      <c r="J585" t="s">
        <v>69</v>
      </c>
      <c r="K585">
        <v>1</v>
      </c>
      <c r="L585" s="63">
        <v>3.5616438356164383E-2</v>
      </c>
      <c r="M585">
        <v>13</v>
      </c>
    </row>
    <row r="586" spans="2:13" x14ac:dyDescent="0.25">
      <c r="B586" s="33">
        <v>1</v>
      </c>
      <c r="C586" t="s">
        <v>231</v>
      </c>
      <c r="D586" t="s">
        <v>189</v>
      </c>
      <c r="E586">
        <v>8</v>
      </c>
      <c r="F586" s="2">
        <v>4.65753424657534E-2</v>
      </c>
      <c r="H586" s="33">
        <v>1</v>
      </c>
      <c r="I586" t="s">
        <v>231</v>
      </c>
      <c r="J586" t="s">
        <v>189</v>
      </c>
      <c r="K586">
        <v>8</v>
      </c>
      <c r="L586" s="63">
        <v>9.5890410958904104E-2</v>
      </c>
      <c r="M586">
        <v>37</v>
      </c>
    </row>
    <row r="587" spans="2:13" x14ac:dyDescent="0.25">
      <c r="B587" s="33">
        <v>1</v>
      </c>
      <c r="C587" t="s">
        <v>57</v>
      </c>
      <c r="D587" t="s">
        <v>69</v>
      </c>
      <c r="E587">
        <v>9</v>
      </c>
      <c r="F587" s="2">
        <v>4.1095890410958902E-2</v>
      </c>
      <c r="H587" s="33">
        <v>1</v>
      </c>
      <c r="I587" t="s">
        <v>57</v>
      </c>
      <c r="J587" t="s">
        <v>69</v>
      </c>
      <c r="K587">
        <v>9</v>
      </c>
      <c r="L587" s="63">
        <v>6.3013698630136991E-2</v>
      </c>
      <c r="M587">
        <v>24</v>
      </c>
    </row>
    <row r="588" spans="2:13" x14ac:dyDescent="0.25">
      <c r="B588" s="33">
        <v>1</v>
      </c>
      <c r="C588" t="s">
        <v>59</v>
      </c>
      <c r="D588" t="s">
        <v>76</v>
      </c>
      <c r="E588">
        <v>9</v>
      </c>
      <c r="F588" s="2">
        <v>4.9315068493150697E-2</v>
      </c>
      <c r="H588" s="33">
        <v>1</v>
      </c>
      <c r="I588" t="s">
        <v>59</v>
      </c>
      <c r="J588" t="s">
        <v>76</v>
      </c>
      <c r="K588">
        <v>9</v>
      </c>
      <c r="L588" s="63">
        <v>0.1095890410958904</v>
      </c>
      <c r="M588">
        <v>46</v>
      </c>
    </row>
    <row r="589" spans="2:13" x14ac:dyDescent="0.25">
      <c r="B589" s="33">
        <v>1</v>
      </c>
      <c r="C589" t="s">
        <v>276</v>
      </c>
      <c r="D589" t="s">
        <v>288</v>
      </c>
      <c r="E589">
        <v>9</v>
      </c>
      <c r="F589" s="2">
        <v>7.9452054794520596E-2</v>
      </c>
      <c r="H589" s="33">
        <v>1</v>
      </c>
      <c r="I589" t="s">
        <v>276</v>
      </c>
      <c r="J589" t="s">
        <v>288</v>
      </c>
      <c r="K589">
        <v>9</v>
      </c>
      <c r="L589" s="63">
        <v>7.6712328767123292E-2</v>
      </c>
      <c r="M589">
        <v>29</v>
      </c>
    </row>
    <row r="590" spans="2:13" x14ac:dyDescent="0.25">
      <c r="B590" s="33">
        <v>1</v>
      </c>
      <c r="C590" t="s">
        <v>292</v>
      </c>
      <c r="D590" t="s">
        <v>297</v>
      </c>
      <c r="E590">
        <v>10</v>
      </c>
      <c r="F590" s="2">
        <v>1.6438356164383602E-2</v>
      </c>
      <c r="H590" s="33">
        <v>1</v>
      </c>
      <c r="I590" t="s">
        <v>292</v>
      </c>
      <c r="J590" t="s">
        <v>297</v>
      </c>
      <c r="K590">
        <v>10</v>
      </c>
      <c r="L590" s="63">
        <v>1.643835616438356E-2</v>
      </c>
      <c r="M590">
        <v>6</v>
      </c>
    </row>
    <row r="591" spans="2:13" x14ac:dyDescent="0.25">
      <c r="B591" s="33">
        <v>1</v>
      </c>
      <c r="C591" t="s">
        <v>307</v>
      </c>
      <c r="D591" t="s">
        <v>394</v>
      </c>
      <c r="E591">
        <v>11</v>
      </c>
      <c r="F591" s="2">
        <v>5.2054794520547898E-2</v>
      </c>
      <c r="H591" s="33">
        <v>1</v>
      </c>
      <c r="I591" t="s">
        <v>307</v>
      </c>
      <c r="J591" t="s">
        <v>314</v>
      </c>
      <c r="K591">
        <v>11</v>
      </c>
      <c r="L591" s="63">
        <v>4.9315068493150684E-2</v>
      </c>
      <c r="M591">
        <v>19</v>
      </c>
    </row>
    <row r="592" spans="2:13" x14ac:dyDescent="0.25">
      <c r="B592" s="33">
        <v>1</v>
      </c>
      <c r="C592" t="s">
        <v>2</v>
      </c>
      <c r="D592" t="s">
        <v>28</v>
      </c>
      <c r="E592">
        <v>11</v>
      </c>
      <c r="F592" s="2">
        <v>6.8493150684931503E-2</v>
      </c>
      <c r="H592" s="33">
        <v>1</v>
      </c>
      <c r="I592" t="s">
        <v>2</v>
      </c>
      <c r="J592" t="s">
        <v>28</v>
      </c>
      <c r="K592">
        <v>11</v>
      </c>
      <c r="L592" s="63">
        <v>7.3972602739726029E-2</v>
      </c>
      <c r="M592">
        <v>30</v>
      </c>
    </row>
    <row r="593" spans="2:13" x14ac:dyDescent="0.25">
      <c r="B593" s="33">
        <v>1</v>
      </c>
      <c r="C593" t="s">
        <v>307</v>
      </c>
      <c r="D593" t="s">
        <v>312</v>
      </c>
      <c r="E593">
        <v>11</v>
      </c>
      <c r="F593" s="2">
        <v>0.120547945205479</v>
      </c>
      <c r="H593" s="33">
        <v>1</v>
      </c>
      <c r="I593" t="s">
        <v>307</v>
      </c>
      <c r="J593" t="s">
        <v>312</v>
      </c>
      <c r="K593">
        <v>11</v>
      </c>
      <c r="L593" s="63">
        <v>0.11232876712328767</v>
      </c>
      <c r="M593">
        <v>44</v>
      </c>
    </row>
    <row r="594" spans="2:13" x14ac:dyDescent="0.25">
      <c r="B594" s="33">
        <v>1</v>
      </c>
      <c r="C594" t="s">
        <v>0</v>
      </c>
      <c r="D594" t="s">
        <v>64</v>
      </c>
      <c r="E594">
        <v>15</v>
      </c>
      <c r="F594" s="2">
        <v>6.8493150684931503E-2</v>
      </c>
      <c r="H594" s="33">
        <v>1</v>
      </c>
      <c r="I594" t="s">
        <v>0</v>
      </c>
      <c r="J594" t="s">
        <v>64</v>
      </c>
      <c r="K594">
        <v>15</v>
      </c>
      <c r="L594" s="63">
        <v>0.11232876712328767</v>
      </c>
      <c r="M594">
        <v>48</v>
      </c>
    </row>
    <row r="595" spans="2:13" x14ac:dyDescent="0.25">
      <c r="B595" s="33">
        <v>1</v>
      </c>
      <c r="C595" t="s">
        <v>292</v>
      </c>
      <c r="D595" t="s">
        <v>321</v>
      </c>
      <c r="E595">
        <v>16</v>
      </c>
      <c r="F595" s="2">
        <v>9.3150684931506897E-2</v>
      </c>
      <c r="H595" s="33">
        <v>1</v>
      </c>
      <c r="I595" t="s">
        <v>292</v>
      </c>
      <c r="J595" t="s">
        <v>321</v>
      </c>
      <c r="K595">
        <v>16</v>
      </c>
      <c r="L595" s="63">
        <v>7.9452054794520555E-2</v>
      </c>
      <c r="M595">
        <v>34</v>
      </c>
    </row>
    <row r="596" spans="2:13" x14ac:dyDescent="0.25">
      <c r="B596" s="33">
        <v>1</v>
      </c>
      <c r="C596" t="s">
        <v>231</v>
      </c>
      <c r="D596" t="s">
        <v>190</v>
      </c>
      <c r="E596">
        <v>16</v>
      </c>
      <c r="F596" s="2">
        <v>3.0136986301369899E-2</v>
      </c>
      <c r="H596" s="33">
        <v>1</v>
      </c>
      <c r="I596" t="s">
        <v>231</v>
      </c>
      <c r="J596" t="s">
        <v>190</v>
      </c>
      <c r="K596">
        <v>16</v>
      </c>
      <c r="L596" s="63">
        <v>3.5616438356164383E-2</v>
      </c>
      <c r="M596">
        <v>13</v>
      </c>
    </row>
    <row r="597" spans="2:13" x14ac:dyDescent="0.25">
      <c r="B597" s="33">
        <v>1</v>
      </c>
      <c r="C597" t="s">
        <v>2</v>
      </c>
      <c r="D597" t="s">
        <v>38</v>
      </c>
      <c r="E597">
        <v>17</v>
      </c>
      <c r="F597" s="2">
        <v>8.21917808219178E-3</v>
      </c>
      <c r="H597" s="33">
        <v>1</v>
      </c>
      <c r="I597" t="s">
        <v>2</v>
      </c>
      <c r="J597" t="s">
        <v>38</v>
      </c>
      <c r="K597">
        <v>17</v>
      </c>
      <c r="L597" s="63">
        <v>1.3698630136986301E-2</v>
      </c>
      <c r="M597">
        <v>6</v>
      </c>
    </row>
    <row r="598" spans="2:13" x14ac:dyDescent="0.25">
      <c r="B598" s="33">
        <v>1</v>
      </c>
      <c r="C598" t="s">
        <v>57</v>
      </c>
      <c r="D598" t="s">
        <v>69</v>
      </c>
      <c r="E598">
        <v>17</v>
      </c>
      <c r="F598" s="2">
        <v>7.3972602739726001E-2</v>
      </c>
      <c r="H598" s="33">
        <v>1</v>
      </c>
      <c r="I598" t="s">
        <v>57</v>
      </c>
      <c r="J598" t="s">
        <v>69</v>
      </c>
      <c r="K598">
        <v>17</v>
      </c>
      <c r="L598" s="63">
        <v>0.10136986301369863</v>
      </c>
      <c r="M598">
        <v>42</v>
      </c>
    </row>
    <row r="599" spans="2:13" x14ac:dyDescent="0.25">
      <c r="B599" s="33">
        <v>1</v>
      </c>
      <c r="C599" t="s">
        <v>307</v>
      </c>
      <c r="D599" t="s">
        <v>393</v>
      </c>
      <c r="E599">
        <v>18</v>
      </c>
      <c r="F599" s="2">
        <v>0.120547945205479</v>
      </c>
      <c r="H599" s="33">
        <v>1</v>
      </c>
      <c r="I599" t="s">
        <v>307</v>
      </c>
      <c r="J599" t="s">
        <v>393</v>
      </c>
      <c r="K599">
        <v>18</v>
      </c>
      <c r="L599" s="63">
        <v>0.10684931506849316</v>
      </c>
      <c r="M599">
        <v>44</v>
      </c>
    </row>
    <row r="600" spans="2:13" x14ac:dyDescent="0.25">
      <c r="B600" s="33">
        <v>1</v>
      </c>
      <c r="C600" t="s">
        <v>231</v>
      </c>
      <c r="D600" t="s">
        <v>186</v>
      </c>
      <c r="E600">
        <v>19</v>
      </c>
      <c r="F600" s="2">
        <v>3.2876712328767099E-2</v>
      </c>
      <c r="H600" s="33">
        <v>1</v>
      </c>
      <c r="I600" t="s">
        <v>231</v>
      </c>
      <c r="J600" t="s">
        <v>186</v>
      </c>
      <c r="K600">
        <v>19</v>
      </c>
      <c r="L600" s="63">
        <v>9.0410958904109592E-2</v>
      </c>
      <c r="M600">
        <v>35</v>
      </c>
    </row>
    <row r="601" spans="2:13" x14ac:dyDescent="0.25">
      <c r="B601" s="33">
        <v>1</v>
      </c>
      <c r="C601" t="s">
        <v>2</v>
      </c>
      <c r="D601" t="s">
        <v>19</v>
      </c>
      <c r="E601">
        <v>20</v>
      </c>
      <c r="F601" s="2">
        <v>5.4794520547945202E-2</v>
      </c>
      <c r="H601" s="33">
        <v>1</v>
      </c>
      <c r="I601" t="s">
        <v>2</v>
      </c>
      <c r="J601" t="s">
        <v>19</v>
      </c>
      <c r="K601">
        <v>20</v>
      </c>
      <c r="L601" s="63">
        <v>0.10410958904109589</v>
      </c>
      <c r="M601">
        <v>49</v>
      </c>
    </row>
    <row r="602" spans="2:13" x14ac:dyDescent="0.25">
      <c r="B602" s="33">
        <v>1</v>
      </c>
      <c r="C602" t="s">
        <v>2</v>
      </c>
      <c r="D602" t="s">
        <v>17</v>
      </c>
      <c r="E602">
        <v>20</v>
      </c>
      <c r="F602" s="2">
        <v>9.8630136986301395E-2</v>
      </c>
      <c r="H602" s="33">
        <v>1</v>
      </c>
      <c r="I602" t="s">
        <v>2</v>
      </c>
      <c r="J602" t="s">
        <v>17</v>
      </c>
      <c r="K602">
        <v>20</v>
      </c>
      <c r="L602" s="63">
        <v>0.12328767123287671</v>
      </c>
      <c r="M602">
        <v>56</v>
      </c>
    </row>
    <row r="603" spans="2:13" x14ac:dyDescent="0.25">
      <c r="B603" s="33">
        <v>1</v>
      </c>
      <c r="C603" t="s">
        <v>0</v>
      </c>
      <c r="D603" t="s">
        <v>72</v>
      </c>
      <c r="E603">
        <v>21</v>
      </c>
      <c r="F603" s="2">
        <v>1.0958904109589E-2</v>
      </c>
      <c r="H603" s="33">
        <v>1</v>
      </c>
      <c r="I603" t="s">
        <v>0</v>
      </c>
      <c r="J603" t="s">
        <v>72</v>
      </c>
      <c r="K603">
        <v>21</v>
      </c>
      <c r="L603" s="63">
        <v>6.3013698630136991E-2</v>
      </c>
      <c r="M603">
        <v>24</v>
      </c>
    </row>
    <row r="604" spans="2:13" x14ac:dyDescent="0.25">
      <c r="B604" s="33">
        <v>1</v>
      </c>
      <c r="C604" t="s">
        <v>0</v>
      </c>
      <c r="D604" t="s">
        <v>62</v>
      </c>
      <c r="E604">
        <v>23</v>
      </c>
      <c r="F604" s="2">
        <v>4.65753424657534E-2</v>
      </c>
      <c r="H604" s="33">
        <v>1</v>
      </c>
      <c r="I604" t="s">
        <v>0</v>
      </c>
      <c r="J604" t="s">
        <v>62</v>
      </c>
      <c r="K604">
        <v>23</v>
      </c>
      <c r="L604" s="63">
        <v>6.0273972602739728E-2</v>
      </c>
      <c r="M604">
        <v>24</v>
      </c>
    </row>
    <row r="605" spans="2:13" x14ac:dyDescent="0.25">
      <c r="B605" s="33">
        <v>1</v>
      </c>
      <c r="C605" t="s">
        <v>2</v>
      </c>
      <c r="D605" t="s">
        <v>26</v>
      </c>
      <c r="E605">
        <v>23</v>
      </c>
      <c r="F605" s="2">
        <v>3.8356164383561597E-2</v>
      </c>
      <c r="H605" s="33">
        <v>1</v>
      </c>
      <c r="I605" t="s">
        <v>2</v>
      </c>
      <c r="J605" t="s">
        <v>26</v>
      </c>
      <c r="K605">
        <v>23</v>
      </c>
      <c r="L605" s="63">
        <v>5.2054794520547946E-2</v>
      </c>
      <c r="M605">
        <v>22</v>
      </c>
    </row>
    <row r="606" spans="2:13" x14ac:dyDescent="0.25">
      <c r="B606" s="33">
        <v>1</v>
      </c>
      <c r="C606" t="s">
        <v>0</v>
      </c>
      <c r="D606" t="s">
        <v>72</v>
      </c>
      <c r="E606">
        <v>0</v>
      </c>
      <c r="F606" s="2">
        <v>1.6438356164383602E-2</v>
      </c>
      <c r="H606" s="33">
        <v>1</v>
      </c>
      <c r="I606" t="s">
        <v>0</v>
      </c>
      <c r="J606" t="s">
        <v>72</v>
      </c>
      <c r="K606">
        <v>0</v>
      </c>
      <c r="L606" s="63">
        <v>6.8493150684931503E-2</v>
      </c>
      <c r="M606">
        <v>26</v>
      </c>
    </row>
    <row r="607" spans="2:13" x14ac:dyDescent="0.25">
      <c r="B607" s="33">
        <v>1</v>
      </c>
      <c r="C607" t="s">
        <v>0</v>
      </c>
      <c r="D607" t="s">
        <v>72</v>
      </c>
      <c r="E607">
        <v>1</v>
      </c>
      <c r="F607" s="2">
        <v>1.0958904109589E-2</v>
      </c>
      <c r="H607" s="33">
        <v>1</v>
      </c>
      <c r="I607" t="s">
        <v>0</v>
      </c>
      <c r="J607" t="s">
        <v>72</v>
      </c>
      <c r="K607">
        <v>1</v>
      </c>
      <c r="L607" s="63">
        <v>1.3698630136986301E-2</v>
      </c>
      <c r="M607">
        <v>5</v>
      </c>
    </row>
    <row r="608" spans="2:13" x14ac:dyDescent="0.25">
      <c r="B608" s="33">
        <v>1</v>
      </c>
      <c r="C608" t="s">
        <v>0</v>
      </c>
      <c r="D608" t="s">
        <v>72</v>
      </c>
      <c r="E608">
        <v>2</v>
      </c>
      <c r="F608" s="2">
        <v>1.0958904109589E-2</v>
      </c>
      <c r="H608" s="33">
        <v>1</v>
      </c>
      <c r="I608" t="s">
        <v>0</v>
      </c>
      <c r="J608" t="s">
        <v>72</v>
      </c>
      <c r="K608">
        <v>2</v>
      </c>
      <c r="L608" s="63">
        <v>1.643835616438356E-2</v>
      </c>
      <c r="M608">
        <v>6</v>
      </c>
    </row>
    <row r="609" spans="2:13" x14ac:dyDescent="0.25">
      <c r="B609" s="33">
        <v>1</v>
      </c>
      <c r="C609" t="s">
        <v>0</v>
      </c>
      <c r="D609" t="s">
        <v>78</v>
      </c>
      <c r="E609">
        <v>2</v>
      </c>
      <c r="F609" s="2">
        <v>5.4794520547945197E-3</v>
      </c>
      <c r="H609" s="33">
        <v>1</v>
      </c>
      <c r="I609" t="s">
        <v>0</v>
      </c>
      <c r="J609" t="s">
        <v>78</v>
      </c>
      <c r="K609">
        <v>2</v>
      </c>
      <c r="L609" s="63">
        <v>5.4794520547945206E-3</v>
      </c>
      <c r="M609">
        <v>2</v>
      </c>
    </row>
    <row r="610" spans="2:13" x14ac:dyDescent="0.25">
      <c r="B610" s="33">
        <v>1</v>
      </c>
      <c r="C610" t="s">
        <v>0</v>
      </c>
      <c r="D610" t="s">
        <v>71</v>
      </c>
      <c r="E610">
        <v>3</v>
      </c>
      <c r="F610" s="2">
        <v>5.4794520547945197E-3</v>
      </c>
      <c r="H610" s="33">
        <v>1</v>
      </c>
      <c r="I610" t="s">
        <v>0</v>
      </c>
      <c r="J610" t="s">
        <v>71</v>
      </c>
      <c r="K610">
        <v>3</v>
      </c>
      <c r="L610" s="63">
        <v>1.643835616438356E-2</v>
      </c>
      <c r="M610">
        <v>7</v>
      </c>
    </row>
    <row r="611" spans="2:13" x14ac:dyDescent="0.25">
      <c r="B611" s="33">
        <v>1</v>
      </c>
      <c r="C611" t="s">
        <v>57</v>
      </c>
      <c r="D611" t="s">
        <v>74</v>
      </c>
      <c r="E611">
        <v>4</v>
      </c>
      <c r="F611" s="2">
        <v>8.21917808219178E-3</v>
      </c>
      <c r="H611" s="33">
        <v>1</v>
      </c>
      <c r="I611" t="s">
        <v>57</v>
      </c>
      <c r="J611" t="s">
        <v>74</v>
      </c>
      <c r="K611">
        <v>4</v>
      </c>
      <c r="L611" s="63">
        <v>2.4657534246575342E-2</v>
      </c>
      <c r="M611">
        <v>9</v>
      </c>
    </row>
    <row r="612" spans="2:13" x14ac:dyDescent="0.25">
      <c r="B612" s="33">
        <v>1</v>
      </c>
      <c r="C612" t="s">
        <v>292</v>
      </c>
      <c r="D612" t="s">
        <v>296</v>
      </c>
      <c r="E612">
        <v>8</v>
      </c>
      <c r="F612" s="2">
        <v>4.65753424657534E-2</v>
      </c>
      <c r="H612" s="33">
        <v>1</v>
      </c>
      <c r="I612" t="s">
        <v>292</v>
      </c>
      <c r="J612" t="s">
        <v>296</v>
      </c>
      <c r="K612">
        <v>8</v>
      </c>
      <c r="L612" s="63">
        <v>4.1095890410958902E-2</v>
      </c>
      <c r="M612">
        <v>17</v>
      </c>
    </row>
    <row r="613" spans="2:13" x14ac:dyDescent="0.25">
      <c r="B613" s="33">
        <v>1</v>
      </c>
      <c r="C613" t="s">
        <v>292</v>
      </c>
      <c r="D613" t="s">
        <v>296</v>
      </c>
      <c r="E613">
        <v>9</v>
      </c>
      <c r="F613" s="2">
        <v>3.8356164383561597E-2</v>
      </c>
      <c r="H613" s="33">
        <v>1</v>
      </c>
      <c r="I613" t="s">
        <v>292</v>
      </c>
      <c r="J613" t="s">
        <v>296</v>
      </c>
      <c r="K613">
        <v>9</v>
      </c>
      <c r="L613" s="63">
        <v>3.5616438356164383E-2</v>
      </c>
      <c r="M613">
        <v>14</v>
      </c>
    </row>
    <row r="614" spans="2:13" x14ac:dyDescent="0.25">
      <c r="B614" s="33">
        <v>1</v>
      </c>
      <c r="C614" t="s">
        <v>0</v>
      </c>
      <c r="D614" t="s">
        <v>78</v>
      </c>
      <c r="E614">
        <v>10</v>
      </c>
      <c r="F614" s="2">
        <v>8.21917808219178E-3</v>
      </c>
      <c r="H614" s="33">
        <v>1</v>
      </c>
      <c r="I614" t="s">
        <v>0</v>
      </c>
      <c r="J614" t="s">
        <v>78</v>
      </c>
      <c r="K614">
        <v>10</v>
      </c>
      <c r="L614" s="63">
        <v>1.643835616438356E-2</v>
      </c>
      <c r="M614">
        <v>6</v>
      </c>
    </row>
    <row r="615" spans="2:13" x14ac:dyDescent="0.25">
      <c r="B615" s="33">
        <v>1</v>
      </c>
      <c r="C615" t="s">
        <v>0</v>
      </c>
      <c r="D615" t="s">
        <v>65</v>
      </c>
      <c r="E615">
        <v>11</v>
      </c>
      <c r="F615" s="2">
        <v>6.3013698630137005E-2</v>
      </c>
      <c r="H615" s="33">
        <v>1</v>
      </c>
      <c r="I615" t="s">
        <v>0</v>
      </c>
      <c r="J615" t="s">
        <v>65</v>
      </c>
      <c r="K615">
        <v>11</v>
      </c>
      <c r="L615" s="63">
        <v>0.15342465753424658</v>
      </c>
      <c r="M615">
        <v>68</v>
      </c>
    </row>
    <row r="616" spans="2:13" x14ac:dyDescent="0.25">
      <c r="B616" s="33">
        <v>1</v>
      </c>
      <c r="C616" t="s">
        <v>57</v>
      </c>
      <c r="D616" t="s">
        <v>69</v>
      </c>
      <c r="E616">
        <v>11</v>
      </c>
      <c r="F616" s="2">
        <v>1.6438356164383602E-2</v>
      </c>
      <c r="H616" s="33">
        <v>1</v>
      </c>
      <c r="I616" t="s">
        <v>57</v>
      </c>
      <c r="J616" t="s">
        <v>69</v>
      </c>
      <c r="K616">
        <v>11</v>
      </c>
      <c r="L616" s="63">
        <v>0.11232876712328767</v>
      </c>
      <c r="M616">
        <v>47</v>
      </c>
    </row>
    <row r="617" spans="2:13" x14ac:dyDescent="0.25">
      <c r="B617" s="33">
        <v>1</v>
      </c>
      <c r="C617" t="s">
        <v>0</v>
      </c>
      <c r="D617" t="s">
        <v>62</v>
      </c>
      <c r="E617">
        <v>12</v>
      </c>
      <c r="F617" s="2">
        <v>9.3150684931506897E-2</v>
      </c>
      <c r="H617" s="33">
        <v>1</v>
      </c>
      <c r="I617" t="s">
        <v>0</v>
      </c>
      <c r="J617" t="s">
        <v>62</v>
      </c>
      <c r="K617">
        <v>12</v>
      </c>
      <c r="L617" s="63">
        <v>0.10684931506849316</v>
      </c>
      <c r="M617">
        <v>41</v>
      </c>
    </row>
    <row r="618" spans="2:13" x14ac:dyDescent="0.25">
      <c r="B618" s="33">
        <v>1</v>
      </c>
      <c r="C618" t="s">
        <v>231</v>
      </c>
      <c r="D618" t="s">
        <v>183</v>
      </c>
      <c r="E618">
        <v>13</v>
      </c>
      <c r="F618" s="2">
        <v>0.10958904109589</v>
      </c>
      <c r="H618" s="33">
        <v>1</v>
      </c>
      <c r="I618" t="s">
        <v>231</v>
      </c>
      <c r="J618" t="s">
        <v>183</v>
      </c>
      <c r="K618">
        <v>13</v>
      </c>
      <c r="L618" s="63">
        <v>0.13150684931506848</v>
      </c>
      <c r="M618">
        <v>55</v>
      </c>
    </row>
    <row r="619" spans="2:13" x14ac:dyDescent="0.25">
      <c r="B619" s="33">
        <v>1</v>
      </c>
      <c r="C619" t="s">
        <v>57</v>
      </c>
      <c r="D619" t="s">
        <v>75</v>
      </c>
      <c r="E619">
        <v>13</v>
      </c>
      <c r="F619" s="2">
        <v>2.7397260273972601E-2</v>
      </c>
      <c r="H619" s="33">
        <v>1</v>
      </c>
      <c r="I619" t="s">
        <v>57</v>
      </c>
      <c r="J619" t="s">
        <v>75</v>
      </c>
      <c r="K619">
        <v>13</v>
      </c>
      <c r="L619" s="63">
        <v>6.0273972602739728E-2</v>
      </c>
      <c r="M619">
        <v>25</v>
      </c>
    </row>
    <row r="620" spans="2:13" x14ac:dyDescent="0.25">
      <c r="B620" s="33">
        <v>1</v>
      </c>
      <c r="C620" t="s">
        <v>59</v>
      </c>
      <c r="D620" t="s">
        <v>76</v>
      </c>
      <c r="E620">
        <v>13</v>
      </c>
      <c r="F620" s="2">
        <v>6.02739726027397E-2</v>
      </c>
      <c r="H620" s="33">
        <v>1</v>
      </c>
      <c r="I620" t="s">
        <v>59</v>
      </c>
      <c r="J620" t="s">
        <v>76</v>
      </c>
      <c r="K620">
        <v>13</v>
      </c>
      <c r="L620" s="63">
        <v>6.8493150684931503E-2</v>
      </c>
      <c r="M620">
        <v>30</v>
      </c>
    </row>
    <row r="621" spans="2:13" x14ac:dyDescent="0.25">
      <c r="B621" s="33">
        <v>1</v>
      </c>
      <c r="C621" t="s">
        <v>2</v>
      </c>
      <c r="D621" t="s">
        <v>317</v>
      </c>
      <c r="E621">
        <v>13</v>
      </c>
      <c r="F621" s="2">
        <v>0.112328767123288</v>
      </c>
      <c r="H621" s="33">
        <v>1</v>
      </c>
      <c r="I621" t="s">
        <v>2</v>
      </c>
      <c r="J621" t="s">
        <v>317</v>
      </c>
      <c r="K621">
        <v>13</v>
      </c>
      <c r="L621" s="63">
        <v>0.10410958904109589</v>
      </c>
      <c r="M621">
        <v>41</v>
      </c>
    </row>
    <row r="622" spans="2:13" x14ac:dyDescent="0.25">
      <c r="B622" s="33">
        <v>1</v>
      </c>
      <c r="C622" t="s">
        <v>57</v>
      </c>
      <c r="D622" t="s">
        <v>66</v>
      </c>
      <c r="E622">
        <v>13</v>
      </c>
      <c r="F622" s="2">
        <v>5.75342465753425E-2</v>
      </c>
      <c r="H622" s="33">
        <v>1</v>
      </c>
      <c r="I622" t="s">
        <v>57</v>
      </c>
      <c r="J622" t="s">
        <v>66</v>
      </c>
      <c r="K622">
        <v>13</v>
      </c>
      <c r="L622" s="63">
        <v>0.12602739726027398</v>
      </c>
      <c r="M622">
        <v>52</v>
      </c>
    </row>
    <row r="623" spans="2:13" x14ac:dyDescent="0.25">
      <c r="B623" s="33">
        <v>1</v>
      </c>
      <c r="C623" t="s">
        <v>59</v>
      </c>
      <c r="D623" t="s">
        <v>63</v>
      </c>
      <c r="E623">
        <v>14</v>
      </c>
      <c r="F623" s="2">
        <v>5.75342465753425E-2</v>
      </c>
      <c r="H623" s="33">
        <v>1</v>
      </c>
      <c r="I623" t="s">
        <v>59</v>
      </c>
      <c r="J623" t="s">
        <v>63</v>
      </c>
      <c r="K623">
        <v>14</v>
      </c>
      <c r="L623" s="63">
        <v>0.17534246575342466</v>
      </c>
      <c r="M623">
        <v>75</v>
      </c>
    </row>
    <row r="624" spans="2:13" x14ac:dyDescent="0.25">
      <c r="B624" s="33">
        <v>1</v>
      </c>
      <c r="C624" t="s">
        <v>307</v>
      </c>
      <c r="D624" t="s">
        <v>313</v>
      </c>
      <c r="E624">
        <v>16</v>
      </c>
      <c r="F624" s="2">
        <v>4.65753424657534E-2</v>
      </c>
      <c r="H624" s="33">
        <v>1</v>
      </c>
      <c r="I624" t="s">
        <v>307</v>
      </c>
      <c r="J624" t="s">
        <v>313</v>
      </c>
      <c r="K624">
        <v>16</v>
      </c>
      <c r="L624" s="63">
        <v>4.6575342465753428E-2</v>
      </c>
      <c r="M624">
        <v>17</v>
      </c>
    </row>
    <row r="625" spans="2:13" x14ac:dyDescent="0.25">
      <c r="B625" s="33">
        <v>1</v>
      </c>
      <c r="C625" t="s">
        <v>59</v>
      </c>
      <c r="D625" t="s">
        <v>68</v>
      </c>
      <c r="E625">
        <v>17</v>
      </c>
      <c r="F625" s="2">
        <v>9.0410958904109606E-2</v>
      </c>
      <c r="H625" s="33">
        <v>1</v>
      </c>
      <c r="I625" t="s">
        <v>59</v>
      </c>
      <c r="J625" t="s">
        <v>68</v>
      </c>
      <c r="K625">
        <v>17</v>
      </c>
      <c r="L625" s="63">
        <v>9.0410958904109592E-2</v>
      </c>
      <c r="M625">
        <v>43</v>
      </c>
    </row>
    <row r="626" spans="2:13" x14ac:dyDescent="0.25">
      <c r="B626" s="33">
        <v>1</v>
      </c>
      <c r="C626" t="s">
        <v>307</v>
      </c>
      <c r="D626" t="s">
        <v>309</v>
      </c>
      <c r="E626">
        <v>17</v>
      </c>
      <c r="F626" s="2">
        <v>1.3698630136986301E-2</v>
      </c>
      <c r="H626" s="33">
        <v>1</v>
      </c>
      <c r="I626" t="s">
        <v>307</v>
      </c>
      <c r="J626" t="s">
        <v>309</v>
      </c>
      <c r="K626">
        <v>17</v>
      </c>
      <c r="L626" s="63">
        <v>1.3698630136986301E-2</v>
      </c>
      <c r="M626">
        <v>5</v>
      </c>
    </row>
    <row r="627" spans="2:13" x14ac:dyDescent="0.25">
      <c r="B627" s="33">
        <v>1</v>
      </c>
      <c r="C627" t="s">
        <v>59</v>
      </c>
      <c r="D627" t="s">
        <v>63</v>
      </c>
      <c r="E627">
        <v>18</v>
      </c>
      <c r="F627" s="2">
        <v>0.104109589041096</v>
      </c>
      <c r="H627" s="33">
        <v>1</v>
      </c>
      <c r="I627" t="s">
        <v>59</v>
      </c>
      <c r="J627" t="s">
        <v>63</v>
      </c>
      <c r="K627">
        <v>18</v>
      </c>
      <c r="L627" s="63">
        <v>0.12054794520547946</v>
      </c>
      <c r="M627">
        <v>52</v>
      </c>
    </row>
    <row r="628" spans="2:13" x14ac:dyDescent="0.25">
      <c r="B628" s="33">
        <v>1</v>
      </c>
      <c r="C628" t="s">
        <v>307</v>
      </c>
      <c r="D628" t="s">
        <v>308</v>
      </c>
      <c r="E628">
        <v>21</v>
      </c>
      <c r="F628" s="2">
        <v>5.2054794520547898E-2</v>
      </c>
      <c r="H628" s="33">
        <v>1</v>
      </c>
      <c r="I628" t="s">
        <v>307</v>
      </c>
      <c r="J628" t="s">
        <v>308</v>
      </c>
      <c r="K628">
        <v>21</v>
      </c>
      <c r="L628" s="63">
        <v>4.9315068493150684E-2</v>
      </c>
      <c r="M628">
        <v>19</v>
      </c>
    </row>
    <row r="629" spans="2:13" x14ac:dyDescent="0.25">
      <c r="B629" s="33">
        <v>1</v>
      </c>
      <c r="C629" t="s">
        <v>231</v>
      </c>
      <c r="D629" t="s">
        <v>190</v>
      </c>
      <c r="E629">
        <v>21</v>
      </c>
      <c r="F629" s="2">
        <v>1.0958904109589E-2</v>
      </c>
      <c r="H629" s="33">
        <v>1</v>
      </c>
      <c r="I629" t="s">
        <v>231</v>
      </c>
      <c r="J629" t="s">
        <v>190</v>
      </c>
      <c r="K629">
        <v>21</v>
      </c>
      <c r="L629" s="63">
        <v>1.643835616438356E-2</v>
      </c>
      <c r="M629">
        <v>6</v>
      </c>
    </row>
    <row r="630" spans="2:13" x14ac:dyDescent="0.25">
      <c r="B630" s="33">
        <v>1</v>
      </c>
      <c r="C630" t="s">
        <v>0</v>
      </c>
      <c r="D630" t="s">
        <v>72</v>
      </c>
      <c r="E630">
        <v>22</v>
      </c>
      <c r="F630" s="2">
        <v>2.46575342465753E-2</v>
      </c>
      <c r="H630" s="33">
        <v>1</v>
      </c>
      <c r="I630" t="s">
        <v>0</v>
      </c>
      <c r="J630" t="s">
        <v>72</v>
      </c>
      <c r="K630">
        <v>22</v>
      </c>
      <c r="L630" s="63">
        <v>5.2054794520547946E-2</v>
      </c>
      <c r="M630">
        <v>21</v>
      </c>
    </row>
    <row r="631" spans="2:13" x14ac:dyDescent="0.25">
      <c r="B631" s="33">
        <v>1</v>
      </c>
      <c r="C631" t="s">
        <v>2</v>
      </c>
      <c r="D631" t="s">
        <v>28</v>
      </c>
      <c r="E631">
        <v>23</v>
      </c>
      <c r="F631" s="2">
        <v>3.2876712328767099E-2</v>
      </c>
      <c r="H631" s="33">
        <v>1</v>
      </c>
      <c r="I631" t="s">
        <v>2</v>
      </c>
      <c r="J631" t="s">
        <v>28</v>
      </c>
      <c r="K631">
        <v>23</v>
      </c>
      <c r="L631" s="63">
        <v>6.3013698630136991E-2</v>
      </c>
      <c r="M631">
        <v>23</v>
      </c>
    </row>
    <row r="632" spans="2:13" x14ac:dyDescent="0.25">
      <c r="B632" s="33">
        <v>1</v>
      </c>
      <c r="C632" t="s">
        <v>0</v>
      </c>
      <c r="D632" t="s">
        <v>62</v>
      </c>
      <c r="E632">
        <v>0</v>
      </c>
      <c r="F632" s="2">
        <v>2.46575342465753E-2</v>
      </c>
      <c r="H632" s="33">
        <v>1</v>
      </c>
      <c r="I632" t="s">
        <v>0</v>
      </c>
      <c r="J632" t="s">
        <v>62</v>
      </c>
      <c r="K632">
        <v>0</v>
      </c>
      <c r="L632" s="63">
        <v>9.8630136986301367E-2</v>
      </c>
      <c r="M632">
        <v>41</v>
      </c>
    </row>
    <row r="633" spans="2:13" x14ac:dyDescent="0.25">
      <c r="B633" s="33">
        <v>1</v>
      </c>
      <c r="C633" t="s">
        <v>2</v>
      </c>
      <c r="D633" t="s">
        <v>19</v>
      </c>
      <c r="E633">
        <v>8</v>
      </c>
      <c r="F633" s="2">
        <v>5.4794520547945202E-2</v>
      </c>
      <c r="H633" s="33">
        <v>1</v>
      </c>
      <c r="I633" t="s">
        <v>2</v>
      </c>
      <c r="J633" t="s">
        <v>19</v>
      </c>
      <c r="K633">
        <v>8</v>
      </c>
      <c r="L633" s="63">
        <v>6.8493150684931503E-2</v>
      </c>
      <c r="M633">
        <v>29</v>
      </c>
    </row>
    <row r="634" spans="2:13" x14ac:dyDescent="0.25">
      <c r="B634" s="33">
        <v>1</v>
      </c>
      <c r="C634" t="s">
        <v>307</v>
      </c>
      <c r="D634" t="s">
        <v>393</v>
      </c>
      <c r="E634">
        <v>8</v>
      </c>
      <c r="F634" s="2">
        <v>0.21095890410958901</v>
      </c>
      <c r="H634" s="33">
        <v>1</v>
      </c>
      <c r="I634" t="s">
        <v>307</v>
      </c>
      <c r="J634" t="s">
        <v>393</v>
      </c>
      <c r="K634">
        <v>8</v>
      </c>
      <c r="L634" s="63">
        <v>0.16438356164383561</v>
      </c>
      <c r="M634">
        <v>77</v>
      </c>
    </row>
    <row r="635" spans="2:13" x14ac:dyDescent="0.25">
      <c r="B635" s="33">
        <v>1</v>
      </c>
      <c r="C635" t="s">
        <v>2</v>
      </c>
      <c r="D635" t="s">
        <v>19</v>
      </c>
      <c r="E635">
        <v>9</v>
      </c>
      <c r="F635" s="2">
        <v>6.3013698630137005E-2</v>
      </c>
      <c r="H635" s="33">
        <v>1</v>
      </c>
      <c r="I635" t="s">
        <v>2</v>
      </c>
      <c r="J635" t="s">
        <v>19</v>
      </c>
      <c r="K635">
        <v>9</v>
      </c>
      <c r="L635" s="63">
        <v>0.15342465753424658</v>
      </c>
      <c r="M635">
        <v>65</v>
      </c>
    </row>
    <row r="636" spans="2:13" x14ac:dyDescent="0.25">
      <c r="B636" s="33">
        <v>1</v>
      </c>
      <c r="C636" t="s">
        <v>57</v>
      </c>
      <c r="D636" t="s">
        <v>67</v>
      </c>
      <c r="E636">
        <v>10</v>
      </c>
      <c r="F636" s="2">
        <v>7.6712328767123306E-2</v>
      </c>
      <c r="H636" s="33">
        <v>1</v>
      </c>
      <c r="I636" t="s">
        <v>57</v>
      </c>
      <c r="J636" t="s">
        <v>67</v>
      </c>
      <c r="K636">
        <v>10</v>
      </c>
      <c r="L636" s="63">
        <v>0.11780821917808219</v>
      </c>
      <c r="M636">
        <v>47</v>
      </c>
    </row>
    <row r="637" spans="2:13" x14ac:dyDescent="0.25">
      <c r="B637" s="33">
        <v>1</v>
      </c>
      <c r="C637" t="s">
        <v>57</v>
      </c>
      <c r="D637" t="s">
        <v>66</v>
      </c>
      <c r="E637">
        <v>11</v>
      </c>
      <c r="F637" s="2">
        <v>9.5890410958904104E-2</v>
      </c>
      <c r="H637" s="33">
        <v>1</v>
      </c>
      <c r="I637" t="s">
        <v>57</v>
      </c>
      <c r="J637" t="s">
        <v>66</v>
      </c>
      <c r="K637">
        <v>11</v>
      </c>
      <c r="L637" s="63">
        <v>0.11506849315068493</v>
      </c>
      <c r="M637">
        <v>54</v>
      </c>
    </row>
    <row r="638" spans="2:13" x14ac:dyDescent="0.25">
      <c r="B638" s="33">
        <v>1</v>
      </c>
      <c r="C638" t="s">
        <v>307</v>
      </c>
      <c r="D638" t="s">
        <v>309</v>
      </c>
      <c r="E638">
        <v>11</v>
      </c>
      <c r="F638" s="2">
        <v>1.3698630136986301E-2</v>
      </c>
      <c r="H638" s="33">
        <v>1</v>
      </c>
      <c r="I638" t="s">
        <v>307</v>
      </c>
      <c r="J638" t="s">
        <v>309</v>
      </c>
      <c r="K638">
        <v>11</v>
      </c>
      <c r="L638" s="63">
        <v>1.3698630136986301E-2</v>
      </c>
      <c r="M638">
        <v>5</v>
      </c>
    </row>
    <row r="639" spans="2:13" x14ac:dyDescent="0.25">
      <c r="B639" s="33">
        <v>1</v>
      </c>
      <c r="C639" t="s">
        <v>2</v>
      </c>
      <c r="D639" t="s">
        <v>37</v>
      </c>
      <c r="E639">
        <v>13</v>
      </c>
      <c r="F639" s="2">
        <v>2.19178082191781E-2</v>
      </c>
      <c r="H639" s="33">
        <v>1</v>
      </c>
      <c r="I639" t="s">
        <v>2</v>
      </c>
      <c r="J639" t="s">
        <v>37</v>
      </c>
      <c r="K639">
        <v>13</v>
      </c>
      <c r="L639" s="63">
        <v>5.7534246575342465E-2</v>
      </c>
      <c r="M639">
        <v>21</v>
      </c>
    </row>
    <row r="640" spans="2:13" x14ac:dyDescent="0.25">
      <c r="B640" s="33">
        <v>1</v>
      </c>
      <c r="C640" t="s">
        <v>57</v>
      </c>
      <c r="D640" t="s">
        <v>58</v>
      </c>
      <c r="E640">
        <v>13</v>
      </c>
      <c r="F640" s="2">
        <v>0.10958904109589</v>
      </c>
      <c r="H640" s="33">
        <v>1</v>
      </c>
      <c r="I640" t="s">
        <v>57</v>
      </c>
      <c r="J640" t="s">
        <v>58</v>
      </c>
      <c r="K640">
        <v>13</v>
      </c>
      <c r="L640" s="63">
        <v>0.12328767123287671</v>
      </c>
      <c r="M640">
        <v>58</v>
      </c>
    </row>
    <row r="641" spans="2:13" x14ac:dyDescent="0.25">
      <c r="B641" s="33">
        <v>1</v>
      </c>
      <c r="C641" t="s">
        <v>57</v>
      </c>
      <c r="D641" t="s">
        <v>74</v>
      </c>
      <c r="E641">
        <v>14</v>
      </c>
      <c r="F641" s="2">
        <v>3.8356164383561597E-2</v>
      </c>
      <c r="H641" s="33">
        <v>1</v>
      </c>
      <c r="I641" t="s">
        <v>57</v>
      </c>
      <c r="J641" t="s">
        <v>74</v>
      </c>
      <c r="K641">
        <v>14</v>
      </c>
      <c r="L641" s="63">
        <v>9.5890410958904104E-2</v>
      </c>
      <c r="M641">
        <v>36</v>
      </c>
    </row>
    <row r="642" spans="2:13" x14ac:dyDescent="0.25">
      <c r="B642" s="33">
        <v>1</v>
      </c>
      <c r="C642" t="s">
        <v>2</v>
      </c>
      <c r="D642" t="s">
        <v>19</v>
      </c>
      <c r="E642">
        <v>15</v>
      </c>
      <c r="F642" s="2">
        <v>6.3013698630137005E-2</v>
      </c>
      <c r="H642" s="33">
        <v>1</v>
      </c>
      <c r="I642" t="s">
        <v>2</v>
      </c>
      <c r="J642" t="s">
        <v>19</v>
      </c>
      <c r="K642">
        <v>15</v>
      </c>
      <c r="L642" s="63">
        <v>8.7671232876712329E-2</v>
      </c>
      <c r="M642">
        <v>36</v>
      </c>
    </row>
    <row r="643" spans="2:13" x14ac:dyDescent="0.25">
      <c r="B643" s="33">
        <v>1</v>
      </c>
      <c r="C643" t="s">
        <v>0</v>
      </c>
      <c r="D643" t="s">
        <v>72</v>
      </c>
      <c r="E643">
        <v>15</v>
      </c>
      <c r="F643" s="2">
        <v>4.1095890410958902E-2</v>
      </c>
      <c r="H643" s="33">
        <v>1</v>
      </c>
      <c r="I643" t="s">
        <v>0</v>
      </c>
      <c r="J643" t="s">
        <v>72</v>
      </c>
      <c r="K643">
        <v>15</v>
      </c>
      <c r="L643" s="63">
        <v>5.2054794520547946E-2</v>
      </c>
      <c r="M643">
        <v>21</v>
      </c>
    </row>
    <row r="644" spans="2:13" x14ac:dyDescent="0.25">
      <c r="B644" s="33">
        <v>1</v>
      </c>
      <c r="C644" t="s">
        <v>2</v>
      </c>
      <c r="D644" t="s">
        <v>28</v>
      </c>
      <c r="E644">
        <v>16</v>
      </c>
      <c r="F644" s="2">
        <v>8.7671232876712302E-2</v>
      </c>
      <c r="H644" s="33">
        <v>1</v>
      </c>
      <c r="I644" t="s">
        <v>2</v>
      </c>
      <c r="J644" t="s">
        <v>28</v>
      </c>
      <c r="K644">
        <v>16</v>
      </c>
      <c r="L644" s="63">
        <v>0.10136986301369863</v>
      </c>
      <c r="M644">
        <v>42</v>
      </c>
    </row>
    <row r="645" spans="2:13" x14ac:dyDescent="0.25">
      <c r="B645" s="33">
        <v>1</v>
      </c>
      <c r="C645" t="s">
        <v>59</v>
      </c>
      <c r="D645" t="s">
        <v>76</v>
      </c>
      <c r="E645">
        <v>16</v>
      </c>
      <c r="F645" s="2">
        <v>4.1095890410958902E-2</v>
      </c>
      <c r="H645" s="33">
        <v>1</v>
      </c>
      <c r="I645" t="s">
        <v>59</v>
      </c>
      <c r="J645" t="s">
        <v>76</v>
      </c>
      <c r="K645">
        <v>16</v>
      </c>
      <c r="L645" s="63">
        <v>4.3835616438356165E-2</v>
      </c>
      <c r="M645">
        <v>17</v>
      </c>
    </row>
    <row r="646" spans="2:13" x14ac:dyDescent="0.25">
      <c r="B646" s="33">
        <v>1</v>
      </c>
      <c r="C646" t="s">
        <v>276</v>
      </c>
      <c r="D646" t="s">
        <v>288</v>
      </c>
      <c r="E646">
        <v>18</v>
      </c>
      <c r="F646" s="2">
        <v>4.1095890410958902E-2</v>
      </c>
      <c r="H646" s="33">
        <v>1</v>
      </c>
      <c r="I646" t="s">
        <v>276</v>
      </c>
      <c r="J646" t="s">
        <v>288</v>
      </c>
      <c r="K646">
        <v>18</v>
      </c>
      <c r="L646" s="63">
        <v>4.1095890410958902E-2</v>
      </c>
      <c r="M646">
        <v>15</v>
      </c>
    </row>
    <row r="647" spans="2:13" x14ac:dyDescent="0.25">
      <c r="B647" s="33">
        <v>1</v>
      </c>
      <c r="C647" t="s">
        <v>0</v>
      </c>
      <c r="D647" t="s">
        <v>72</v>
      </c>
      <c r="E647">
        <v>19</v>
      </c>
      <c r="F647" s="2">
        <v>4.9315068493150697E-2</v>
      </c>
      <c r="H647" s="33">
        <v>1</v>
      </c>
      <c r="I647" t="s">
        <v>0</v>
      </c>
      <c r="J647" t="s">
        <v>72</v>
      </c>
      <c r="K647">
        <v>19</v>
      </c>
      <c r="L647" s="63">
        <v>0.12328767123287671</v>
      </c>
      <c r="M647">
        <v>51</v>
      </c>
    </row>
    <row r="648" spans="2:13" x14ac:dyDescent="0.25">
      <c r="B648" s="33">
        <v>1</v>
      </c>
      <c r="C648" t="s">
        <v>307</v>
      </c>
      <c r="D648" t="s">
        <v>393</v>
      </c>
      <c r="E648">
        <v>19</v>
      </c>
      <c r="F648" s="2">
        <v>0.20821917808219201</v>
      </c>
      <c r="H648" s="33">
        <v>1</v>
      </c>
      <c r="I648" t="s">
        <v>307</v>
      </c>
      <c r="J648" t="s">
        <v>393</v>
      </c>
      <c r="K648">
        <v>19</v>
      </c>
      <c r="L648" s="63">
        <v>0.16986301369863013</v>
      </c>
      <c r="M648">
        <v>76</v>
      </c>
    </row>
    <row r="649" spans="2:13" x14ac:dyDescent="0.25">
      <c r="B649" s="33">
        <v>1</v>
      </c>
      <c r="C649" t="s">
        <v>57</v>
      </c>
      <c r="D649" t="s">
        <v>75</v>
      </c>
      <c r="E649">
        <v>20</v>
      </c>
      <c r="F649" s="2">
        <v>1.9178082191780799E-2</v>
      </c>
      <c r="H649" s="33">
        <v>1</v>
      </c>
      <c r="I649" t="s">
        <v>57</v>
      </c>
      <c r="J649" t="s">
        <v>75</v>
      </c>
      <c r="K649">
        <v>20</v>
      </c>
      <c r="L649" s="63">
        <v>4.1095890410958902E-2</v>
      </c>
      <c r="M649">
        <v>19</v>
      </c>
    </row>
    <row r="650" spans="2:13" x14ac:dyDescent="0.25">
      <c r="B650" s="33">
        <v>1</v>
      </c>
      <c r="C650" t="s">
        <v>231</v>
      </c>
      <c r="D650" t="s">
        <v>190</v>
      </c>
      <c r="E650">
        <v>23</v>
      </c>
      <c r="F650" s="2">
        <v>8.21917808219178E-3</v>
      </c>
      <c r="H650" s="33">
        <v>1</v>
      </c>
      <c r="I650" t="s">
        <v>231</v>
      </c>
      <c r="J650" t="s">
        <v>190</v>
      </c>
      <c r="K650">
        <v>23</v>
      </c>
      <c r="L650" s="63">
        <v>1.0958904109589041E-2</v>
      </c>
      <c r="M650">
        <v>4</v>
      </c>
    </row>
    <row r="651" spans="2:13" x14ac:dyDescent="0.25">
      <c r="B651" s="33">
        <v>1</v>
      </c>
      <c r="C651" t="s">
        <v>2</v>
      </c>
      <c r="D651" t="s">
        <v>21</v>
      </c>
      <c r="E651">
        <v>0</v>
      </c>
      <c r="F651" s="2">
        <v>1.6438356164383602E-2</v>
      </c>
      <c r="H651" s="33">
        <v>1</v>
      </c>
      <c r="I651" t="s">
        <v>2</v>
      </c>
      <c r="J651" t="s">
        <v>21</v>
      </c>
      <c r="K651">
        <v>0</v>
      </c>
      <c r="L651" s="63">
        <v>2.4657534246575342E-2</v>
      </c>
      <c r="M651">
        <v>9</v>
      </c>
    </row>
    <row r="652" spans="2:13" x14ac:dyDescent="0.25">
      <c r="B652" s="33">
        <v>1</v>
      </c>
      <c r="C652" t="s">
        <v>0</v>
      </c>
      <c r="D652" t="s">
        <v>61</v>
      </c>
      <c r="E652">
        <v>1</v>
      </c>
      <c r="F652" s="2">
        <v>1.9178082191780799E-2</v>
      </c>
      <c r="H652" s="33">
        <v>1</v>
      </c>
      <c r="I652" t="s">
        <v>0</v>
      </c>
      <c r="J652" t="s">
        <v>61</v>
      </c>
      <c r="K652">
        <v>1</v>
      </c>
      <c r="L652" s="63">
        <v>4.1095890410958902E-2</v>
      </c>
      <c r="M652">
        <v>16</v>
      </c>
    </row>
    <row r="653" spans="2:13" x14ac:dyDescent="0.25">
      <c r="B653" s="33">
        <v>1</v>
      </c>
      <c r="C653" t="s">
        <v>0</v>
      </c>
      <c r="D653" t="s">
        <v>62</v>
      </c>
      <c r="E653">
        <v>2</v>
      </c>
      <c r="F653" s="2">
        <v>1.3698630136986301E-2</v>
      </c>
      <c r="H653" s="33">
        <v>1</v>
      </c>
      <c r="I653" t="s">
        <v>0</v>
      </c>
      <c r="J653" t="s">
        <v>62</v>
      </c>
      <c r="K653">
        <v>2</v>
      </c>
      <c r="L653" s="63">
        <v>1.9178082191780823E-2</v>
      </c>
      <c r="M653">
        <v>9</v>
      </c>
    </row>
    <row r="654" spans="2:13" x14ac:dyDescent="0.25">
      <c r="B654" s="33">
        <v>1</v>
      </c>
      <c r="C654" t="s">
        <v>2</v>
      </c>
      <c r="D654" t="s">
        <v>17</v>
      </c>
      <c r="E654">
        <v>2</v>
      </c>
      <c r="F654" s="2">
        <v>1.9178082191780799E-2</v>
      </c>
      <c r="H654" s="33">
        <v>1</v>
      </c>
      <c r="I654" t="s">
        <v>2</v>
      </c>
      <c r="J654" t="s">
        <v>17</v>
      </c>
      <c r="K654">
        <v>2</v>
      </c>
      <c r="L654" s="63">
        <v>4.9315068493150684E-2</v>
      </c>
      <c r="M654">
        <v>20</v>
      </c>
    </row>
    <row r="655" spans="2:13" x14ac:dyDescent="0.25">
      <c r="B655" s="33">
        <v>1</v>
      </c>
      <c r="C655" t="s">
        <v>2</v>
      </c>
      <c r="D655" t="s">
        <v>19</v>
      </c>
      <c r="E655">
        <v>2</v>
      </c>
      <c r="F655" s="2">
        <v>5.4794520547945197E-3</v>
      </c>
      <c r="H655" s="33">
        <v>1</v>
      </c>
      <c r="I655" t="s">
        <v>2</v>
      </c>
      <c r="J655" t="s">
        <v>19</v>
      </c>
      <c r="K655">
        <v>2</v>
      </c>
      <c r="L655" s="63">
        <v>3.8356164383561646E-2</v>
      </c>
      <c r="M655">
        <v>18</v>
      </c>
    </row>
    <row r="656" spans="2:13" x14ac:dyDescent="0.25">
      <c r="B656" s="33">
        <v>1</v>
      </c>
      <c r="C656" t="s">
        <v>2</v>
      </c>
      <c r="D656" t="s">
        <v>26</v>
      </c>
      <c r="E656">
        <v>4</v>
      </c>
      <c r="F656" s="2">
        <v>8.21917808219178E-3</v>
      </c>
      <c r="H656" s="33">
        <v>1</v>
      </c>
      <c r="I656" t="s">
        <v>2</v>
      </c>
      <c r="J656" t="s">
        <v>26</v>
      </c>
      <c r="K656">
        <v>4</v>
      </c>
      <c r="L656" s="63">
        <v>1.643835616438356E-2</v>
      </c>
      <c r="M656">
        <v>6</v>
      </c>
    </row>
    <row r="657" spans="2:13" x14ac:dyDescent="0.25">
      <c r="B657" s="33">
        <v>1</v>
      </c>
      <c r="C657" t="s">
        <v>0</v>
      </c>
      <c r="D657" t="s">
        <v>62</v>
      </c>
      <c r="E657">
        <v>6</v>
      </c>
      <c r="F657" s="2">
        <v>2.46575342465753E-2</v>
      </c>
      <c r="H657" s="33">
        <v>1</v>
      </c>
      <c r="I657" t="s">
        <v>0</v>
      </c>
      <c r="J657" t="s">
        <v>62</v>
      </c>
      <c r="K657">
        <v>6</v>
      </c>
      <c r="L657" s="63">
        <v>3.0136986301369864E-2</v>
      </c>
      <c r="M657">
        <v>13</v>
      </c>
    </row>
    <row r="658" spans="2:13" x14ac:dyDescent="0.25">
      <c r="B658" s="33">
        <v>1</v>
      </c>
      <c r="C658" t="s">
        <v>59</v>
      </c>
      <c r="D658" t="s">
        <v>63</v>
      </c>
      <c r="E658">
        <v>8</v>
      </c>
      <c r="F658" s="2">
        <v>5.2054794520547898E-2</v>
      </c>
      <c r="H658" s="33">
        <v>1</v>
      </c>
      <c r="I658" t="s">
        <v>59</v>
      </c>
      <c r="J658" t="s">
        <v>63</v>
      </c>
      <c r="K658">
        <v>8</v>
      </c>
      <c r="L658" s="63">
        <v>6.3013698630136991E-2</v>
      </c>
      <c r="M658">
        <v>27</v>
      </c>
    </row>
    <row r="659" spans="2:13" x14ac:dyDescent="0.25">
      <c r="B659" s="33">
        <v>1</v>
      </c>
      <c r="C659" t="s">
        <v>0</v>
      </c>
      <c r="D659" t="s">
        <v>79</v>
      </c>
      <c r="E659">
        <v>9</v>
      </c>
      <c r="F659" s="2">
        <v>8.21917808219178E-3</v>
      </c>
      <c r="H659" s="33">
        <v>1</v>
      </c>
      <c r="I659" t="s">
        <v>0</v>
      </c>
      <c r="J659" t="s">
        <v>79</v>
      </c>
      <c r="K659">
        <v>9</v>
      </c>
      <c r="L659" s="63">
        <v>1.643835616438356E-2</v>
      </c>
      <c r="M659">
        <v>6</v>
      </c>
    </row>
    <row r="660" spans="2:13" x14ac:dyDescent="0.25">
      <c r="B660" s="33">
        <v>1</v>
      </c>
      <c r="C660" t="s">
        <v>231</v>
      </c>
      <c r="D660" t="s">
        <v>188</v>
      </c>
      <c r="E660">
        <v>10</v>
      </c>
      <c r="F660" s="2">
        <v>4.65753424657534E-2</v>
      </c>
      <c r="H660" s="33">
        <v>1</v>
      </c>
      <c r="I660" t="s">
        <v>231</v>
      </c>
      <c r="J660" t="s">
        <v>188</v>
      </c>
      <c r="K660">
        <v>10</v>
      </c>
      <c r="L660" s="63">
        <v>0.14520547945205478</v>
      </c>
      <c r="M660">
        <v>58</v>
      </c>
    </row>
    <row r="661" spans="2:13" x14ac:dyDescent="0.25">
      <c r="B661" s="33">
        <v>1</v>
      </c>
      <c r="C661" t="s">
        <v>2</v>
      </c>
      <c r="D661" t="s">
        <v>32</v>
      </c>
      <c r="E661">
        <v>10</v>
      </c>
      <c r="F661" s="2">
        <v>1.6438356164383602E-2</v>
      </c>
      <c r="H661" s="33">
        <v>1</v>
      </c>
      <c r="I661" t="s">
        <v>2</v>
      </c>
      <c r="J661" t="s">
        <v>32</v>
      </c>
      <c r="K661">
        <v>10</v>
      </c>
      <c r="L661" s="63">
        <v>3.5616438356164383E-2</v>
      </c>
      <c r="M661">
        <v>14</v>
      </c>
    </row>
    <row r="662" spans="2:13" x14ac:dyDescent="0.25">
      <c r="B662" s="33">
        <v>1</v>
      </c>
      <c r="C662" t="s">
        <v>57</v>
      </c>
      <c r="D662" t="s">
        <v>74</v>
      </c>
      <c r="E662">
        <v>12</v>
      </c>
      <c r="F662" s="2">
        <v>4.9315068493150697E-2</v>
      </c>
      <c r="H662" s="33">
        <v>1</v>
      </c>
      <c r="I662" t="s">
        <v>57</v>
      </c>
      <c r="J662" t="s">
        <v>74</v>
      </c>
      <c r="K662">
        <v>12</v>
      </c>
      <c r="L662" s="63">
        <v>6.8493150684931503E-2</v>
      </c>
      <c r="M662">
        <v>26</v>
      </c>
    </row>
    <row r="663" spans="2:13" x14ac:dyDescent="0.25">
      <c r="B663" s="33">
        <v>1</v>
      </c>
      <c r="C663" t="s">
        <v>2</v>
      </c>
      <c r="D663" t="s">
        <v>21</v>
      </c>
      <c r="E663">
        <v>13</v>
      </c>
      <c r="F663" s="2">
        <v>3.2876712328767099E-2</v>
      </c>
      <c r="H663" s="33">
        <v>1</v>
      </c>
      <c r="I663" t="s">
        <v>2</v>
      </c>
      <c r="J663" t="s">
        <v>21</v>
      </c>
      <c r="K663">
        <v>13</v>
      </c>
      <c r="L663" s="63">
        <v>3.5616438356164383E-2</v>
      </c>
      <c r="M663">
        <v>17</v>
      </c>
    </row>
    <row r="664" spans="2:13" x14ac:dyDescent="0.25">
      <c r="B664" s="33">
        <v>1</v>
      </c>
      <c r="C664" t="s">
        <v>307</v>
      </c>
      <c r="D664" t="s">
        <v>312</v>
      </c>
      <c r="E664">
        <v>14</v>
      </c>
      <c r="F664" s="2">
        <v>7.9452054794520596E-2</v>
      </c>
      <c r="H664" s="33">
        <v>1</v>
      </c>
      <c r="I664" t="s">
        <v>307</v>
      </c>
      <c r="J664" t="s">
        <v>312</v>
      </c>
      <c r="K664">
        <v>14</v>
      </c>
      <c r="L664" s="63">
        <v>7.3972602739726029E-2</v>
      </c>
      <c r="M664">
        <v>29</v>
      </c>
    </row>
    <row r="665" spans="2:13" x14ac:dyDescent="0.25">
      <c r="B665" s="33">
        <v>1</v>
      </c>
      <c r="C665" t="s">
        <v>307</v>
      </c>
      <c r="D665" t="s">
        <v>310</v>
      </c>
      <c r="E665">
        <v>16</v>
      </c>
      <c r="F665" s="2">
        <v>3.2876712328767099E-2</v>
      </c>
      <c r="H665" s="33">
        <v>1</v>
      </c>
      <c r="I665" t="s">
        <v>307</v>
      </c>
      <c r="J665" t="s">
        <v>310</v>
      </c>
      <c r="K665">
        <v>16</v>
      </c>
      <c r="L665" s="63">
        <v>3.287671232876712E-2</v>
      </c>
      <c r="M665">
        <v>12</v>
      </c>
    </row>
    <row r="666" spans="2:13" x14ac:dyDescent="0.25">
      <c r="B666" s="33">
        <v>1</v>
      </c>
      <c r="C666" t="s">
        <v>292</v>
      </c>
      <c r="D666" t="s">
        <v>320</v>
      </c>
      <c r="E666">
        <v>19</v>
      </c>
      <c r="F666" s="2">
        <v>5.2054794520547898E-2</v>
      </c>
      <c r="H666" s="33">
        <v>1</v>
      </c>
      <c r="I666" t="s">
        <v>292</v>
      </c>
      <c r="J666" t="s">
        <v>320</v>
      </c>
      <c r="K666">
        <v>19</v>
      </c>
      <c r="L666" s="63">
        <v>4.9315068493150684E-2</v>
      </c>
      <c r="M666">
        <v>19</v>
      </c>
    </row>
    <row r="667" spans="2:13" x14ac:dyDescent="0.25">
      <c r="B667" s="33">
        <v>1</v>
      </c>
      <c r="C667" t="s">
        <v>231</v>
      </c>
      <c r="D667" t="s">
        <v>187</v>
      </c>
      <c r="E667">
        <v>19</v>
      </c>
      <c r="F667" s="2">
        <v>5.75342465753425E-2</v>
      </c>
      <c r="H667" s="33">
        <v>1</v>
      </c>
      <c r="I667" t="s">
        <v>231</v>
      </c>
      <c r="J667" t="s">
        <v>187</v>
      </c>
      <c r="K667">
        <v>19</v>
      </c>
      <c r="L667" s="63">
        <v>0.12876712328767123</v>
      </c>
      <c r="M667">
        <v>50</v>
      </c>
    </row>
    <row r="668" spans="2:13" x14ac:dyDescent="0.25">
      <c r="B668" s="33">
        <v>1</v>
      </c>
      <c r="C668" t="s">
        <v>0</v>
      </c>
      <c r="D668" t="s">
        <v>64</v>
      </c>
      <c r="E668">
        <v>6</v>
      </c>
      <c r="F668" s="2">
        <v>1.3698630136986301E-2</v>
      </c>
      <c r="H668" s="33">
        <v>1</v>
      </c>
      <c r="I668" t="s">
        <v>0</v>
      </c>
      <c r="J668" t="s">
        <v>64</v>
      </c>
      <c r="K668">
        <v>6</v>
      </c>
      <c r="L668" s="63">
        <v>3.8356164383561646E-2</v>
      </c>
      <c r="M668">
        <v>14</v>
      </c>
    </row>
    <row r="669" spans="2:13" x14ac:dyDescent="0.25">
      <c r="B669" s="33">
        <v>1</v>
      </c>
      <c r="C669" t="s">
        <v>57</v>
      </c>
      <c r="D669" t="s">
        <v>67</v>
      </c>
      <c r="E669">
        <v>6</v>
      </c>
      <c r="F669" s="2">
        <v>2.19178082191781E-2</v>
      </c>
      <c r="H669" s="33">
        <v>1</v>
      </c>
      <c r="I669" t="s">
        <v>57</v>
      </c>
      <c r="J669" t="s">
        <v>67</v>
      </c>
      <c r="K669">
        <v>6</v>
      </c>
      <c r="L669" s="63">
        <v>5.4794520547945202E-2</v>
      </c>
      <c r="M669">
        <v>20</v>
      </c>
    </row>
    <row r="670" spans="2:13" x14ac:dyDescent="0.25">
      <c r="B670" s="33">
        <v>1</v>
      </c>
      <c r="C670" t="s">
        <v>231</v>
      </c>
      <c r="D670" t="s">
        <v>189</v>
      </c>
      <c r="E670">
        <v>6</v>
      </c>
      <c r="F670" s="2">
        <v>1.6438356164383602E-2</v>
      </c>
      <c r="H670" s="33">
        <v>1</v>
      </c>
      <c r="I670" t="s">
        <v>231</v>
      </c>
      <c r="J670" t="s">
        <v>189</v>
      </c>
      <c r="K670">
        <v>6</v>
      </c>
      <c r="L670" s="63">
        <v>3.5616438356164383E-2</v>
      </c>
      <c r="M670">
        <v>15</v>
      </c>
    </row>
    <row r="671" spans="2:13" x14ac:dyDescent="0.25">
      <c r="B671" s="33">
        <v>1</v>
      </c>
      <c r="C671" t="s">
        <v>57</v>
      </c>
      <c r="D671" t="s">
        <v>75</v>
      </c>
      <c r="E671">
        <v>6</v>
      </c>
      <c r="F671" s="2">
        <v>8.21917808219178E-3</v>
      </c>
      <c r="H671" s="33">
        <v>1</v>
      </c>
      <c r="I671" t="s">
        <v>57</v>
      </c>
      <c r="J671" t="s">
        <v>75</v>
      </c>
      <c r="K671">
        <v>6</v>
      </c>
      <c r="L671" s="63">
        <v>2.1917808219178082E-2</v>
      </c>
      <c r="M671">
        <v>8</v>
      </c>
    </row>
    <row r="672" spans="2:13" x14ac:dyDescent="0.25">
      <c r="B672" s="33">
        <v>1</v>
      </c>
      <c r="C672" t="s">
        <v>57</v>
      </c>
      <c r="D672" t="s">
        <v>58</v>
      </c>
      <c r="E672">
        <v>6</v>
      </c>
      <c r="F672" s="2">
        <v>3.0136986301369899E-2</v>
      </c>
      <c r="H672" s="33">
        <v>1</v>
      </c>
      <c r="I672" t="s">
        <v>57</v>
      </c>
      <c r="J672" t="s">
        <v>58</v>
      </c>
      <c r="K672">
        <v>6</v>
      </c>
      <c r="L672" s="63">
        <v>8.4931506849315067E-2</v>
      </c>
      <c r="M672">
        <v>33</v>
      </c>
    </row>
    <row r="673" spans="2:13" x14ac:dyDescent="0.25">
      <c r="B673" s="33">
        <v>1</v>
      </c>
      <c r="C673" t="s">
        <v>231</v>
      </c>
      <c r="D673" t="s">
        <v>185</v>
      </c>
      <c r="E673">
        <v>7</v>
      </c>
      <c r="F673" s="2">
        <v>9.3150684931506897E-2</v>
      </c>
      <c r="H673" s="33">
        <v>1</v>
      </c>
      <c r="I673" t="s">
        <v>231</v>
      </c>
      <c r="J673" t="s">
        <v>185</v>
      </c>
      <c r="K673">
        <v>7</v>
      </c>
      <c r="L673" s="63">
        <v>0.16712328767123288</v>
      </c>
      <c r="M673">
        <v>71</v>
      </c>
    </row>
    <row r="674" spans="2:13" x14ac:dyDescent="0.25">
      <c r="B674" s="33">
        <v>1</v>
      </c>
      <c r="C674" t="s">
        <v>57</v>
      </c>
      <c r="D674" t="s">
        <v>75</v>
      </c>
      <c r="E674">
        <v>7</v>
      </c>
      <c r="F674" s="2">
        <v>1.3698630136986301E-2</v>
      </c>
      <c r="H674" s="33">
        <v>1</v>
      </c>
      <c r="I674" t="s">
        <v>57</v>
      </c>
      <c r="J674" t="s">
        <v>75</v>
      </c>
      <c r="K674">
        <v>7</v>
      </c>
      <c r="L674" s="63">
        <v>3.5616438356164383E-2</v>
      </c>
      <c r="M674">
        <v>13</v>
      </c>
    </row>
    <row r="675" spans="2:13" x14ac:dyDescent="0.25">
      <c r="B675" s="33">
        <v>1</v>
      </c>
      <c r="C675" t="s">
        <v>0</v>
      </c>
      <c r="D675" t="s">
        <v>64</v>
      </c>
      <c r="E675">
        <v>8</v>
      </c>
      <c r="F675" s="2">
        <v>5.2054794520547898E-2</v>
      </c>
      <c r="H675" s="33">
        <v>1</v>
      </c>
      <c r="I675" t="s">
        <v>0</v>
      </c>
      <c r="J675" t="s">
        <v>64</v>
      </c>
      <c r="K675">
        <v>8</v>
      </c>
      <c r="L675" s="63">
        <v>0.14520547945205478</v>
      </c>
      <c r="M675">
        <v>62</v>
      </c>
    </row>
    <row r="676" spans="2:13" x14ac:dyDescent="0.25">
      <c r="B676" s="33">
        <v>1</v>
      </c>
      <c r="C676" t="s">
        <v>276</v>
      </c>
      <c r="D676" t="s">
        <v>319</v>
      </c>
      <c r="E676">
        <v>9</v>
      </c>
      <c r="F676" s="2">
        <v>2.19178082191781E-2</v>
      </c>
      <c r="H676" s="33">
        <v>1</v>
      </c>
      <c r="I676" t="s">
        <v>276</v>
      </c>
      <c r="J676" t="s">
        <v>319</v>
      </c>
      <c r="K676">
        <v>9</v>
      </c>
      <c r="L676" s="63">
        <v>2.1917808219178082E-2</v>
      </c>
      <c r="M676">
        <v>8</v>
      </c>
    </row>
    <row r="677" spans="2:13" x14ac:dyDescent="0.25">
      <c r="B677" s="33">
        <v>1</v>
      </c>
      <c r="C677" t="s">
        <v>0</v>
      </c>
      <c r="D677" t="s">
        <v>62</v>
      </c>
      <c r="E677">
        <v>9</v>
      </c>
      <c r="F677" s="2">
        <v>0.120547945205479</v>
      </c>
      <c r="H677" s="33">
        <v>1</v>
      </c>
      <c r="I677" t="s">
        <v>0</v>
      </c>
      <c r="J677" t="s">
        <v>62</v>
      </c>
      <c r="K677">
        <v>9</v>
      </c>
      <c r="L677" s="63">
        <v>0.11506849315068493</v>
      </c>
      <c r="M677">
        <v>54</v>
      </c>
    </row>
    <row r="678" spans="2:13" x14ac:dyDescent="0.25">
      <c r="B678" s="33">
        <v>1</v>
      </c>
      <c r="C678" t="s">
        <v>57</v>
      </c>
      <c r="D678" t="s">
        <v>75</v>
      </c>
      <c r="E678">
        <v>9</v>
      </c>
      <c r="F678" s="2">
        <v>2.46575342465753E-2</v>
      </c>
      <c r="H678" s="33">
        <v>1</v>
      </c>
      <c r="I678" t="s">
        <v>57</v>
      </c>
      <c r="J678" t="s">
        <v>75</v>
      </c>
      <c r="K678">
        <v>9</v>
      </c>
      <c r="L678" s="63">
        <v>4.6575342465753428E-2</v>
      </c>
      <c r="M678">
        <v>18</v>
      </c>
    </row>
    <row r="679" spans="2:13" x14ac:dyDescent="0.25">
      <c r="B679" s="33">
        <v>1</v>
      </c>
      <c r="C679" t="s">
        <v>231</v>
      </c>
      <c r="D679" t="s">
        <v>188</v>
      </c>
      <c r="E679">
        <v>11</v>
      </c>
      <c r="F679" s="2">
        <v>4.9315068493150697E-2</v>
      </c>
      <c r="H679" s="33">
        <v>1</v>
      </c>
      <c r="I679" t="s">
        <v>231</v>
      </c>
      <c r="J679" t="s">
        <v>188</v>
      </c>
      <c r="K679">
        <v>11</v>
      </c>
      <c r="L679" s="63">
        <v>9.0410958904109592E-2</v>
      </c>
      <c r="M679">
        <v>40</v>
      </c>
    </row>
    <row r="680" spans="2:13" x14ac:dyDescent="0.25">
      <c r="B680" s="33">
        <v>1</v>
      </c>
      <c r="C680" t="s">
        <v>59</v>
      </c>
      <c r="D680" t="s">
        <v>63</v>
      </c>
      <c r="E680">
        <v>11</v>
      </c>
      <c r="F680" s="2">
        <v>7.1232876712328794E-2</v>
      </c>
      <c r="H680" s="33">
        <v>1</v>
      </c>
      <c r="I680" t="s">
        <v>59</v>
      </c>
      <c r="J680" t="s">
        <v>63</v>
      </c>
      <c r="K680">
        <v>11</v>
      </c>
      <c r="L680" s="63">
        <v>0.17260273972602741</v>
      </c>
      <c r="M680">
        <v>71</v>
      </c>
    </row>
    <row r="681" spans="2:13" x14ac:dyDescent="0.25">
      <c r="B681" s="33">
        <v>1</v>
      </c>
      <c r="C681" t="s">
        <v>231</v>
      </c>
      <c r="D681" t="s">
        <v>187</v>
      </c>
      <c r="E681">
        <v>12</v>
      </c>
      <c r="F681" s="2">
        <v>7.6712328767123306E-2</v>
      </c>
      <c r="H681" s="33">
        <v>1</v>
      </c>
      <c r="I681" t="s">
        <v>231</v>
      </c>
      <c r="J681" t="s">
        <v>187</v>
      </c>
      <c r="K681">
        <v>12</v>
      </c>
      <c r="L681" s="63">
        <v>0.15890410958904111</v>
      </c>
      <c r="M681">
        <v>65</v>
      </c>
    </row>
    <row r="682" spans="2:13" x14ac:dyDescent="0.25">
      <c r="B682" s="33">
        <v>1</v>
      </c>
      <c r="C682" t="s">
        <v>59</v>
      </c>
      <c r="D682" t="s">
        <v>68</v>
      </c>
      <c r="E682">
        <v>12</v>
      </c>
      <c r="F682" s="2">
        <v>5.75342465753425E-2</v>
      </c>
      <c r="H682" s="33">
        <v>1</v>
      </c>
      <c r="I682" t="s">
        <v>59</v>
      </c>
      <c r="J682" t="s">
        <v>68</v>
      </c>
      <c r="K682">
        <v>12</v>
      </c>
      <c r="L682" s="63">
        <v>0.10136986301369863</v>
      </c>
      <c r="M682">
        <v>37</v>
      </c>
    </row>
    <row r="683" spans="2:13" x14ac:dyDescent="0.25">
      <c r="B683" s="33">
        <v>1</v>
      </c>
      <c r="C683" t="s">
        <v>307</v>
      </c>
      <c r="D683" t="s">
        <v>312</v>
      </c>
      <c r="E683">
        <v>15</v>
      </c>
      <c r="F683" s="2">
        <v>5.4794520547945202E-2</v>
      </c>
      <c r="H683" s="33">
        <v>1</v>
      </c>
      <c r="I683" t="s">
        <v>307</v>
      </c>
      <c r="J683" t="s">
        <v>312</v>
      </c>
      <c r="K683">
        <v>15</v>
      </c>
      <c r="L683" s="63">
        <v>4.1095890410958902E-2</v>
      </c>
      <c r="M683">
        <v>20</v>
      </c>
    </row>
    <row r="684" spans="2:13" x14ac:dyDescent="0.25">
      <c r="B684" s="33">
        <v>1</v>
      </c>
      <c r="C684" t="s">
        <v>292</v>
      </c>
      <c r="D684" t="s">
        <v>296</v>
      </c>
      <c r="E684">
        <v>15</v>
      </c>
      <c r="F684" s="2">
        <v>0.104109589041096</v>
      </c>
      <c r="H684" s="33">
        <v>1</v>
      </c>
      <c r="I684" t="s">
        <v>292</v>
      </c>
      <c r="J684" t="s">
        <v>296</v>
      </c>
      <c r="K684">
        <v>15</v>
      </c>
      <c r="L684" s="63">
        <v>9.3150684931506855E-2</v>
      </c>
      <c r="M684">
        <v>38</v>
      </c>
    </row>
    <row r="685" spans="2:13" x14ac:dyDescent="0.25">
      <c r="B685" s="33">
        <v>1</v>
      </c>
      <c r="C685" t="s">
        <v>0</v>
      </c>
      <c r="D685" t="s">
        <v>56</v>
      </c>
      <c r="E685">
        <v>16</v>
      </c>
      <c r="F685" s="2">
        <v>0.18082191780821899</v>
      </c>
      <c r="H685" s="33">
        <v>1</v>
      </c>
      <c r="I685" t="s">
        <v>0</v>
      </c>
      <c r="J685" t="s">
        <v>56</v>
      </c>
      <c r="K685">
        <v>16</v>
      </c>
      <c r="L685" s="63">
        <v>0.24383561643835616</v>
      </c>
      <c r="M685">
        <v>109</v>
      </c>
    </row>
    <row r="686" spans="2:13" x14ac:dyDescent="0.25">
      <c r="B686" s="33">
        <v>1</v>
      </c>
      <c r="C686" t="s">
        <v>276</v>
      </c>
      <c r="D686" t="s">
        <v>319</v>
      </c>
      <c r="E686">
        <v>18</v>
      </c>
      <c r="F686" s="2">
        <v>1.6438356164383602E-2</v>
      </c>
      <c r="H686" s="33">
        <v>1</v>
      </c>
      <c r="I686" t="s">
        <v>276</v>
      </c>
      <c r="J686" t="s">
        <v>319</v>
      </c>
      <c r="K686">
        <v>18</v>
      </c>
      <c r="L686" s="63">
        <v>1.643835616438356E-2</v>
      </c>
      <c r="M686">
        <v>6</v>
      </c>
    </row>
    <row r="687" spans="2:13" x14ac:dyDescent="0.25">
      <c r="B687" s="33">
        <v>1</v>
      </c>
      <c r="C687" t="s">
        <v>276</v>
      </c>
      <c r="D687" t="s">
        <v>286</v>
      </c>
      <c r="E687">
        <v>20</v>
      </c>
      <c r="F687" s="2">
        <v>1.9178082191780799E-2</v>
      </c>
      <c r="H687" s="33">
        <v>1</v>
      </c>
      <c r="I687" t="s">
        <v>276</v>
      </c>
      <c r="J687" t="s">
        <v>286</v>
      </c>
      <c r="K687">
        <v>20</v>
      </c>
      <c r="L687" s="63">
        <v>1.9178082191780823E-2</v>
      </c>
      <c r="M687">
        <v>7</v>
      </c>
    </row>
    <row r="688" spans="2:13" x14ac:dyDescent="0.25">
      <c r="B688" s="33">
        <v>1</v>
      </c>
      <c r="C688" t="s">
        <v>276</v>
      </c>
      <c r="D688" t="s">
        <v>288</v>
      </c>
      <c r="E688">
        <v>20</v>
      </c>
      <c r="F688" s="2">
        <v>3.5616438356164397E-2</v>
      </c>
      <c r="H688" s="33">
        <v>1</v>
      </c>
      <c r="I688" t="s">
        <v>276</v>
      </c>
      <c r="J688" t="s">
        <v>288</v>
      </c>
      <c r="K688">
        <v>20</v>
      </c>
      <c r="L688" s="63">
        <v>3.5616438356164383E-2</v>
      </c>
      <c r="M688">
        <v>13</v>
      </c>
    </row>
    <row r="689" spans="2:13" x14ac:dyDescent="0.25">
      <c r="B689" s="33">
        <v>1</v>
      </c>
      <c r="C689" t="s">
        <v>231</v>
      </c>
      <c r="D689" t="s">
        <v>189</v>
      </c>
      <c r="E689">
        <v>21</v>
      </c>
      <c r="F689" s="2">
        <v>6.3013698630137005E-2</v>
      </c>
      <c r="H689" s="33">
        <v>1</v>
      </c>
      <c r="I689" t="s">
        <v>231</v>
      </c>
      <c r="J689" t="s">
        <v>189</v>
      </c>
      <c r="K689">
        <v>21</v>
      </c>
      <c r="L689" s="63">
        <v>6.8493150684931503E-2</v>
      </c>
      <c r="M689">
        <v>28</v>
      </c>
    </row>
    <row r="690" spans="2:13" x14ac:dyDescent="0.25">
      <c r="B690" s="33">
        <v>1</v>
      </c>
      <c r="C690" t="s">
        <v>0</v>
      </c>
      <c r="D690" t="s">
        <v>65</v>
      </c>
      <c r="E690">
        <v>21</v>
      </c>
      <c r="F690" s="2">
        <v>3.8356164383561597E-2</v>
      </c>
      <c r="H690" s="33">
        <v>1</v>
      </c>
      <c r="I690" t="s">
        <v>0</v>
      </c>
      <c r="J690" t="s">
        <v>65</v>
      </c>
      <c r="K690">
        <v>21</v>
      </c>
      <c r="L690" s="63">
        <v>0.11780821917808219</v>
      </c>
      <c r="M690">
        <v>46</v>
      </c>
    </row>
    <row r="691" spans="2:13" x14ac:dyDescent="0.25">
      <c r="B691" s="33">
        <v>1</v>
      </c>
      <c r="C691" t="s">
        <v>231</v>
      </c>
      <c r="D691" t="s">
        <v>188</v>
      </c>
      <c r="E691">
        <v>21</v>
      </c>
      <c r="F691" s="2">
        <v>2.46575342465753E-2</v>
      </c>
      <c r="H691" s="33">
        <v>1</v>
      </c>
      <c r="I691" t="s">
        <v>231</v>
      </c>
      <c r="J691" t="s">
        <v>188</v>
      </c>
      <c r="K691">
        <v>21</v>
      </c>
      <c r="L691" s="63">
        <v>7.3972602739726029E-2</v>
      </c>
      <c r="M691">
        <v>28</v>
      </c>
    </row>
    <row r="692" spans="2:13" x14ac:dyDescent="0.25">
      <c r="B692" s="33">
        <v>1</v>
      </c>
      <c r="C692" t="s">
        <v>57</v>
      </c>
      <c r="D692" t="s">
        <v>75</v>
      </c>
      <c r="E692">
        <v>22</v>
      </c>
      <c r="F692" s="2">
        <v>1.0958904109589E-2</v>
      </c>
      <c r="H692" s="33">
        <v>1</v>
      </c>
      <c r="I692" t="s">
        <v>57</v>
      </c>
      <c r="J692" t="s">
        <v>75</v>
      </c>
      <c r="K692">
        <v>22</v>
      </c>
      <c r="L692" s="63">
        <v>6.3013698630136991E-2</v>
      </c>
      <c r="M692">
        <v>23</v>
      </c>
    </row>
    <row r="693" spans="2:13" x14ac:dyDescent="0.25">
      <c r="B693" s="33">
        <v>1</v>
      </c>
      <c r="C693" t="s">
        <v>2</v>
      </c>
      <c r="D693" t="s">
        <v>17</v>
      </c>
      <c r="E693">
        <v>23</v>
      </c>
      <c r="F693" s="2">
        <v>5.2054794520547898E-2</v>
      </c>
      <c r="H693" s="33">
        <v>1</v>
      </c>
      <c r="I693" t="s">
        <v>2</v>
      </c>
      <c r="J693" t="s">
        <v>17</v>
      </c>
      <c r="K693">
        <v>23</v>
      </c>
      <c r="L693" s="63">
        <v>6.8493150684931503E-2</v>
      </c>
      <c r="M693">
        <v>29</v>
      </c>
    </row>
    <row r="694" spans="2:13" x14ac:dyDescent="0.25">
      <c r="B694" s="33">
        <v>1</v>
      </c>
      <c r="C694" t="s">
        <v>0</v>
      </c>
      <c r="D694" t="s">
        <v>71</v>
      </c>
      <c r="E694">
        <v>23</v>
      </c>
      <c r="F694" s="2">
        <v>1.9178082191780799E-2</v>
      </c>
      <c r="H694" s="33">
        <v>1</v>
      </c>
      <c r="I694" t="s">
        <v>0</v>
      </c>
      <c r="J694" t="s">
        <v>71</v>
      </c>
      <c r="K694">
        <v>23</v>
      </c>
      <c r="L694" s="63">
        <v>2.4657534246575342E-2</v>
      </c>
      <c r="M694">
        <v>10</v>
      </c>
    </row>
    <row r="695" spans="2:13" x14ac:dyDescent="0.25">
      <c r="B695" s="33">
        <v>1</v>
      </c>
      <c r="C695" t="s">
        <v>2</v>
      </c>
      <c r="D695" t="s">
        <v>36</v>
      </c>
      <c r="E695">
        <v>0</v>
      </c>
      <c r="F695" s="2">
        <v>8.21917808219178E-3</v>
      </c>
      <c r="H695" s="33">
        <v>1</v>
      </c>
      <c r="I695" t="s">
        <v>2</v>
      </c>
      <c r="J695" t="s">
        <v>36</v>
      </c>
      <c r="K695">
        <v>0</v>
      </c>
      <c r="L695" s="63">
        <v>4.1095890410958902E-2</v>
      </c>
      <c r="M695">
        <v>17</v>
      </c>
    </row>
    <row r="696" spans="2:13" x14ac:dyDescent="0.25">
      <c r="B696" s="33">
        <v>1</v>
      </c>
      <c r="C696" t="s">
        <v>57</v>
      </c>
      <c r="D696" t="s">
        <v>67</v>
      </c>
      <c r="E696">
        <v>5</v>
      </c>
      <c r="F696" s="2">
        <v>1.0958904109589E-2</v>
      </c>
      <c r="H696" s="33">
        <v>1</v>
      </c>
      <c r="I696" t="s">
        <v>57</v>
      </c>
      <c r="J696" t="s">
        <v>67</v>
      </c>
      <c r="K696">
        <v>5</v>
      </c>
      <c r="L696" s="63">
        <v>3.8356164383561646E-2</v>
      </c>
      <c r="M696">
        <v>14</v>
      </c>
    </row>
    <row r="697" spans="2:13" x14ac:dyDescent="0.25">
      <c r="B697" s="33">
        <v>1</v>
      </c>
      <c r="C697" t="s">
        <v>231</v>
      </c>
      <c r="D697" t="s">
        <v>190</v>
      </c>
      <c r="E697">
        <v>9</v>
      </c>
      <c r="F697" s="2">
        <v>1.9178082191780799E-2</v>
      </c>
      <c r="H697" s="33">
        <v>1</v>
      </c>
      <c r="I697" t="s">
        <v>231</v>
      </c>
      <c r="J697" t="s">
        <v>190</v>
      </c>
      <c r="K697">
        <v>9</v>
      </c>
      <c r="L697" s="63">
        <v>3.5616438356164383E-2</v>
      </c>
      <c r="M697">
        <v>13</v>
      </c>
    </row>
    <row r="698" spans="2:13" x14ac:dyDescent="0.25">
      <c r="B698" s="33">
        <v>1</v>
      </c>
      <c r="C698" t="s">
        <v>2</v>
      </c>
      <c r="D698" t="s">
        <v>38</v>
      </c>
      <c r="E698">
        <v>9</v>
      </c>
      <c r="F698" s="2">
        <v>8.21917808219178E-3</v>
      </c>
      <c r="H698" s="33">
        <v>1</v>
      </c>
      <c r="I698" t="s">
        <v>2</v>
      </c>
      <c r="J698" t="s">
        <v>38</v>
      </c>
      <c r="K698">
        <v>9</v>
      </c>
      <c r="L698" s="63">
        <v>8.21917808219178E-3</v>
      </c>
      <c r="M698">
        <v>3</v>
      </c>
    </row>
    <row r="699" spans="2:13" x14ac:dyDescent="0.25">
      <c r="B699" s="33">
        <v>1</v>
      </c>
      <c r="C699" t="s">
        <v>2</v>
      </c>
      <c r="D699" t="s">
        <v>36</v>
      </c>
      <c r="E699">
        <v>11</v>
      </c>
      <c r="F699" s="2">
        <v>6.5753424657534199E-2</v>
      </c>
      <c r="H699" s="33">
        <v>1</v>
      </c>
      <c r="I699" t="s">
        <v>2</v>
      </c>
      <c r="J699" t="s">
        <v>36</v>
      </c>
      <c r="K699">
        <v>11</v>
      </c>
      <c r="L699" s="63">
        <v>8.2191780821917804E-2</v>
      </c>
      <c r="M699">
        <v>42</v>
      </c>
    </row>
    <row r="700" spans="2:13" x14ac:dyDescent="0.25">
      <c r="B700" s="33">
        <v>1</v>
      </c>
      <c r="C700" t="s">
        <v>2</v>
      </c>
      <c r="D700" t="s">
        <v>21</v>
      </c>
      <c r="E700">
        <v>11</v>
      </c>
      <c r="F700" s="2">
        <v>3.5616438356164397E-2</v>
      </c>
      <c r="H700" s="33">
        <v>1</v>
      </c>
      <c r="I700" t="s">
        <v>2</v>
      </c>
      <c r="J700" t="s">
        <v>21</v>
      </c>
      <c r="K700">
        <v>11</v>
      </c>
      <c r="L700" s="63">
        <v>4.6575342465753428E-2</v>
      </c>
      <c r="M700">
        <v>23</v>
      </c>
    </row>
    <row r="701" spans="2:13" x14ac:dyDescent="0.25">
      <c r="B701" s="33">
        <v>1</v>
      </c>
      <c r="C701" t="s">
        <v>2</v>
      </c>
      <c r="D701" t="s">
        <v>38</v>
      </c>
      <c r="E701">
        <v>11</v>
      </c>
      <c r="F701" s="2">
        <v>1.0958904109589E-2</v>
      </c>
      <c r="H701" s="33">
        <v>1</v>
      </c>
      <c r="I701" t="s">
        <v>2</v>
      </c>
      <c r="J701" t="s">
        <v>38</v>
      </c>
      <c r="K701">
        <v>11</v>
      </c>
      <c r="L701" s="63">
        <v>1.0958904109589041E-2</v>
      </c>
      <c r="M701">
        <v>4</v>
      </c>
    </row>
    <row r="702" spans="2:13" x14ac:dyDescent="0.25">
      <c r="B702" s="33">
        <v>1</v>
      </c>
      <c r="C702" t="s">
        <v>0</v>
      </c>
      <c r="D702" t="s">
        <v>65</v>
      </c>
      <c r="E702">
        <v>12</v>
      </c>
      <c r="F702" s="2">
        <v>5.75342465753425E-2</v>
      </c>
      <c r="H702" s="33">
        <v>1</v>
      </c>
      <c r="I702" t="s">
        <v>0</v>
      </c>
      <c r="J702" t="s">
        <v>65</v>
      </c>
      <c r="K702">
        <v>12</v>
      </c>
      <c r="L702" s="63">
        <v>5.4794520547945202E-2</v>
      </c>
      <c r="M702">
        <v>24</v>
      </c>
    </row>
    <row r="703" spans="2:13" x14ac:dyDescent="0.25">
      <c r="B703" s="33">
        <v>1</v>
      </c>
      <c r="C703" t="s">
        <v>2</v>
      </c>
      <c r="D703" t="s">
        <v>26</v>
      </c>
      <c r="E703">
        <v>13</v>
      </c>
      <c r="F703" s="2">
        <v>7.6712328767123306E-2</v>
      </c>
      <c r="H703" s="33">
        <v>1</v>
      </c>
      <c r="I703" t="s">
        <v>2</v>
      </c>
      <c r="J703" t="s">
        <v>26</v>
      </c>
      <c r="K703">
        <v>13</v>
      </c>
      <c r="L703" s="63">
        <v>0.12602739726027398</v>
      </c>
      <c r="M703">
        <v>52</v>
      </c>
    </row>
    <row r="704" spans="2:13" x14ac:dyDescent="0.25">
      <c r="B704" s="33">
        <v>1</v>
      </c>
      <c r="C704" t="s">
        <v>2</v>
      </c>
      <c r="D704" t="s">
        <v>19</v>
      </c>
      <c r="E704">
        <v>13</v>
      </c>
      <c r="F704" s="2">
        <v>5.4794520547945202E-2</v>
      </c>
      <c r="H704" s="33">
        <v>1</v>
      </c>
      <c r="I704" t="s">
        <v>2</v>
      </c>
      <c r="J704" t="s">
        <v>19</v>
      </c>
      <c r="K704">
        <v>13</v>
      </c>
      <c r="L704" s="63">
        <v>8.2191780821917804E-2</v>
      </c>
      <c r="M704">
        <v>42</v>
      </c>
    </row>
    <row r="705" spans="2:13" x14ac:dyDescent="0.25">
      <c r="B705" s="33">
        <v>1</v>
      </c>
      <c r="C705" t="s">
        <v>231</v>
      </c>
      <c r="D705" t="s">
        <v>189</v>
      </c>
      <c r="E705">
        <v>14</v>
      </c>
      <c r="F705" s="2">
        <v>5.75342465753425E-2</v>
      </c>
      <c r="H705" s="33">
        <v>1</v>
      </c>
      <c r="I705" t="s">
        <v>231</v>
      </c>
      <c r="J705" t="s">
        <v>189</v>
      </c>
      <c r="K705">
        <v>14</v>
      </c>
      <c r="L705" s="63">
        <v>0.13698630136986301</v>
      </c>
      <c r="M705">
        <v>61</v>
      </c>
    </row>
    <row r="706" spans="2:13" x14ac:dyDescent="0.25">
      <c r="B706" s="33">
        <v>1</v>
      </c>
      <c r="C706" t="s">
        <v>2</v>
      </c>
      <c r="D706" t="s">
        <v>26</v>
      </c>
      <c r="E706">
        <v>14</v>
      </c>
      <c r="F706" s="2">
        <v>9.0410958904109606E-2</v>
      </c>
      <c r="H706" s="33">
        <v>1</v>
      </c>
      <c r="I706" t="s">
        <v>2</v>
      </c>
      <c r="J706" t="s">
        <v>26</v>
      </c>
      <c r="K706">
        <v>14</v>
      </c>
      <c r="L706" s="63">
        <v>0.13972602739726028</v>
      </c>
      <c r="M706">
        <v>56</v>
      </c>
    </row>
    <row r="707" spans="2:13" x14ac:dyDescent="0.25">
      <c r="B707" s="33">
        <v>1</v>
      </c>
      <c r="C707" t="s">
        <v>57</v>
      </c>
      <c r="D707" t="s">
        <v>66</v>
      </c>
      <c r="E707">
        <v>15</v>
      </c>
      <c r="F707" s="2">
        <v>8.7671232876712302E-2</v>
      </c>
      <c r="H707" s="33">
        <v>1</v>
      </c>
      <c r="I707" t="s">
        <v>57</v>
      </c>
      <c r="J707" t="s">
        <v>66</v>
      </c>
      <c r="K707">
        <v>15</v>
      </c>
      <c r="L707" s="63">
        <v>0.11506849315068493</v>
      </c>
      <c r="M707">
        <v>50</v>
      </c>
    </row>
    <row r="708" spans="2:13" x14ac:dyDescent="0.25">
      <c r="B708" s="33">
        <v>1</v>
      </c>
      <c r="C708" t="s">
        <v>0</v>
      </c>
      <c r="D708" t="s">
        <v>79</v>
      </c>
      <c r="E708">
        <v>16</v>
      </c>
      <c r="F708" s="2">
        <v>1.3698630136986301E-2</v>
      </c>
      <c r="H708" s="33">
        <v>1</v>
      </c>
      <c r="I708" t="s">
        <v>0</v>
      </c>
      <c r="J708" t="s">
        <v>79</v>
      </c>
      <c r="K708">
        <v>16</v>
      </c>
      <c r="L708" s="63">
        <v>2.1917808219178082E-2</v>
      </c>
      <c r="M708">
        <v>9</v>
      </c>
    </row>
    <row r="709" spans="2:13" x14ac:dyDescent="0.25">
      <c r="B709" s="33">
        <v>1</v>
      </c>
      <c r="C709" t="s">
        <v>231</v>
      </c>
      <c r="D709" t="s">
        <v>186</v>
      </c>
      <c r="E709">
        <v>17</v>
      </c>
      <c r="F709" s="2">
        <v>4.9315068493150697E-2</v>
      </c>
      <c r="H709" s="33">
        <v>1</v>
      </c>
      <c r="I709" t="s">
        <v>231</v>
      </c>
      <c r="J709" t="s">
        <v>186</v>
      </c>
      <c r="K709">
        <v>17</v>
      </c>
      <c r="L709" s="63">
        <v>0.14246575342465753</v>
      </c>
      <c r="M709">
        <v>58</v>
      </c>
    </row>
    <row r="710" spans="2:13" x14ac:dyDescent="0.25">
      <c r="B710" s="33">
        <v>1</v>
      </c>
      <c r="C710" t="s">
        <v>0</v>
      </c>
      <c r="D710" t="s">
        <v>65</v>
      </c>
      <c r="E710">
        <v>19</v>
      </c>
      <c r="F710" s="2">
        <v>9.0410958904109606E-2</v>
      </c>
      <c r="H710" s="33">
        <v>1</v>
      </c>
      <c r="I710" t="s">
        <v>0</v>
      </c>
      <c r="J710" t="s">
        <v>65</v>
      </c>
      <c r="K710">
        <v>19</v>
      </c>
      <c r="L710" s="63">
        <v>0.15616438356164383</v>
      </c>
      <c r="M710">
        <v>79</v>
      </c>
    </row>
    <row r="711" spans="2:13" x14ac:dyDescent="0.25">
      <c r="B711" s="33">
        <v>1</v>
      </c>
      <c r="C711" t="s">
        <v>59</v>
      </c>
      <c r="D711" t="s">
        <v>63</v>
      </c>
      <c r="E711">
        <v>19</v>
      </c>
      <c r="F711" s="2">
        <v>6.02739726027397E-2</v>
      </c>
      <c r="H711" s="33">
        <v>1</v>
      </c>
      <c r="I711" t="s">
        <v>59</v>
      </c>
      <c r="J711" t="s">
        <v>63</v>
      </c>
      <c r="K711">
        <v>19</v>
      </c>
      <c r="L711" s="63">
        <v>0.18630136986301371</v>
      </c>
      <c r="M711">
        <v>71</v>
      </c>
    </row>
    <row r="712" spans="2:13" x14ac:dyDescent="0.25">
      <c r="B712" s="33">
        <v>1</v>
      </c>
      <c r="C712" t="s">
        <v>0</v>
      </c>
      <c r="D712" t="s">
        <v>65</v>
      </c>
      <c r="E712">
        <v>20</v>
      </c>
      <c r="F712" s="2">
        <v>7.1232876712328794E-2</v>
      </c>
      <c r="H712" s="33">
        <v>1</v>
      </c>
      <c r="I712" t="s">
        <v>0</v>
      </c>
      <c r="J712" t="s">
        <v>65</v>
      </c>
      <c r="K712">
        <v>20</v>
      </c>
      <c r="L712" s="63">
        <v>6.3013698630136991E-2</v>
      </c>
      <c r="M712">
        <v>28</v>
      </c>
    </row>
    <row r="713" spans="2:13" x14ac:dyDescent="0.25">
      <c r="B713" s="33">
        <v>1</v>
      </c>
      <c r="C713" t="s">
        <v>231</v>
      </c>
      <c r="D713" t="s">
        <v>190</v>
      </c>
      <c r="E713">
        <v>20</v>
      </c>
      <c r="F713" s="2">
        <v>1.3698630136986301E-2</v>
      </c>
      <c r="H713" s="33">
        <v>1</v>
      </c>
      <c r="I713" t="s">
        <v>231</v>
      </c>
      <c r="J713" t="s">
        <v>190</v>
      </c>
      <c r="K713">
        <v>20</v>
      </c>
      <c r="L713" s="63">
        <v>1.9178082191780823E-2</v>
      </c>
      <c r="M713">
        <v>7</v>
      </c>
    </row>
    <row r="714" spans="2:13" x14ac:dyDescent="0.25">
      <c r="B714" s="33">
        <v>1</v>
      </c>
      <c r="C714" t="s">
        <v>2</v>
      </c>
      <c r="D714" t="s">
        <v>32</v>
      </c>
      <c r="E714">
        <v>21</v>
      </c>
      <c r="F714" s="2">
        <v>5.4794520547945197E-3</v>
      </c>
      <c r="H714" s="33">
        <v>1</v>
      </c>
      <c r="I714" t="s">
        <v>2</v>
      </c>
      <c r="J714" t="s">
        <v>32</v>
      </c>
      <c r="K714">
        <v>21</v>
      </c>
      <c r="L714" s="63">
        <v>1.0958904109589041E-2</v>
      </c>
      <c r="M714">
        <v>4</v>
      </c>
    </row>
    <row r="715" spans="2:13" x14ac:dyDescent="0.25">
      <c r="B715" s="33">
        <v>1</v>
      </c>
      <c r="C715" t="s">
        <v>2</v>
      </c>
      <c r="D715" t="s">
        <v>36</v>
      </c>
      <c r="E715">
        <v>22</v>
      </c>
      <c r="F715" s="2">
        <v>4.65753424657534E-2</v>
      </c>
      <c r="H715" s="33">
        <v>1</v>
      </c>
      <c r="I715" t="s">
        <v>2</v>
      </c>
      <c r="J715" t="s">
        <v>36</v>
      </c>
      <c r="K715">
        <v>22</v>
      </c>
      <c r="L715" s="63">
        <v>6.575342465753424E-2</v>
      </c>
      <c r="M715">
        <v>29</v>
      </c>
    </row>
    <row r="716" spans="2:13" x14ac:dyDescent="0.25">
      <c r="B716" s="33">
        <v>1</v>
      </c>
      <c r="C716" t="s">
        <v>57</v>
      </c>
      <c r="D716" t="s">
        <v>58</v>
      </c>
      <c r="E716">
        <v>22</v>
      </c>
      <c r="F716" s="2">
        <v>5.2054794520547898E-2</v>
      </c>
      <c r="H716" s="33">
        <v>1</v>
      </c>
      <c r="I716" t="s">
        <v>57</v>
      </c>
      <c r="J716" t="s">
        <v>58</v>
      </c>
      <c r="K716">
        <v>22</v>
      </c>
      <c r="L716" s="63">
        <v>0.12602739726027398</v>
      </c>
      <c r="M716">
        <v>53</v>
      </c>
    </row>
    <row r="717" spans="2:13" x14ac:dyDescent="0.25">
      <c r="B717" s="33">
        <v>1</v>
      </c>
      <c r="C717" t="s">
        <v>59</v>
      </c>
      <c r="D717" t="s">
        <v>63</v>
      </c>
      <c r="E717">
        <v>0</v>
      </c>
      <c r="F717" s="2">
        <v>2.19178082191781E-2</v>
      </c>
      <c r="H717" s="33">
        <v>1</v>
      </c>
      <c r="I717" t="s">
        <v>59</v>
      </c>
      <c r="J717" t="s">
        <v>63</v>
      </c>
      <c r="K717">
        <v>0</v>
      </c>
      <c r="L717" s="63">
        <v>4.1095890410958902E-2</v>
      </c>
      <c r="M717">
        <v>15</v>
      </c>
    </row>
    <row r="718" spans="2:13" x14ac:dyDescent="0.25">
      <c r="B718" s="33">
        <v>1</v>
      </c>
      <c r="C718" t="s">
        <v>0</v>
      </c>
      <c r="D718" t="s">
        <v>65</v>
      </c>
      <c r="E718">
        <v>1</v>
      </c>
      <c r="F718" s="2">
        <v>1.0958904109589E-2</v>
      </c>
      <c r="H718" s="33">
        <v>1</v>
      </c>
      <c r="I718" t="s">
        <v>0</v>
      </c>
      <c r="J718" t="s">
        <v>65</v>
      </c>
      <c r="K718">
        <v>1</v>
      </c>
      <c r="L718" s="63">
        <v>1.3698630136986301E-2</v>
      </c>
      <c r="M718">
        <v>5</v>
      </c>
    </row>
    <row r="719" spans="2:13" x14ac:dyDescent="0.25">
      <c r="B719" s="33">
        <v>1</v>
      </c>
      <c r="C719" t="s">
        <v>0</v>
      </c>
      <c r="D719" t="s">
        <v>70</v>
      </c>
      <c r="E719">
        <v>1</v>
      </c>
      <c r="F719" s="2">
        <v>2.7397260273972599E-3</v>
      </c>
      <c r="H719" s="33">
        <v>1</v>
      </c>
      <c r="I719" t="s">
        <v>0</v>
      </c>
      <c r="J719" t="s">
        <v>70</v>
      </c>
      <c r="K719">
        <v>1</v>
      </c>
      <c r="L719" s="63">
        <v>3.0136986301369864E-2</v>
      </c>
      <c r="M719">
        <v>11</v>
      </c>
    </row>
    <row r="720" spans="2:13" x14ac:dyDescent="0.25">
      <c r="B720" s="33">
        <v>1</v>
      </c>
      <c r="C720" t="s">
        <v>0</v>
      </c>
      <c r="D720" t="s">
        <v>62</v>
      </c>
      <c r="E720">
        <v>4</v>
      </c>
      <c r="F720" s="2">
        <v>2.7397260273972599E-3</v>
      </c>
      <c r="H720" s="33">
        <v>1</v>
      </c>
      <c r="I720" t="s">
        <v>0</v>
      </c>
      <c r="J720" t="s">
        <v>62</v>
      </c>
      <c r="K720">
        <v>4</v>
      </c>
      <c r="L720" s="63">
        <v>8.21917808219178E-3</v>
      </c>
      <c r="M720">
        <v>3</v>
      </c>
    </row>
    <row r="721" spans="2:13" x14ac:dyDescent="0.25">
      <c r="B721" s="33">
        <v>1</v>
      </c>
      <c r="C721" t="s">
        <v>231</v>
      </c>
      <c r="D721" t="s">
        <v>185</v>
      </c>
      <c r="E721">
        <v>4</v>
      </c>
      <c r="F721" s="2">
        <v>2.46575342465753E-2</v>
      </c>
      <c r="H721" s="33">
        <v>1</v>
      </c>
      <c r="I721" t="s">
        <v>231</v>
      </c>
      <c r="J721" t="s">
        <v>185</v>
      </c>
      <c r="K721">
        <v>4</v>
      </c>
      <c r="L721" s="63">
        <v>5.4794520547945202E-2</v>
      </c>
      <c r="M721">
        <v>22</v>
      </c>
    </row>
    <row r="722" spans="2:13" x14ac:dyDescent="0.25">
      <c r="B722" s="33">
        <v>1</v>
      </c>
      <c r="C722" t="s">
        <v>0</v>
      </c>
      <c r="D722" t="s">
        <v>65</v>
      </c>
      <c r="E722">
        <v>4</v>
      </c>
      <c r="F722" s="2">
        <v>8.21917808219178E-3</v>
      </c>
      <c r="H722" s="33">
        <v>1</v>
      </c>
      <c r="I722" t="s">
        <v>0</v>
      </c>
      <c r="J722" t="s">
        <v>65</v>
      </c>
      <c r="K722">
        <v>4</v>
      </c>
      <c r="L722" s="63">
        <v>5.4794520547945206E-3</v>
      </c>
      <c r="M722">
        <v>3</v>
      </c>
    </row>
    <row r="723" spans="2:13" x14ac:dyDescent="0.25">
      <c r="B723" s="33">
        <v>1</v>
      </c>
      <c r="C723" t="s">
        <v>307</v>
      </c>
      <c r="D723" t="s">
        <v>310</v>
      </c>
      <c r="E723">
        <v>10</v>
      </c>
      <c r="F723" s="2">
        <v>5.2054794520547898E-2</v>
      </c>
      <c r="H723" s="33">
        <v>1</v>
      </c>
      <c r="I723" t="s">
        <v>307</v>
      </c>
      <c r="J723" t="s">
        <v>310</v>
      </c>
      <c r="K723">
        <v>10</v>
      </c>
      <c r="L723" s="63">
        <v>5.2054794520547946E-2</v>
      </c>
      <c r="M723">
        <v>19</v>
      </c>
    </row>
    <row r="724" spans="2:13" x14ac:dyDescent="0.25">
      <c r="B724" s="33">
        <v>1</v>
      </c>
      <c r="C724" t="s">
        <v>2</v>
      </c>
      <c r="D724" t="s">
        <v>19</v>
      </c>
      <c r="E724">
        <v>11</v>
      </c>
      <c r="F724" s="2">
        <v>5.75342465753425E-2</v>
      </c>
      <c r="H724" s="33">
        <v>1</v>
      </c>
      <c r="I724" t="s">
        <v>2</v>
      </c>
      <c r="J724" t="s">
        <v>19</v>
      </c>
      <c r="K724">
        <v>11</v>
      </c>
      <c r="L724" s="63">
        <v>9.8630136986301367E-2</v>
      </c>
      <c r="M724">
        <v>45</v>
      </c>
    </row>
    <row r="725" spans="2:13" x14ac:dyDescent="0.25">
      <c r="B725" s="33">
        <v>1</v>
      </c>
      <c r="C725" t="s">
        <v>276</v>
      </c>
      <c r="D725" t="s">
        <v>289</v>
      </c>
      <c r="E725">
        <v>11</v>
      </c>
      <c r="F725" s="2">
        <v>3.0136986301369899E-2</v>
      </c>
      <c r="H725" s="33">
        <v>1</v>
      </c>
      <c r="I725" t="s">
        <v>276</v>
      </c>
      <c r="J725" t="s">
        <v>289</v>
      </c>
      <c r="K725">
        <v>11</v>
      </c>
      <c r="L725" s="63">
        <v>2.7397260273972601E-2</v>
      </c>
      <c r="M725">
        <v>11</v>
      </c>
    </row>
    <row r="726" spans="2:13" x14ac:dyDescent="0.25">
      <c r="B726" s="33">
        <v>1</v>
      </c>
      <c r="C726" t="s">
        <v>0</v>
      </c>
      <c r="D726" t="s">
        <v>79</v>
      </c>
      <c r="E726">
        <v>12</v>
      </c>
      <c r="F726" s="2">
        <v>8.21917808219178E-3</v>
      </c>
      <c r="H726" s="33">
        <v>1</v>
      </c>
      <c r="I726" t="s">
        <v>0</v>
      </c>
      <c r="J726" t="s">
        <v>79</v>
      </c>
      <c r="K726">
        <v>12</v>
      </c>
      <c r="L726" s="63">
        <v>2.1917808219178082E-2</v>
      </c>
      <c r="M726">
        <v>8</v>
      </c>
    </row>
    <row r="727" spans="2:13" x14ac:dyDescent="0.25">
      <c r="B727" s="33">
        <v>1</v>
      </c>
      <c r="C727" t="s">
        <v>0</v>
      </c>
      <c r="D727" t="s">
        <v>65</v>
      </c>
      <c r="E727">
        <v>14</v>
      </c>
      <c r="F727" s="2">
        <v>5.4794520547945202E-2</v>
      </c>
      <c r="H727" s="33">
        <v>1</v>
      </c>
      <c r="I727" t="s">
        <v>0</v>
      </c>
      <c r="J727" t="s">
        <v>65</v>
      </c>
      <c r="K727">
        <v>14</v>
      </c>
      <c r="L727" s="63">
        <v>7.9452054794520555E-2</v>
      </c>
      <c r="M727">
        <v>35</v>
      </c>
    </row>
    <row r="728" spans="2:13" x14ac:dyDescent="0.25">
      <c r="B728" s="33">
        <v>1</v>
      </c>
      <c r="C728" t="s">
        <v>0</v>
      </c>
      <c r="D728" t="s">
        <v>64</v>
      </c>
      <c r="E728">
        <v>14</v>
      </c>
      <c r="F728" s="2">
        <v>6.8493150684931503E-2</v>
      </c>
      <c r="H728" s="33">
        <v>1</v>
      </c>
      <c r="I728" t="s">
        <v>0</v>
      </c>
      <c r="J728" t="s">
        <v>64</v>
      </c>
      <c r="K728">
        <v>14</v>
      </c>
      <c r="L728" s="63">
        <v>0.12328767123287671</v>
      </c>
      <c r="M728">
        <v>48</v>
      </c>
    </row>
    <row r="729" spans="2:13" x14ac:dyDescent="0.25">
      <c r="B729" s="33">
        <v>1</v>
      </c>
      <c r="C729" t="s">
        <v>57</v>
      </c>
      <c r="D729" t="s">
        <v>77</v>
      </c>
      <c r="E729">
        <v>16</v>
      </c>
      <c r="F729" s="2">
        <v>1.0958904109589E-2</v>
      </c>
      <c r="H729" s="33">
        <v>1</v>
      </c>
      <c r="I729" t="s">
        <v>57</v>
      </c>
      <c r="J729" t="s">
        <v>77</v>
      </c>
      <c r="K729">
        <v>16</v>
      </c>
      <c r="L729" s="63">
        <v>3.5616438356164383E-2</v>
      </c>
      <c r="M729">
        <v>14</v>
      </c>
    </row>
    <row r="730" spans="2:13" x14ac:dyDescent="0.25">
      <c r="B730" s="33">
        <v>1</v>
      </c>
      <c r="C730" t="s">
        <v>0</v>
      </c>
      <c r="D730" t="s">
        <v>64</v>
      </c>
      <c r="E730">
        <v>16</v>
      </c>
      <c r="F730" s="2">
        <v>5.75342465753425E-2</v>
      </c>
      <c r="H730" s="33">
        <v>1</v>
      </c>
      <c r="I730" t="s">
        <v>0</v>
      </c>
      <c r="J730" t="s">
        <v>64</v>
      </c>
      <c r="K730">
        <v>16</v>
      </c>
      <c r="L730" s="63">
        <v>0.15068493150684931</v>
      </c>
      <c r="M730">
        <v>65</v>
      </c>
    </row>
    <row r="731" spans="2:13" x14ac:dyDescent="0.25">
      <c r="B731" s="33">
        <v>1</v>
      </c>
      <c r="C731" t="s">
        <v>2</v>
      </c>
      <c r="D731" t="s">
        <v>317</v>
      </c>
      <c r="E731">
        <v>17</v>
      </c>
      <c r="F731" s="2">
        <v>0.123287671232877</v>
      </c>
      <c r="H731" s="33">
        <v>1</v>
      </c>
      <c r="I731" t="s">
        <v>2</v>
      </c>
      <c r="J731" t="s">
        <v>317</v>
      </c>
      <c r="K731">
        <v>17</v>
      </c>
      <c r="L731" s="63">
        <v>0.10410958904109589</v>
      </c>
      <c r="M731">
        <v>45</v>
      </c>
    </row>
    <row r="732" spans="2:13" x14ac:dyDescent="0.25">
      <c r="B732" s="33">
        <v>1</v>
      </c>
      <c r="C732" t="s">
        <v>0</v>
      </c>
      <c r="D732" t="s">
        <v>61</v>
      </c>
      <c r="E732">
        <v>19</v>
      </c>
      <c r="F732" s="2">
        <v>0.115068493150685</v>
      </c>
      <c r="H732" s="33">
        <v>1</v>
      </c>
      <c r="I732" t="s">
        <v>0</v>
      </c>
      <c r="J732" t="s">
        <v>61</v>
      </c>
      <c r="K732">
        <v>19</v>
      </c>
      <c r="L732" s="63">
        <v>0.14794520547945206</v>
      </c>
      <c r="M732">
        <v>66</v>
      </c>
    </row>
    <row r="733" spans="2:13" x14ac:dyDescent="0.25">
      <c r="B733" s="33">
        <v>1</v>
      </c>
      <c r="C733" t="s">
        <v>231</v>
      </c>
      <c r="D733" t="s">
        <v>186</v>
      </c>
      <c r="E733">
        <v>22</v>
      </c>
      <c r="F733" s="2">
        <v>1.6438356164383602E-2</v>
      </c>
      <c r="H733" s="33">
        <v>1</v>
      </c>
      <c r="I733" t="s">
        <v>231</v>
      </c>
      <c r="J733" t="s">
        <v>186</v>
      </c>
      <c r="K733">
        <v>22</v>
      </c>
      <c r="L733" s="63">
        <v>3.5616438356164383E-2</v>
      </c>
      <c r="M733">
        <v>14</v>
      </c>
    </row>
    <row r="734" spans="2:13" x14ac:dyDescent="0.25">
      <c r="B734" s="33">
        <v>1</v>
      </c>
      <c r="C734" t="s">
        <v>276</v>
      </c>
      <c r="D734" t="s">
        <v>318</v>
      </c>
      <c r="E734">
        <v>1</v>
      </c>
      <c r="F734" s="2">
        <v>8.21917808219178E-3</v>
      </c>
      <c r="H734" s="33">
        <v>1</v>
      </c>
      <c r="I734" t="s">
        <v>276</v>
      </c>
      <c r="J734" t="s">
        <v>318</v>
      </c>
      <c r="K734">
        <v>1</v>
      </c>
      <c r="L734" s="63">
        <v>8.21917808219178E-3</v>
      </c>
      <c r="M734">
        <v>3</v>
      </c>
    </row>
    <row r="735" spans="2:13" x14ac:dyDescent="0.25">
      <c r="B735" s="33">
        <v>1</v>
      </c>
      <c r="C735" t="s">
        <v>0</v>
      </c>
      <c r="D735" t="s">
        <v>56</v>
      </c>
      <c r="E735">
        <v>3</v>
      </c>
      <c r="F735" s="2">
        <v>1.6438356164383602E-2</v>
      </c>
      <c r="H735" s="33">
        <v>1</v>
      </c>
      <c r="I735" t="s">
        <v>0</v>
      </c>
      <c r="J735" t="s">
        <v>56</v>
      </c>
      <c r="K735">
        <v>3</v>
      </c>
      <c r="L735" s="63">
        <v>3.0136986301369864E-2</v>
      </c>
      <c r="M735">
        <v>13</v>
      </c>
    </row>
    <row r="736" spans="2:13" x14ac:dyDescent="0.25">
      <c r="B736" s="33">
        <v>1</v>
      </c>
      <c r="C736" t="s">
        <v>59</v>
      </c>
      <c r="D736" t="s">
        <v>68</v>
      </c>
      <c r="E736">
        <v>5</v>
      </c>
      <c r="F736" s="2">
        <v>1.0958904109589E-2</v>
      </c>
      <c r="H736" s="33">
        <v>1</v>
      </c>
      <c r="I736" t="s">
        <v>59</v>
      </c>
      <c r="J736" t="s">
        <v>68</v>
      </c>
      <c r="K736">
        <v>5</v>
      </c>
      <c r="L736" s="63">
        <v>2.7397260273972601E-2</v>
      </c>
      <c r="M736">
        <v>10</v>
      </c>
    </row>
    <row r="737" spans="2:13" x14ac:dyDescent="0.25">
      <c r="B737" s="33">
        <v>1</v>
      </c>
      <c r="C737" t="s">
        <v>59</v>
      </c>
      <c r="D737" t="s">
        <v>63</v>
      </c>
      <c r="E737">
        <v>6</v>
      </c>
      <c r="F737" s="2">
        <v>3.5616438356164397E-2</v>
      </c>
      <c r="H737" s="33">
        <v>1</v>
      </c>
      <c r="I737" t="s">
        <v>59</v>
      </c>
      <c r="J737" t="s">
        <v>63</v>
      </c>
      <c r="K737">
        <v>6</v>
      </c>
      <c r="L737" s="63">
        <v>6.3013698630136991E-2</v>
      </c>
      <c r="M737">
        <v>33</v>
      </c>
    </row>
    <row r="738" spans="2:13" x14ac:dyDescent="0.25">
      <c r="B738" s="33">
        <v>1</v>
      </c>
      <c r="C738" t="s">
        <v>307</v>
      </c>
      <c r="D738" t="s">
        <v>394</v>
      </c>
      <c r="E738">
        <v>6</v>
      </c>
      <c r="F738" s="2">
        <v>8.21917808219178E-3</v>
      </c>
      <c r="H738" s="33">
        <v>1</v>
      </c>
      <c r="I738" t="s">
        <v>307</v>
      </c>
      <c r="J738" t="s">
        <v>314</v>
      </c>
      <c r="K738">
        <v>6</v>
      </c>
      <c r="L738" s="63">
        <v>8.21917808219178E-3</v>
      </c>
      <c r="M738">
        <v>3</v>
      </c>
    </row>
    <row r="739" spans="2:13" x14ac:dyDescent="0.25">
      <c r="B739" s="33">
        <v>1</v>
      </c>
      <c r="C739" t="s">
        <v>57</v>
      </c>
      <c r="D739" t="s">
        <v>74</v>
      </c>
      <c r="E739">
        <v>7</v>
      </c>
      <c r="F739" s="2">
        <v>4.9315068493150697E-2</v>
      </c>
      <c r="H739" s="33">
        <v>1</v>
      </c>
      <c r="I739" t="s">
        <v>57</v>
      </c>
      <c r="J739" t="s">
        <v>74</v>
      </c>
      <c r="K739">
        <v>7</v>
      </c>
      <c r="L739" s="63">
        <v>6.3013698630136991E-2</v>
      </c>
      <c r="M739">
        <v>27</v>
      </c>
    </row>
    <row r="740" spans="2:13" x14ac:dyDescent="0.25">
      <c r="B740" s="33">
        <v>1</v>
      </c>
      <c r="C740" t="s">
        <v>2</v>
      </c>
      <c r="D740" t="s">
        <v>37</v>
      </c>
      <c r="E740">
        <v>7</v>
      </c>
      <c r="F740" s="2">
        <v>1.3698630136986301E-2</v>
      </c>
      <c r="H740" s="33">
        <v>1</v>
      </c>
      <c r="I740" t="s">
        <v>2</v>
      </c>
      <c r="J740" t="s">
        <v>37</v>
      </c>
      <c r="K740">
        <v>7</v>
      </c>
      <c r="L740" s="63">
        <v>3.287671232876712E-2</v>
      </c>
      <c r="M740">
        <v>13</v>
      </c>
    </row>
    <row r="741" spans="2:13" x14ac:dyDescent="0.25">
      <c r="B741" s="33">
        <v>1</v>
      </c>
      <c r="C741" t="s">
        <v>307</v>
      </c>
      <c r="D741" t="s">
        <v>393</v>
      </c>
      <c r="E741">
        <v>10</v>
      </c>
      <c r="F741" s="2">
        <v>0.150684931506849</v>
      </c>
      <c r="H741" s="33">
        <v>1</v>
      </c>
      <c r="I741" t="s">
        <v>307</v>
      </c>
      <c r="J741" t="s">
        <v>393</v>
      </c>
      <c r="K741">
        <v>10</v>
      </c>
      <c r="L741" s="63">
        <v>0.12054794520547946</v>
      </c>
      <c r="M741">
        <v>55</v>
      </c>
    </row>
    <row r="742" spans="2:13" x14ac:dyDescent="0.25">
      <c r="B742" s="33">
        <v>1</v>
      </c>
      <c r="C742" t="s">
        <v>57</v>
      </c>
      <c r="D742" t="s">
        <v>69</v>
      </c>
      <c r="E742">
        <v>10</v>
      </c>
      <c r="F742" s="2">
        <v>3.5616438356164397E-2</v>
      </c>
      <c r="H742" s="33">
        <v>1</v>
      </c>
      <c r="I742" t="s">
        <v>57</v>
      </c>
      <c r="J742" t="s">
        <v>69</v>
      </c>
      <c r="K742">
        <v>10</v>
      </c>
      <c r="L742" s="63">
        <v>0.10684931506849316</v>
      </c>
      <c r="M742">
        <v>43</v>
      </c>
    </row>
    <row r="743" spans="2:13" x14ac:dyDescent="0.25">
      <c r="B743" s="33">
        <v>1</v>
      </c>
      <c r="C743" t="s">
        <v>307</v>
      </c>
      <c r="D743" t="s">
        <v>313</v>
      </c>
      <c r="E743">
        <v>11</v>
      </c>
      <c r="F743" s="2">
        <v>3.8356164383561597E-2</v>
      </c>
      <c r="H743" s="33">
        <v>1</v>
      </c>
      <c r="I743" t="s">
        <v>307</v>
      </c>
      <c r="J743" t="s">
        <v>313</v>
      </c>
      <c r="K743">
        <v>11</v>
      </c>
      <c r="L743" s="63">
        <v>3.8356164383561646E-2</v>
      </c>
      <c r="M743">
        <v>14</v>
      </c>
    </row>
    <row r="744" spans="2:13" x14ac:dyDescent="0.25">
      <c r="B744" s="33">
        <v>1</v>
      </c>
      <c r="C744" t="s">
        <v>276</v>
      </c>
      <c r="D744" t="s">
        <v>319</v>
      </c>
      <c r="E744">
        <v>11</v>
      </c>
      <c r="F744" s="2">
        <v>2.19178082191781E-2</v>
      </c>
      <c r="H744" s="33">
        <v>1</v>
      </c>
      <c r="I744" t="s">
        <v>276</v>
      </c>
      <c r="J744" t="s">
        <v>319</v>
      </c>
      <c r="K744">
        <v>11</v>
      </c>
      <c r="L744" s="63">
        <v>1.643835616438356E-2</v>
      </c>
      <c r="M744">
        <v>8</v>
      </c>
    </row>
    <row r="745" spans="2:13" x14ac:dyDescent="0.25">
      <c r="B745" s="33">
        <v>1</v>
      </c>
      <c r="C745" t="s">
        <v>0</v>
      </c>
      <c r="D745" t="s">
        <v>61</v>
      </c>
      <c r="E745">
        <v>12</v>
      </c>
      <c r="F745" s="2">
        <v>8.2191780821917804E-2</v>
      </c>
      <c r="H745" s="33">
        <v>1</v>
      </c>
      <c r="I745" t="s">
        <v>0</v>
      </c>
      <c r="J745" t="s">
        <v>61</v>
      </c>
      <c r="K745">
        <v>12</v>
      </c>
      <c r="L745" s="63">
        <v>0.10136986301369863</v>
      </c>
      <c r="M745">
        <v>47</v>
      </c>
    </row>
    <row r="746" spans="2:13" x14ac:dyDescent="0.25">
      <c r="B746" s="33">
        <v>1</v>
      </c>
      <c r="C746" t="s">
        <v>292</v>
      </c>
      <c r="D746" t="s">
        <v>321</v>
      </c>
      <c r="E746">
        <v>13</v>
      </c>
      <c r="F746" s="2">
        <v>5.75342465753425E-2</v>
      </c>
      <c r="H746" s="33">
        <v>1</v>
      </c>
      <c r="I746" t="s">
        <v>292</v>
      </c>
      <c r="J746" t="s">
        <v>321</v>
      </c>
      <c r="K746">
        <v>13</v>
      </c>
      <c r="L746" s="63">
        <v>5.4794520547945202E-2</v>
      </c>
      <c r="M746">
        <v>21</v>
      </c>
    </row>
    <row r="747" spans="2:13" x14ac:dyDescent="0.25">
      <c r="B747" s="33">
        <v>1</v>
      </c>
      <c r="C747" t="s">
        <v>2</v>
      </c>
      <c r="D747" t="s">
        <v>38</v>
      </c>
      <c r="E747">
        <v>18</v>
      </c>
      <c r="F747" s="2">
        <v>0</v>
      </c>
      <c r="H747" s="33">
        <v>1</v>
      </c>
      <c r="I747" t="s">
        <v>2</v>
      </c>
      <c r="J747" t="s">
        <v>38</v>
      </c>
      <c r="K747">
        <v>18</v>
      </c>
      <c r="L747" s="63">
        <v>2.1917808219178082E-2</v>
      </c>
      <c r="M747">
        <v>10</v>
      </c>
    </row>
    <row r="748" spans="2:13" x14ac:dyDescent="0.25">
      <c r="B748" s="33">
        <v>1</v>
      </c>
      <c r="C748" t="s">
        <v>59</v>
      </c>
      <c r="D748" t="s">
        <v>63</v>
      </c>
      <c r="E748">
        <v>21</v>
      </c>
      <c r="F748" s="2">
        <v>5.2054794520547898E-2</v>
      </c>
      <c r="H748" s="33">
        <v>1</v>
      </c>
      <c r="I748" t="s">
        <v>59</v>
      </c>
      <c r="J748" t="s">
        <v>63</v>
      </c>
      <c r="K748">
        <v>21</v>
      </c>
      <c r="L748" s="63">
        <v>6.3013698630136991E-2</v>
      </c>
      <c r="M748">
        <v>27</v>
      </c>
    </row>
    <row r="749" spans="2:13" x14ac:dyDescent="0.25">
      <c r="B749" s="33">
        <v>1</v>
      </c>
      <c r="C749" t="s">
        <v>276</v>
      </c>
      <c r="D749" t="s">
        <v>291</v>
      </c>
      <c r="E749">
        <v>22</v>
      </c>
      <c r="F749" s="2">
        <v>8.21917808219178E-3</v>
      </c>
      <c r="H749" s="33">
        <v>1</v>
      </c>
      <c r="I749" t="s">
        <v>276</v>
      </c>
      <c r="J749" t="s">
        <v>291</v>
      </c>
      <c r="K749">
        <v>22</v>
      </c>
      <c r="L749" s="63">
        <v>8.21917808219178E-3</v>
      </c>
      <c r="M749">
        <v>3</v>
      </c>
    </row>
    <row r="750" spans="2:13" x14ac:dyDescent="0.25">
      <c r="B750" s="33">
        <v>1</v>
      </c>
      <c r="C750" t="s">
        <v>276</v>
      </c>
      <c r="D750" t="s">
        <v>286</v>
      </c>
      <c r="E750">
        <v>1</v>
      </c>
      <c r="F750" s="2">
        <v>1.0958904109589E-2</v>
      </c>
      <c r="H750" s="33">
        <v>1</v>
      </c>
      <c r="I750" t="s">
        <v>276</v>
      </c>
      <c r="J750" t="s">
        <v>286</v>
      </c>
      <c r="K750">
        <v>1</v>
      </c>
      <c r="L750" s="63">
        <v>1.0958904109589041E-2</v>
      </c>
      <c r="M750">
        <v>4</v>
      </c>
    </row>
    <row r="751" spans="2:13" x14ac:dyDescent="0.25">
      <c r="B751" s="33">
        <v>1</v>
      </c>
      <c r="C751" t="s">
        <v>0</v>
      </c>
      <c r="D751" t="s">
        <v>64</v>
      </c>
      <c r="E751">
        <v>5</v>
      </c>
      <c r="F751" s="2">
        <v>1.0958904109589E-2</v>
      </c>
      <c r="H751" s="33">
        <v>1</v>
      </c>
      <c r="I751" t="s">
        <v>0</v>
      </c>
      <c r="J751" t="s">
        <v>64</v>
      </c>
      <c r="K751">
        <v>5</v>
      </c>
      <c r="L751" s="63">
        <v>2.4657534246575342E-2</v>
      </c>
      <c r="M751">
        <v>9</v>
      </c>
    </row>
    <row r="752" spans="2:13" x14ac:dyDescent="0.25">
      <c r="B752" s="33">
        <v>1</v>
      </c>
      <c r="C752" t="s">
        <v>292</v>
      </c>
      <c r="D752" t="s">
        <v>320</v>
      </c>
      <c r="E752">
        <v>8</v>
      </c>
      <c r="F752" s="2">
        <v>5.2054794520547898E-2</v>
      </c>
      <c r="H752" s="33">
        <v>1</v>
      </c>
      <c r="I752" t="s">
        <v>292</v>
      </c>
      <c r="J752" t="s">
        <v>320</v>
      </c>
      <c r="K752">
        <v>8</v>
      </c>
      <c r="L752" s="63">
        <v>4.9315068493150684E-2</v>
      </c>
      <c r="M752">
        <v>19</v>
      </c>
    </row>
    <row r="753" spans="2:13" x14ac:dyDescent="0.25">
      <c r="B753" s="33">
        <v>1</v>
      </c>
      <c r="C753" t="s">
        <v>0</v>
      </c>
      <c r="D753" t="s">
        <v>70</v>
      </c>
      <c r="E753">
        <v>8</v>
      </c>
      <c r="F753" s="2">
        <v>4.3835616438356199E-2</v>
      </c>
      <c r="H753" s="33">
        <v>1</v>
      </c>
      <c r="I753" t="s">
        <v>0</v>
      </c>
      <c r="J753" t="s">
        <v>70</v>
      </c>
      <c r="K753">
        <v>8</v>
      </c>
      <c r="L753" s="63">
        <v>4.6575342465753428E-2</v>
      </c>
      <c r="M753">
        <v>18</v>
      </c>
    </row>
    <row r="754" spans="2:13" x14ac:dyDescent="0.25">
      <c r="B754" s="33">
        <v>1</v>
      </c>
      <c r="C754" t="s">
        <v>292</v>
      </c>
      <c r="D754" t="s">
        <v>321</v>
      </c>
      <c r="E754">
        <v>8</v>
      </c>
      <c r="F754" s="2">
        <v>7.6712328767123306E-2</v>
      </c>
      <c r="H754" s="33">
        <v>1</v>
      </c>
      <c r="I754" t="s">
        <v>292</v>
      </c>
      <c r="J754" t="s">
        <v>321</v>
      </c>
      <c r="K754">
        <v>8</v>
      </c>
      <c r="L754" s="63">
        <v>7.3972602739726029E-2</v>
      </c>
      <c r="M754">
        <v>28</v>
      </c>
    </row>
    <row r="755" spans="2:13" x14ac:dyDescent="0.25">
      <c r="B755" s="33">
        <v>1</v>
      </c>
      <c r="C755" t="s">
        <v>2</v>
      </c>
      <c r="D755" t="s">
        <v>37</v>
      </c>
      <c r="E755">
        <v>9</v>
      </c>
      <c r="F755" s="2">
        <v>2.19178082191781E-2</v>
      </c>
      <c r="H755" s="33">
        <v>1</v>
      </c>
      <c r="I755" t="s">
        <v>2</v>
      </c>
      <c r="J755" t="s">
        <v>37</v>
      </c>
      <c r="K755">
        <v>9</v>
      </c>
      <c r="L755" s="63">
        <v>3.5616438356164383E-2</v>
      </c>
      <c r="M755">
        <v>14</v>
      </c>
    </row>
    <row r="756" spans="2:13" x14ac:dyDescent="0.25">
      <c r="B756" s="33">
        <v>1</v>
      </c>
      <c r="C756" t="s">
        <v>2</v>
      </c>
      <c r="D756" t="s">
        <v>28</v>
      </c>
      <c r="E756">
        <v>9</v>
      </c>
      <c r="F756" s="2">
        <v>2.7397260273972601E-2</v>
      </c>
      <c r="H756" s="33">
        <v>1</v>
      </c>
      <c r="I756" t="s">
        <v>2</v>
      </c>
      <c r="J756" t="s">
        <v>28</v>
      </c>
      <c r="K756">
        <v>9</v>
      </c>
      <c r="L756" s="63">
        <v>5.7534246575342465E-2</v>
      </c>
      <c r="M756">
        <v>22</v>
      </c>
    </row>
    <row r="757" spans="2:13" x14ac:dyDescent="0.25">
      <c r="B757" s="33">
        <v>1</v>
      </c>
      <c r="C757" t="s">
        <v>276</v>
      </c>
      <c r="D757" t="s">
        <v>319</v>
      </c>
      <c r="E757">
        <v>14</v>
      </c>
      <c r="F757" s="2">
        <v>2.19178082191781E-2</v>
      </c>
      <c r="H757" s="33">
        <v>1</v>
      </c>
      <c r="I757" t="s">
        <v>276</v>
      </c>
      <c r="J757" t="s">
        <v>319</v>
      </c>
      <c r="K757">
        <v>14</v>
      </c>
      <c r="L757" s="63">
        <v>2.1917808219178082E-2</v>
      </c>
      <c r="M757">
        <v>8</v>
      </c>
    </row>
    <row r="758" spans="2:13" x14ac:dyDescent="0.25">
      <c r="B758" s="33">
        <v>1</v>
      </c>
      <c r="C758" t="s">
        <v>292</v>
      </c>
      <c r="D758" t="s">
        <v>321</v>
      </c>
      <c r="E758">
        <v>14</v>
      </c>
      <c r="F758" s="2">
        <v>3.5616438356164397E-2</v>
      </c>
      <c r="H758" s="33">
        <v>1</v>
      </c>
      <c r="I758" t="s">
        <v>292</v>
      </c>
      <c r="J758" t="s">
        <v>321</v>
      </c>
      <c r="K758">
        <v>14</v>
      </c>
      <c r="L758" s="63">
        <v>3.287671232876712E-2</v>
      </c>
      <c r="M758">
        <v>13</v>
      </c>
    </row>
    <row r="759" spans="2:13" x14ac:dyDescent="0.25">
      <c r="B759" s="33">
        <v>1</v>
      </c>
      <c r="C759" t="s">
        <v>59</v>
      </c>
      <c r="D759" t="s">
        <v>68</v>
      </c>
      <c r="E759">
        <v>16</v>
      </c>
      <c r="F759" s="2">
        <v>0.104109589041096</v>
      </c>
      <c r="H759" s="33">
        <v>1</v>
      </c>
      <c r="I759" t="s">
        <v>59</v>
      </c>
      <c r="J759" t="s">
        <v>68</v>
      </c>
      <c r="K759">
        <v>16</v>
      </c>
      <c r="L759" s="63">
        <v>0.15890410958904111</v>
      </c>
      <c r="M759">
        <v>70</v>
      </c>
    </row>
    <row r="760" spans="2:13" x14ac:dyDescent="0.25">
      <c r="B760" s="33">
        <v>1</v>
      </c>
      <c r="C760" t="s">
        <v>276</v>
      </c>
      <c r="D760" t="s">
        <v>319</v>
      </c>
      <c r="E760">
        <v>16</v>
      </c>
      <c r="F760" s="2">
        <v>1.9178082191780799E-2</v>
      </c>
      <c r="H760" s="33">
        <v>1</v>
      </c>
      <c r="I760" t="s">
        <v>276</v>
      </c>
      <c r="J760" t="s">
        <v>319</v>
      </c>
      <c r="K760">
        <v>16</v>
      </c>
      <c r="L760" s="63">
        <v>1.9178082191780823E-2</v>
      </c>
      <c r="M760">
        <v>7</v>
      </c>
    </row>
    <row r="761" spans="2:13" x14ac:dyDescent="0.25">
      <c r="B761" s="33">
        <v>1</v>
      </c>
      <c r="C761" t="s">
        <v>2</v>
      </c>
      <c r="D761" t="s">
        <v>26</v>
      </c>
      <c r="E761">
        <v>17</v>
      </c>
      <c r="F761" s="2">
        <v>0.104109589041096</v>
      </c>
      <c r="H761" s="33">
        <v>1</v>
      </c>
      <c r="I761" t="s">
        <v>2</v>
      </c>
      <c r="J761" t="s">
        <v>26</v>
      </c>
      <c r="K761">
        <v>17</v>
      </c>
      <c r="L761" s="63">
        <v>0.11506849315068493</v>
      </c>
      <c r="M761">
        <v>50</v>
      </c>
    </row>
    <row r="762" spans="2:13" x14ac:dyDescent="0.25">
      <c r="B762" s="33">
        <v>1</v>
      </c>
      <c r="C762" t="s">
        <v>292</v>
      </c>
      <c r="D762" t="s">
        <v>296</v>
      </c>
      <c r="E762">
        <v>21</v>
      </c>
      <c r="F762" s="2">
        <v>4.9315068493150697E-2</v>
      </c>
      <c r="H762" s="33">
        <v>1</v>
      </c>
      <c r="I762" t="s">
        <v>292</v>
      </c>
      <c r="J762" t="s">
        <v>296</v>
      </c>
      <c r="K762">
        <v>21</v>
      </c>
      <c r="L762" s="63">
        <v>4.6575342465753428E-2</v>
      </c>
      <c r="M762">
        <v>18</v>
      </c>
    </row>
    <row r="763" spans="2:13" x14ac:dyDescent="0.25">
      <c r="B763" s="33">
        <v>1</v>
      </c>
      <c r="C763" t="s">
        <v>292</v>
      </c>
      <c r="D763" t="s">
        <v>321</v>
      </c>
      <c r="E763">
        <v>22</v>
      </c>
      <c r="F763" s="2">
        <v>1.0958904109589E-2</v>
      </c>
      <c r="H763" s="33">
        <v>1</v>
      </c>
      <c r="I763" t="s">
        <v>292</v>
      </c>
      <c r="J763" t="s">
        <v>321</v>
      </c>
      <c r="K763">
        <v>22</v>
      </c>
      <c r="L763" s="63">
        <v>8.21917808219178E-3</v>
      </c>
      <c r="M763">
        <v>4</v>
      </c>
    </row>
    <row r="764" spans="2:13" x14ac:dyDescent="0.25">
      <c r="B764" s="33">
        <v>1</v>
      </c>
      <c r="C764" t="s">
        <v>57</v>
      </c>
      <c r="D764" t="s">
        <v>69</v>
      </c>
      <c r="E764">
        <v>23</v>
      </c>
      <c r="F764" s="2">
        <v>2.46575342465753E-2</v>
      </c>
      <c r="H764" s="33">
        <v>1</v>
      </c>
      <c r="I764" t="s">
        <v>57</v>
      </c>
      <c r="J764" t="s">
        <v>69</v>
      </c>
      <c r="K764">
        <v>23</v>
      </c>
      <c r="L764" s="63">
        <v>3.287671232876712E-2</v>
      </c>
      <c r="M764">
        <v>14</v>
      </c>
    </row>
    <row r="765" spans="2:13" x14ac:dyDescent="0.25">
      <c r="B765" s="33">
        <v>1</v>
      </c>
      <c r="C765" t="s">
        <v>57</v>
      </c>
      <c r="D765" t="s">
        <v>67</v>
      </c>
      <c r="E765">
        <v>23</v>
      </c>
      <c r="F765" s="2">
        <v>4.1095890410958902E-2</v>
      </c>
      <c r="H765" s="33">
        <v>1</v>
      </c>
      <c r="I765" t="s">
        <v>57</v>
      </c>
      <c r="J765" t="s">
        <v>67</v>
      </c>
      <c r="K765">
        <v>23</v>
      </c>
      <c r="L765" s="63">
        <v>7.6712328767123292E-2</v>
      </c>
      <c r="M765">
        <v>30</v>
      </c>
    </row>
    <row r="766" spans="2:13" x14ac:dyDescent="0.25">
      <c r="B766" s="33">
        <v>1</v>
      </c>
      <c r="C766" t="s">
        <v>292</v>
      </c>
      <c r="D766" t="s">
        <v>321</v>
      </c>
      <c r="E766">
        <v>23</v>
      </c>
      <c r="F766" s="2">
        <v>5.4794520547945197E-3</v>
      </c>
      <c r="H766" s="33">
        <v>1</v>
      </c>
      <c r="I766" t="s">
        <v>292</v>
      </c>
      <c r="J766" t="s">
        <v>321</v>
      </c>
      <c r="K766">
        <v>23</v>
      </c>
      <c r="L766" s="63">
        <v>5.4794520547945206E-3</v>
      </c>
      <c r="M766">
        <v>2</v>
      </c>
    </row>
    <row r="767" spans="2:13" x14ac:dyDescent="0.25">
      <c r="B767" s="33">
        <v>1</v>
      </c>
      <c r="C767" t="s">
        <v>292</v>
      </c>
      <c r="D767" t="s">
        <v>321</v>
      </c>
      <c r="E767">
        <v>0</v>
      </c>
      <c r="F767" s="2">
        <v>2.19178082191781E-2</v>
      </c>
      <c r="H767" s="33">
        <v>1</v>
      </c>
      <c r="I767" t="s">
        <v>292</v>
      </c>
      <c r="J767" t="s">
        <v>321</v>
      </c>
      <c r="K767">
        <v>0</v>
      </c>
      <c r="L767" s="63">
        <v>1.9178082191780823E-2</v>
      </c>
      <c r="M767">
        <v>8</v>
      </c>
    </row>
    <row r="768" spans="2:13" x14ac:dyDescent="0.25">
      <c r="B768" s="33">
        <v>1</v>
      </c>
      <c r="C768" t="s">
        <v>57</v>
      </c>
      <c r="D768" t="s">
        <v>66</v>
      </c>
      <c r="E768">
        <v>3</v>
      </c>
      <c r="F768" s="2">
        <v>5.4794520547945197E-3</v>
      </c>
      <c r="H768" s="33">
        <v>1</v>
      </c>
      <c r="I768" t="s">
        <v>57</v>
      </c>
      <c r="J768" t="s">
        <v>66</v>
      </c>
      <c r="K768">
        <v>3</v>
      </c>
      <c r="L768" s="63">
        <v>1.3698630136986301E-2</v>
      </c>
      <c r="M768">
        <v>6</v>
      </c>
    </row>
    <row r="769" spans="2:13" x14ac:dyDescent="0.25">
      <c r="B769" s="33">
        <v>1</v>
      </c>
      <c r="C769" t="s">
        <v>231</v>
      </c>
      <c r="D769" t="s">
        <v>188</v>
      </c>
      <c r="E769">
        <v>5</v>
      </c>
      <c r="F769" s="2">
        <v>5.4794520547945197E-3</v>
      </c>
      <c r="H769" s="33">
        <v>1</v>
      </c>
      <c r="I769" t="s">
        <v>231</v>
      </c>
      <c r="J769" t="s">
        <v>188</v>
      </c>
      <c r="K769">
        <v>5</v>
      </c>
      <c r="L769" s="63">
        <v>1.643835616438356E-2</v>
      </c>
      <c r="M769">
        <v>6</v>
      </c>
    </row>
    <row r="770" spans="2:13" x14ac:dyDescent="0.25">
      <c r="B770" s="33">
        <v>1</v>
      </c>
      <c r="C770" t="s">
        <v>0</v>
      </c>
      <c r="D770" t="s">
        <v>71</v>
      </c>
      <c r="E770">
        <v>6</v>
      </c>
      <c r="F770" s="2">
        <v>1.3698630136986301E-2</v>
      </c>
      <c r="H770" s="33">
        <v>1</v>
      </c>
      <c r="I770" t="s">
        <v>0</v>
      </c>
      <c r="J770" t="s">
        <v>71</v>
      </c>
      <c r="K770">
        <v>6</v>
      </c>
      <c r="L770" s="63">
        <v>3.287671232876712E-2</v>
      </c>
      <c r="M770">
        <v>13</v>
      </c>
    </row>
    <row r="771" spans="2:13" x14ac:dyDescent="0.25">
      <c r="B771" s="33">
        <v>1</v>
      </c>
      <c r="C771" t="s">
        <v>59</v>
      </c>
      <c r="D771" t="s">
        <v>63</v>
      </c>
      <c r="E771">
        <v>10</v>
      </c>
      <c r="F771" s="2">
        <v>4.1095890410958902E-2</v>
      </c>
      <c r="H771" s="33">
        <v>1</v>
      </c>
      <c r="I771" t="s">
        <v>59</v>
      </c>
      <c r="J771" t="s">
        <v>63</v>
      </c>
      <c r="K771">
        <v>10</v>
      </c>
      <c r="L771" s="63">
        <v>6.0273972602739728E-2</v>
      </c>
      <c r="M771">
        <v>25</v>
      </c>
    </row>
    <row r="772" spans="2:13" x14ac:dyDescent="0.25">
      <c r="B772" s="33">
        <v>1</v>
      </c>
      <c r="C772" t="s">
        <v>292</v>
      </c>
      <c r="D772" t="s">
        <v>320</v>
      </c>
      <c r="E772">
        <v>10</v>
      </c>
      <c r="F772" s="2">
        <v>8.2191780821917804E-2</v>
      </c>
      <c r="H772" s="33">
        <v>1</v>
      </c>
      <c r="I772" t="s">
        <v>292</v>
      </c>
      <c r="J772" t="s">
        <v>320</v>
      </c>
      <c r="K772">
        <v>10</v>
      </c>
      <c r="L772" s="63">
        <v>7.3972602739726029E-2</v>
      </c>
      <c r="M772">
        <v>30</v>
      </c>
    </row>
    <row r="773" spans="2:13" x14ac:dyDescent="0.25">
      <c r="B773" s="33">
        <v>1</v>
      </c>
      <c r="C773" t="s">
        <v>307</v>
      </c>
      <c r="D773" t="s">
        <v>313</v>
      </c>
      <c r="E773">
        <v>13</v>
      </c>
      <c r="F773" s="2">
        <v>4.3835616438356199E-2</v>
      </c>
      <c r="H773" s="33">
        <v>1</v>
      </c>
      <c r="I773" t="s">
        <v>307</v>
      </c>
      <c r="J773" t="s">
        <v>313</v>
      </c>
      <c r="K773">
        <v>13</v>
      </c>
      <c r="L773" s="63">
        <v>3.5616438356164383E-2</v>
      </c>
      <c r="M773">
        <v>16</v>
      </c>
    </row>
    <row r="774" spans="2:13" x14ac:dyDescent="0.25">
      <c r="B774" s="33">
        <v>1</v>
      </c>
      <c r="C774" t="s">
        <v>292</v>
      </c>
      <c r="D774" t="s">
        <v>297</v>
      </c>
      <c r="E774">
        <v>14</v>
      </c>
      <c r="F774" s="2">
        <v>1.3698630136986301E-2</v>
      </c>
      <c r="H774" s="33">
        <v>1</v>
      </c>
      <c r="I774" t="s">
        <v>292</v>
      </c>
      <c r="J774" t="s">
        <v>297</v>
      </c>
      <c r="K774">
        <v>14</v>
      </c>
      <c r="L774" s="63">
        <v>1.3698630136986301E-2</v>
      </c>
      <c r="M774">
        <v>5</v>
      </c>
    </row>
    <row r="775" spans="2:13" x14ac:dyDescent="0.25">
      <c r="B775" s="33">
        <v>1</v>
      </c>
      <c r="C775" t="s">
        <v>292</v>
      </c>
      <c r="D775" t="s">
        <v>321</v>
      </c>
      <c r="E775">
        <v>17</v>
      </c>
      <c r="F775" s="2">
        <v>7.3972602739726001E-2</v>
      </c>
      <c r="H775" s="33">
        <v>1</v>
      </c>
      <c r="I775" t="s">
        <v>292</v>
      </c>
      <c r="J775" t="s">
        <v>321</v>
      </c>
      <c r="K775">
        <v>17</v>
      </c>
      <c r="L775" s="63">
        <v>6.575342465753424E-2</v>
      </c>
      <c r="M775">
        <v>27</v>
      </c>
    </row>
    <row r="776" spans="2:13" x14ac:dyDescent="0.25">
      <c r="B776" s="33">
        <v>1</v>
      </c>
      <c r="C776" t="s">
        <v>307</v>
      </c>
      <c r="D776" t="s">
        <v>312</v>
      </c>
      <c r="E776">
        <v>17</v>
      </c>
      <c r="F776" s="2">
        <v>7.6712328767123306E-2</v>
      </c>
      <c r="H776" s="33">
        <v>1</v>
      </c>
      <c r="I776" t="s">
        <v>307</v>
      </c>
      <c r="J776" t="s">
        <v>312</v>
      </c>
      <c r="K776">
        <v>17</v>
      </c>
      <c r="L776" s="63">
        <v>7.1232876712328766E-2</v>
      </c>
      <c r="M776">
        <v>28</v>
      </c>
    </row>
    <row r="777" spans="2:13" x14ac:dyDescent="0.25">
      <c r="B777" s="33">
        <v>1</v>
      </c>
      <c r="C777" t="s">
        <v>231</v>
      </c>
      <c r="D777" t="s">
        <v>189</v>
      </c>
      <c r="E777">
        <v>18</v>
      </c>
      <c r="F777" s="2">
        <v>9.8630136986301395E-2</v>
      </c>
      <c r="H777" s="33">
        <v>1</v>
      </c>
      <c r="I777" t="s">
        <v>231</v>
      </c>
      <c r="J777" t="s">
        <v>189</v>
      </c>
      <c r="K777">
        <v>18</v>
      </c>
      <c r="L777" s="63">
        <v>0.11506849315068493</v>
      </c>
      <c r="M777">
        <v>47</v>
      </c>
    </row>
    <row r="778" spans="2:13" x14ac:dyDescent="0.25">
      <c r="B778" s="33">
        <v>1</v>
      </c>
      <c r="C778" t="s">
        <v>292</v>
      </c>
      <c r="D778" t="s">
        <v>297</v>
      </c>
      <c r="E778">
        <v>21</v>
      </c>
      <c r="F778" s="2">
        <v>1.6438356164383602E-2</v>
      </c>
      <c r="H778" s="33">
        <v>1</v>
      </c>
      <c r="I778" t="s">
        <v>292</v>
      </c>
      <c r="J778" t="s">
        <v>297</v>
      </c>
      <c r="K778">
        <v>21</v>
      </c>
      <c r="L778" s="63">
        <v>1.643835616438356E-2</v>
      </c>
      <c r="M778">
        <v>6</v>
      </c>
    </row>
    <row r="779" spans="2:13" x14ac:dyDescent="0.25">
      <c r="B779" s="33">
        <v>1</v>
      </c>
      <c r="C779" t="s">
        <v>231</v>
      </c>
      <c r="D779" t="s">
        <v>190</v>
      </c>
      <c r="E779">
        <v>22</v>
      </c>
      <c r="F779" s="2">
        <v>8.21917808219178E-3</v>
      </c>
      <c r="H779" s="33">
        <v>1</v>
      </c>
      <c r="I779" t="s">
        <v>231</v>
      </c>
      <c r="J779" t="s">
        <v>190</v>
      </c>
      <c r="K779">
        <v>22</v>
      </c>
      <c r="L779" s="63">
        <v>1.3698630136986301E-2</v>
      </c>
      <c r="M779">
        <v>5</v>
      </c>
    </row>
    <row r="780" spans="2:13" x14ac:dyDescent="0.25">
      <c r="B780" s="33">
        <v>1</v>
      </c>
      <c r="C780" t="s">
        <v>276</v>
      </c>
      <c r="D780" t="s">
        <v>289</v>
      </c>
      <c r="E780">
        <v>6</v>
      </c>
      <c r="F780" s="2">
        <v>5.4794520547945197E-3</v>
      </c>
      <c r="H780" s="33">
        <v>1</v>
      </c>
      <c r="I780" t="s">
        <v>276</v>
      </c>
      <c r="J780" t="s">
        <v>289</v>
      </c>
      <c r="K780">
        <v>6</v>
      </c>
      <c r="L780" s="63">
        <v>5.4794520547945206E-3</v>
      </c>
      <c r="M780">
        <v>2</v>
      </c>
    </row>
    <row r="781" spans="2:13" x14ac:dyDescent="0.25">
      <c r="B781" s="33">
        <v>1</v>
      </c>
      <c r="C781" t="s">
        <v>307</v>
      </c>
      <c r="D781" t="s">
        <v>394</v>
      </c>
      <c r="E781">
        <v>9</v>
      </c>
      <c r="F781" s="2">
        <v>6.5753424657534199E-2</v>
      </c>
      <c r="H781" s="33">
        <v>1</v>
      </c>
      <c r="I781" t="s">
        <v>307</v>
      </c>
      <c r="J781" t="s">
        <v>314</v>
      </c>
      <c r="K781">
        <v>9</v>
      </c>
      <c r="L781" s="63">
        <v>6.575342465753424E-2</v>
      </c>
      <c r="M781">
        <v>24</v>
      </c>
    </row>
    <row r="782" spans="2:13" x14ac:dyDescent="0.25">
      <c r="B782" s="33">
        <v>1</v>
      </c>
      <c r="C782" t="s">
        <v>231</v>
      </c>
      <c r="D782" t="s">
        <v>189</v>
      </c>
      <c r="E782">
        <v>9</v>
      </c>
      <c r="F782" s="2">
        <v>4.9315068493150697E-2</v>
      </c>
      <c r="H782" s="33">
        <v>1</v>
      </c>
      <c r="I782" t="s">
        <v>231</v>
      </c>
      <c r="J782" t="s">
        <v>189</v>
      </c>
      <c r="K782">
        <v>9</v>
      </c>
      <c r="L782" s="63">
        <v>0.14794520547945206</v>
      </c>
      <c r="M782">
        <v>60</v>
      </c>
    </row>
    <row r="783" spans="2:13" x14ac:dyDescent="0.25">
      <c r="B783" s="33">
        <v>1</v>
      </c>
      <c r="C783" t="s">
        <v>2</v>
      </c>
      <c r="D783" t="s">
        <v>21</v>
      </c>
      <c r="E783">
        <v>9</v>
      </c>
      <c r="F783" s="2">
        <v>3.8356164383561597E-2</v>
      </c>
      <c r="H783" s="33">
        <v>1</v>
      </c>
      <c r="I783" t="s">
        <v>2</v>
      </c>
      <c r="J783" t="s">
        <v>21</v>
      </c>
      <c r="K783">
        <v>9</v>
      </c>
      <c r="L783" s="63">
        <v>7.1232876712328766E-2</v>
      </c>
      <c r="M783">
        <v>28</v>
      </c>
    </row>
    <row r="784" spans="2:13" x14ac:dyDescent="0.25">
      <c r="B784" s="33">
        <v>1</v>
      </c>
      <c r="C784" t="s">
        <v>0</v>
      </c>
      <c r="D784" t="s">
        <v>64</v>
      </c>
      <c r="E784">
        <v>9</v>
      </c>
      <c r="F784" s="2">
        <v>4.3835616438356199E-2</v>
      </c>
      <c r="H784" s="33">
        <v>1</v>
      </c>
      <c r="I784" t="s">
        <v>0</v>
      </c>
      <c r="J784" t="s">
        <v>64</v>
      </c>
      <c r="K784">
        <v>9</v>
      </c>
      <c r="L784" s="63">
        <v>4.9315068493150684E-2</v>
      </c>
      <c r="M784">
        <v>21</v>
      </c>
    </row>
    <row r="785" spans="2:13" x14ac:dyDescent="0.25">
      <c r="B785" s="33">
        <v>1</v>
      </c>
      <c r="C785" t="s">
        <v>231</v>
      </c>
      <c r="D785" t="s">
        <v>186</v>
      </c>
      <c r="E785">
        <v>10</v>
      </c>
      <c r="F785" s="2">
        <v>4.1095890410958902E-2</v>
      </c>
      <c r="H785" s="33">
        <v>1</v>
      </c>
      <c r="I785" t="s">
        <v>231</v>
      </c>
      <c r="J785" t="s">
        <v>186</v>
      </c>
      <c r="K785">
        <v>10</v>
      </c>
      <c r="L785" s="63">
        <v>7.3972602739726029E-2</v>
      </c>
      <c r="M785">
        <v>29</v>
      </c>
    </row>
    <row r="786" spans="2:13" x14ac:dyDescent="0.25">
      <c r="B786" s="33">
        <v>1</v>
      </c>
      <c r="C786" t="s">
        <v>59</v>
      </c>
      <c r="D786" t="s">
        <v>68</v>
      </c>
      <c r="E786">
        <v>10</v>
      </c>
      <c r="F786" s="2">
        <v>6.02739726027397E-2</v>
      </c>
      <c r="H786" s="33">
        <v>1</v>
      </c>
      <c r="I786" t="s">
        <v>59</v>
      </c>
      <c r="J786" t="s">
        <v>68</v>
      </c>
      <c r="K786">
        <v>10</v>
      </c>
      <c r="L786" s="63">
        <v>0.15068493150684931</v>
      </c>
      <c r="M786">
        <v>61</v>
      </c>
    </row>
    <row r="787" spans="2:13" x14ac:dyDescent="0.25">
      <c r="B787" s="33">
        <v>1</v>
      </c>
      <c r="C787" t="s">
        <v>2</v>
      </c>
      <c r="D787" t="s">
        <v>21</v>
      </c>
      <c r="E787">
        <v>10</v>
      </c>
      <c r="F787" s="2">
        <v>1.9178082191780799E-2</v>
      </c>
      <c r="H787" s="33">
        <v>1</v>
      </c>
      <c r="I787" t="s">
        <v>2</v>
      </c>
      <c r="J787" t="s">
        <v>21</v>
      </c>
      <c r="K787">
        <v>10</v>
      </c>
      <c r="L787" s="63">
        <v>4.6575342465753428E-2</v>
      </c>
      <c r="M787">
        <v>18</v>
      </c>
    </row>
    <row r="788" spans="2:13" x14ac:dyDescent="0.25">
      <c r="B788" s="33">
        <v>1</v>
      </c>
      <c r="C788" t="s">
        <v>307</v>
      </c>
      <c r="D788" t="s">
        <v>312</v>
      </c>
      <c r="E788">
        <v>12</v>
      </c>
      <c r="F788" s="2">
        <v>4.1095890410958902E-2</v>
      </c>
      <c r="H788" s="33">
        <v>1</v>
      </c>
      <c r="I788" t="s">
        <v>307</v>
      </c>
      <c r="J788" t="s">
        <v>312</v>
      </c>
      <c r="K788">
        <v>12</v>
      </c>
      <c r="L788" s="63">
        <v>3.8356164383561646E-2</v>
      </c>
      <c r="M788">
        <v>15</v>
      </c>
    </row>
    <row r="789" spans="2:13" x14ac:dyDescent="0.25">
      <c r="B789" s="33">
        <v>1</v>
      </c>
      <c r="C789" t="s">
        <v>2</v>
      </c>
      <c r="D789" t="s">
        <v>36</v>
      </c>
      <c r="E789">
        <v>14</v>
      </c>
      <c r="F789" s="2">
        <v>6.02739726027397E-2</v>
      </c>
      <c r="H789" s="33">
        <v>1</v>
      </c>
      <c r="I789" t="s">
        <v>2</v>
      </c>
      <c r="J789" t="s">
        <v>36</v>
      </c>
      <c r="K789">
        <v>14</v>
      </c>
      <c r="L789" s="63">
        <v>0.10684931506849316</v>
      </c>
      <c r="M789">
        <v>47</v>
      </c>
    </row>
    <row r="790" spans="2:13" x14ac:dyDescent="0.25">
      <c r="B790" s="33">
        <v>1</v>
      </c>
      <c r="C790" t="s">
        <v>276</v>
      </c>
      <c r="D790" t="s">
        <v>286</v>
      </c>
      <c r="E790">
        <v>14</v>
      </c>
      <c r="F790" s="2">
        <v>4.3835616438356199E-2</v>
      </c>
      <c r="H790" s="33">
        <v>1</v>
      </c>
      <c r="I790" t="s">
        <v>276</v>
      </c>
      <c r="J790" t="s">
        <v>286</v>
      </c>
      <c r="K790">
        <v>14</v>
      </c>
      <c r="L790" s="63">
        <v>4.1095890410958902E-2</v>
      </c>
      <c r="M790">
        <v>16</v>
      </c>
    </row>
    <row r="791" spans="2:13" x14ac:dyDescent="0.25">
      <c r="B791" s="33">
        <v>1</v>
      </c>
      <c r="C791" t="s">
        <v>2</v>
      </c>
      <c r="D791" t="s">
        <v>317</v>
      </c>
      <c r="E791">
        <v>15</v>
      </c>
      <c r="F791" s="2">
        <v>0.120547945205479</v>
      </c>
      <c r="H791" s="33">
        <v>1</v>
      </c>
      <c r="I791" t="s">
        <v>2</v>
      </c>
      <c r="J791" t="s">
        <v>317</v>
      </c>
      <c r="K791">
        <v>15</v>
      </c>
      <c r="L791" s="63">
        <v>0.1095890410958904</v>
      </c>
      <c r="M791">
        <v>44</v>
      </c>
    </row>
    <row r="792" spans="2:13" x14ac:dyDescent="0.25">
      <c r="B792" s="33">
        <v>1</v>
      </c>
      <c r="C792" t="s">
        <v>57</v>
      </c>
      <c r="D792" t="s">
        <v>75</v>
      </c>
      <c r="E792">
        <v>17</v>
      </c>
      <c r="F792" s="2">
        <v>4.3835616438356199E-2</v>
      </c>
      <c r="H792" s="33">
        <v>1</v>
      </c>
      <c r="I792" t="s">
        <v>57</v>
      </c>
      <c r="J792" t="s">
        <v>75</v>
      </c>
      <c r="K792">
        <v>17</v>
      </c>
      <c r="L792" s="63">
        <v>6.0273972602739728E-2</v>
      </c>
      <c r="M792">
        <v>27</v>
      </c>
    </row>
    <row r="793" spans="2:13" x14ac:dyDescent="0.25">
      <c r="B793" s="33">
        <v>1</v>
      </c>
      <c r="C793" t="s">
        <v>57</v>
      </c>
      <c r="D793" t="s">
        <v>75</v>
      </c>
      <c r="E793">
        <v>18</v>
      </c>
      <c r="F793" s="2">
        <v>3.5616438356164397E-2</v>
      </c>
      <c r="H793" s="33">
        <v>1</v>
      </c>
      <c r="I793" t="s">
        <v>57</v>
      </c>
      <c r="J793" t="s">
        <v>75</v>
      </c>
      <c r="K793">
        <v>18</v>
      </c>
      <c r="L793" s="63">
        <v>0.10410958904109589</v>
      </c>
      <c r="M793">
        <v>42</v>
      </c>
    </row>
    <row r="794" spans="2:13" x14ac:dyDescent="0.25">
      <c r="B794" s="33">
        <v>1</v>
      </c>
      <c r="C794" t="s">
        <v>2</v>
      </c>
      <c r="D794" t="s">
        <v>28</v>
      </c>
      <c r="E794">
        <v>19</v>
      </c>
      <c r="F794" s="2">
        <v>5.2054794520547898E-2</v>
      </c>
      <c r="H794" s="33">
        <v>1</v>
      </c>
      <c r="I794" t="s">
        <v>2</v>
      </c>
      <c r="J794" t="s">
        <v>28</v>
      </c>
      <c r="K794">
        <v>19</v>
      </c>
      <c r="L794" s="63">
        <v>7.1232876712328766E-2</v>
      </c>
      <c r="M794">
        <v>29</v>
      </c>
    </row>
    <row r="795" spans="2:13" x14ac:dyDescent="0.25">
      <c r="B795" s="33">
        <v>1</v>
      </c>
      <c r="C795" t="s">
        <v>0</v>
      </c>
      <c r="D795" t="s">
        <v>56</v>
      </c>
      <c r="E795">
        <v>21</v>
      </c>
      <c r="F795" s="2">
        <v>5.2054794520547898E-2</v>
      </c>
      <c r="H795" s="33">
        <v>1</v>
      </c>
      <c r="I795" t="s">
        <v>0</v>
      </c>
      <c r="J795" t="s">
        <v>56</v>
      </c>
      <c r="K795">
        <v>21</v>
      </c>
      <c r="L795" s="63">
        <v>0.10136986301369863</v>
      </c>
      <c r="M795">
        <v>39</v>
      </c>
    </row>
    <row r="796" spans="2:13" x14ac:dyDescent="0.25">
      <c r="B796" s="33">
        <v>1</v>
      </c>
      <c r="C796" t="s">
        <v>2</v>
      </c>
      <c r="D796" t="s">
        <v>26</v>
      </c>
      <c r="E796">
        <v>22</v>
      </c>
      <c r="F796" s="2">
        <v>2.19178082191781E-2</v>
      </c>
      <c r="H796" s="33">
        <v>1</v>
      </c>
      <c r="I796" t="s">
        <v>2</v>
      </c>
      <c r="J796" t="s">
        <v>26</v>
      </c>
      <c r="K796">
        <v>22</v>
      </c>
      <c r="L796" s="63">
        <v>4.3835616438356165E-2</v>
      </c>
      <c r="M796">
        <v>16</v>
      </c>
    </row>
    <row r="797" spans="2:13" x14ac:dyDescent="0.25">
      <c r="B797" s="33">
        <v>1</v>
      </c>
      <c r="C797" t="s">
        <v>231</v>
      </c>
      <c r="D797" t="s">
        <v>188</v>
      </c>
      <c r="E797">
        <v>6</v>
      </c>
      <c r="F797" s="2">
        <v>1.9178082191780799E-2</v>
      </c>
      <c r="H797" s="33">
        <v>1</v>
      </c>
      <c r="I797" t="s">
        <v>231</v>
      </c>
      <c r="J797" t="s">
        <v>188</v>
      </c>
      <c r="K797">
        <v>6</v>
      </c>
      <c r="L797" s="63">
        <v>4.3835616438356165E-2</v>
      </c>
      <c r="M797">
        <v>16</v>
      </c>
    </row>
    <row r="798" spans="2:13" x14ac:dyDescent="0.25">
      <c r="B798" s="33">
        <v>1</v>
      </c>
      <c r="C798" t="s">
        <v>276</v>
      </c>
      <c r="D798" t="s">
        <v>291</v>
      </c>
      <c r="E798">
        <v>9</v>
      </c>
      <c r="F798" s="2">
        <v>5.4794520547945202E-2</v>
      </c>
      <c r="H798" s="33">
        <v>1</v>
      </c>
      <c r="I798" t="s">
        <v>276</v>
      </c>
      <c r="J798" t="s">
        <v>291</v>
      </c>
      <c r="K798">
        <v>9</v>
      </c>
      <c r="L798" s="63">
        <v>5.2054794520547946E-2</v>
      </c>
      <c r="M798">
        <v>20</v>
      </c>
    </row>
    <row r="799" spans="2:13" x14ac:dyDescent="0.25">
      <c r="B799" s="33">
        <v>1</v>
      </c>
      <c r="C799" t="s">
        <v>292</v>
      </c>
      <c r="D799" t="s">
        <v>321</v>
      </c>
      <c r="E799">
        <v>11</v>
      </c>
      <c r="F799" s="2">
        <v>3.0136986301369899E-2</v>
      </c>
      <c r="H799" s="33">
        <v>1</v>
      </c>
      <c r="I799" t="s">
        <v>292</v>
      </c>
      <c r="J799" t="s">
        <v>321</v>
      </c>
      <c r="K799">
        <v>11</v>
      </c>
      <c r="L799" s="63">
        <v>2.7397260273972601E-2</v>
      </c>
      <c r="M799">
        <v>11</v>
      </c>
    </row>
    <row r="800" spans="2:13" x14ac:dyDescent="0.25">
      <c r="B800" s="33">
        <v>1</v>
      </c>
      <c r="C800" t="s">
        <v>292</v>
      </c>
      <c r="D800" t="s">
        <v>297</v>
      </c>
      <c r="E800">
        <v>12</v>
      </c>
      <c r="F800" s="2">
        <v>1.6438356164383602E-2</v>
      </c>
      <c r="H800" s="33">
        <v>1</v>
      </c>
      <c r="I800" t="s">
        <v>292</v>
      </c>
      <c r="J800" t="s">
        <v>297</v>
      </c>
      <c r="K800">
        <v>12</v>
      </c>
      <c r="L800" s="63">
        <v>1.3698630136986301E-2</v>
      </c>
      <c r="M800">
        <v>6</v>
      </c>
    </row>
    <row r="801" spans="2:13" x14ac:dyDescent="0.25">
      <c r="B801" s="33">
        <v>1</v>
      </c>
      <c r="C801" t="s">
        <v>0</v>
      </c>
      <c r="D801" t="s">
        <v>73</v>
      </c>
      <c r="E801">
        <v>12</v>
      </c>
      <c r="F801" s="2">
        <v>5.4794520547945202E-2</v>
      </c>
      <c r="H801" s="33">
        <v>1</v>
      </c>
      <c r="I801" t="s">
        <v>0</v>
      </c>
      <c r="J801" t="s">
        <v>73</v>
      </c>
      <c r="K801">
        <v>12</v>
      </c>
      <c r="L801" s="63">
        <v>8.2191780821917804E-2</v>
      </c>
      <c r="M801">
        <v>37</v>
      </c>
    </row>
    <row r="802" spans="2:13" x14ac:dyDescent="0.25">
      <c r="B802" s="33">
        <v>1</v>
      </c>
      <c r="C802" t="s">
        <v>307</v>
      </c>
      <c r="D802" t="s">
        <v>310</v>
      </c>
      <c r="E802">
        <v>13</v>
      </c>
      <c r="F802" s="2">
        <v>3.2876712328767099E-2</v>
      </c>
      <c r="H802" s="33">
        <v>1</v>
      </c>
      <c r="I802" t="s">
        <v>307</v>
      </c>
      <c r="J802" t="s">
        <v>310</v>
      </c>
      <c r="K802">
        <v>13</v>
      </c>
      <c r="L802" s="63">
        <v>3.0136986301369864E-2</v>
      </c>
      <c r="M802">
        <v>12</v>
      </c>
    </row>
    <row r="803" spans="2:13" x14ac:dyDescent="0.25">
      <c r="B803" s="33">
        <v>1</v>
      </c>
      <c r="C803" t="s">
        <v>276</v>
      </c>
      <c r="D803" t="s">
        <v>288</v>
      </c>
      <c r="E803">
        <v>14</v>
      </c>
      <c r="F803" s="2">
        <v>7.9452054794520596E-2</v>
      </c>
      <c r="H803" s="33">
        <v>1</v>
      </c>
      <c r="I803" t="s">
        <v>276</v>
      </c>
      <c r="J803" t="s">
        <v>288</v>
      </c>
      <c r="K803">
        <v>14</v>
      </c>
      <c r="L803" s="63">
        <v>7.1232876712328766E-2</v>
      </c>
      <c r="M803">
        <v>29</v>
      </c>
    </row>
    <row r="804" spans="2:13" x14ac:dyDescent="0.25">
      <c r="B804" s="33">
        <v>1</v>
      </c>
      <c r="C804" t="s">
        <v>292</v>
      </c>
      <c r="D804" t="s">
        <v>296</v>
      </c>
      <c r="E804">
        <v>14</v>
      </c>
      <c r="F804" s="2">
        <v>2.7397260273972601E-2</v>
      </c>
      <c r="H804" s="33">
        <v>1</v>
      </c>
      <c r="I804" t="s">
        <v>292</v>
      </c>
      <c r="J804" t="s">
        <v>296</v>
      </c>
      <c r="K804">
        <v>14</v>
      </c>
      <c r="L804" s="63">
        <v>2.4657534246575342E-2</v>
      </c>
      <c r="M804">
        <v>10</v>
      </c>
    </row>
    <row r="805" spans="2:13" x14ac:dyDescent="0.25">
      <c r="B805" s="33">
        <v>1</v>
      </c>
      <c r="C805" t="s">
        <v>2</v>
      </c>
      <c r="D805" t="s">
        <v>17</v>
      </c>
      <c r="E805">
        <v>15</v>
      </c>
      <c r="F805" s="2">
        <v>0.104109589041096</v>
      </c>
      <c r="H805" s="33">
        <v>1</v>
      </c>
      <c r="I805" t="s">
        <v>2</v>
      </c>
      <c r="J805" t="s">
        <v>17</v>
      </c>
      <c r="K805">
        <v>15</v>
      </c>
      <c r="L805" s="63">
        <v>0.13698630136986301</v>
      </c>
      <c r="M805">
        <v>60</v>
      </c>
    </row>
    <row r="806" spans="2:13" x14ac:dyDescent="0.25">
      <c r="B806" s="33">
        <v>1</v>
      </c>
      <c r="C806" t="s">
        <v>292</v>
      </c>
      <c r="D806" t="s">
        <v>297</v>
      </c>
      <c r="E806">
        <v>16</v>
      </c>
      <c r="F806" s="2">
        <v>2.46575342465753E-2</v>
      </c>
      <c r="H806" s="33">
        <v>1</v>
      </c>
      <c r="I806" t="s">
        <v>292</v>
      </c>
      <c r="J806" t="s">
        <v>297</v>
      </c>
      <c r="K806">
        <v>16</v>
      </c>
      <c r="L806" s="63">
        <v>2.4657534246575342E-2</v>
      </c>
      <c r="M806">
        <v>9</v>
      </c>
    </row>
    <row r="807" spans="2:13" x14ac:dyDescent="0.25">
      <c r="B807" s="33">
        <v>1</v>
      </c>
      <c r="C807" t="s">
        <v>0</v>
      </c>
      <c r="D807" t="s">
        <v>56</v>
      </c>
      <c r="E807">
        <v>17</v>
      </c>
      <c r="F807" s="2">
        <v>0.156164383561644</v>
      </c>
      <c r="H807" s="33">
        <v>1</v>
      </c>
      <c r="I807" t="s">
        <v>0</v>
      </c>
      <c r="J807" t="s">
        <v>56</v>
      </c>
      <c r="K807">
        <v>17</v>
      </c>
      <c r="L807" s="63">
        <v>0.23287671232876711</v>
      </c>
      <c r="M807">
        <v>98</v>
      </c>
    </row>
    <row r="808" spans="2:13" x14ac:dyDescent="0.25">
      <c r="B808" s="33">
        <v>1</v>
      </c>
      <c r="C808" t="s">
        <v>0</v>
      </c>
      <c r="D808" t="s">
        <v>73</v>
      </c>
      <c r="E808">
        <v>17</v>
      </c>
      <c r="F808" s="2">
        <v>6.02739726027397E-2</v>
      </c>
      <c r="H808" s="33">
        <v>1</v>
      </c>
      <c r="I808" t="s">
        <v>0</v>
      </c>
      <c r="J808" t="s">
        <v>73</v>
      </c>
      <c r="K808">
        <v>17</v>
      </c>
      <c r="L808" s="63">
        <v>0.12054794520547946</v>
      </c>
      <c r="M808">
        <v>54</v>
      </c>
    </row>
    <row r="809" spans="2:13" x14ac:dyDescent="0.25">
      <c r="B809" s="33">
        <v>1</v>
      </c>
      <c r="C809" t="s">
        <v>231</v>
      </c>
      <c r="D809" t="s">
        <v>189</v>
      </c>
      <c r="E809">
        <v>20</v>
      </c>
      <c r="F809" s="2">
        <v>3.8356164383561597E-2</v>
      </c>
      <c r="H809" s="33">
        <v>1</v>
      </c>
      <c r="I809" t="s">
        <v>231</v>
      </c>
      <c r="J809" t="s">
        <v>189</v>
      </c>
      <c r="K809">
        <v>20</v>
      </c>
      <c r="L809" s="63">
        <v>9.0410958904109592E-2</v>
      </c>
      <c r="M809">
        <v>34</v>
      </c>
    </row>
    <row r="810" spans="2:13" x14ac:dyDescent="0.25">
      <c r="B810" s="33">
        <v>1</v>
      </c>
      <c r="C810" t="s">
        <v>59</v>
      </c>
      <c r="D810" t="s">
        <v>76</v>
      </c>
      <c r="E810">
        <v>21</v>
      </c>
      <c r="F810" s="2">
        <v>2.7397260273972601E-2</v>
      </c>
      <c r="H810" s="33">
        <v>1</v>
      </c>
      <c r="I810" t="s">
        <v>59</v>
      </c>
      <c r="J810" t="s">
        <v>76</v>
      </c>
      <c r="K810">
        <v>21</v>
      </c>
      <c r="L810" s="63">
        <v>4.6575342465753428E-2</v>
      </c>
      <c r="M810">
        <v>20</v>
      </c>
    </row>
    <row r="811" spans="2:13" x14ac:dyDescent="0.25">
      <c r="B811" s="33">
        <v>1</v>
      </c>
      <c r="C811" t="s">
        <v>0</v>
      </c>
      <c r="D811" t="s">
        <v>65</v>
      </c>
      <c r="E811">
        <v>23</v>
      </c>
      <c r="F811" s="2">
        <v>3.2876712328767099E-2</v>
      </c>
      <c r="H811" s="33">
        <v>1</v>
      </c>
      <c r="I811" t="s">
        <v>0</v>
      </c>
      <c r="J811" t="s">
        <v>65</v>
      </c>
      <c r="K811">
        <v>23</v>
      </c>
      <c r="L811" s="63">
        <v>4.1095890410958902E-2</v>
      </c>
      <c r="M811">
        <v>16</v>
      </c>
    </row>
    <row r="812" spans="2:13" x14ac:dyDescent="0.25">
      <c r="B812" s="33">
        <v>1</v>
      </c>
      <c r="C812" t="s">
        <v>0</v>
      </c>
      <c r="D812" t="s">
        <v>64</v>
      </c>
      <c r="E812">
        <v>3</v>
      </c>
      <c r="F812" s="2">
        <v>0</v>
      </c>
      <c r="H812" s="33">
        <v>1</v>
      </c>
      <c r="I812" t="s">
        <v>0</v>
      </c>
      <c r="J812" t="s">
        <v>64</v>
      </c>
      <c r="K812">
        <v>3</v>
      </c>
      <c r="L812" s="63">
        <v>2.7397260273972601E-2</v>
      </c>
      <c r="M812">
        <v>11</v>
      </c>
    </row>
    <row r="813" spans="2:13" x14ac:dyDescent="0.25">
      <c r="B813" s="33">
        <v>1</v>
      </c>
      <c r="C813" t="s">
        <v>57</v>
      </c>
      <c r="D813" t="s">
        <v>58</v>
      </c>
      <c r="E813">
        <v>4</v>
      </c>
      <c r="F813" s="2">
        <v>1.3698630136986301E-2</v>
      </c>
      <c r="H813" s="33">
        <v>1</v>
      </c>
      <c r="I813" t="s">
        <v>57</v>
      </c>
      <c r="J813" t="s">
        <v>58</v>
      </c>
      <c r="K813">
        <v>4</v>
      </c>
      <c r="L813" s="63">
        <v>4.9315068493150684E-2</v>
      </c>
      <c r="M813">
        <v>18</v>
      </c>
    </row>
    <row r="814" spans="2:13" x14ac:dyDescent="0.25">
      <c r="B814" s="33">
        <v>1</v>
      </c>
      <c r="C814" t="s">
        <v>231</v>
      </c>
      <c r="D814" t="s">
        <v>190</v>
      </c>
      <c r="E814">
        <v>5</v>
      </c>
      <c r="F814" s="2">
        <v>2.7397260273972599E-3</v>
      </c>
      <c r="H814" s="33">
        <v>1</v>
      </c>
      <c r="I814" t="s">
        <v>231</v>
      </c>
      <c r="J814" t="s">
        <v>190</v>
      </c>
      <c r="K814">
        <v>5</v>
      </c>
      <c r="L814" s="63">
        <v>5.4794520547945206E-3</v>
      </c>
      <c r="M814">
        <v>2</v>
      </c>
    </row>
    <row r="815" spans="2:13" x14ac:dyDescent="0.25">
      <c r="B815" s="33">
        <v>1</v>
      </c>
      <c r="C815" t="s">
        <v>57</v>
      </c>
      <c r="D815" t="s">
        <v>74</v>
      </c>
      <c r="E815">
        <v>11</v>
      </c>
      <c r="F815" s="2">
        <v>6.8493150684931503E-2</v>
      </c>
      <c r="H815" s="33">
        <v>1</v>
      </c>
      <c r="I815" t="s">
        <v>57</v>
      </c>
      <c r="J815" t="s">
        <v>74</v>
      </c>
      <c r="K815">
        <v>11</v>
      </c>
      <c r="L815" s="63">
        <v>0.10684931506849316</v>
      </c>
      <c r="M815">
        <v>44</v>
      </c>
    </row>
    <row r="816" spans="2:13" x14ac:dyDescent="0.25">
      <c r="B816" s="33">
        <v>1</v>
      </c>
      <c r="C816" t="s">
        <v>2</v>
      </c>
      <c r="D816" t="s">
        <v>32</v>
      </c>
      <c r="E816">
        <v>12</v>
      </c>
      <c r="F816" s="2">
        <v>1.3698630136986301E-2</v>
      </c>
      <c r="H816" s="33">
        <v>1</v>
      </c>
      <c r="I816" t="s">
        <v>2</v>
      </c>
      <c r="J816" t="s">
        <v>32</v>
      </c>
      <c r="K816">
        <v>12</v>
      </c>
      <c r="L816" s="63">
        <v>1.3698630136986301E-2</v>
      </c>
      <c r="M816">
        <v>5</v>
      </c>
    </row>
    <row r="817" spans="2:13" x14ac:dyDescent="0.25">
      <c r="B817" s="33">
        <v>1</v>
      </c>
      <c r="C817" t="s">
        <v>292</v>
      </c>
      <c r="D817" t="s">
        <v>296</v>
      </c>
      <c r="E817">
        <v>16</v>
      </c>
      <c r="F817" s="2">
        <v>6.02739726027397E-2</v>
      </c>
      <c r="H817" s="33">
        <v>1</v>
      </c>
      <c r="I817" t="s">
        <v>292</v>
      </c>
      <c r="J817" t="s">
        <v>296</v>
      </c>
      <c r="K817">
        <v>16</v>
      </c>
      <c r="L817" s="63">
        <v>5.4794520547945202E-2</v>
      </c>
      <c r="M817">
        <v>22</v>
      </c>
    </row>
    <row r="818" spans="2:13" x14ac:dyDescent="0.25">
      <c r="B818" s="33">
        <v>1</v>
      </c>
      <c r="C818" t="s">
        <v>292</v>
      </c>
      <c r="D818" t="s">
        <v>320</v>
      </c>
      <c r="E818">
        <v>17</v>
      </c>
      <c r="F818" s="2">
        <v>3.8356164383561597E-2</v>
      </c>
      <c r="H818" s="33">
        <v>1</v>
      </c>
      <c r="I818" t="s">
        <v>292</v>
      </c>
      <c r="J818" t="s">
        <v>320</v>
      </c>
      <c r="K818">
        <v>17</v>
      </c>
      <c r="L818" s="63">
        <v>3.5616438356164383E-2</v>
      </c>
      <c r="M818">
        <v>14</v>
      </c>
    </row>
    <row r="819" spans="2:13" x14ac:dyDescent="0.25">
      <c r="B819" s="33">
        <v>1</v>
      </c>
      <c r="C819" t="s">
        <v>57</v>
      </c>
      <c r="D819" t="s">
        <v>67</v>
      </c>
      <c r="E819">
        <v>18</v>
      </c>
      <c r="F819" s="2">
        <v>7.3972602739726001E-2</v>
      </c>
      <c r="H819" s="33">
        <v>1</v>
      </c>
      <c r="I819" t="s">
        <v>57</v>
      </c>
      <c r="J819" t="s">
        <v>67</v>
      </c>
      <c r="K819">
        <v>18</v>
      </c>
      <c r="L819" s="63">
        <v>0.11506849315068493</v>
      </c>
      <c r="M819">
        <v>46</v>
      </c>
    </row>
    <row r="820" spans="2:13" x14ac:dyDescent="0.25">
      <c r="B820" s="33">
        <v>1</v>
      </c>
      <c r="C820" t="s">
        <v>57</v>
      </c>
      <c r="D820" t="s">
        <v>77</v>
      </c>
      <c r="E820">
        <v>20</v>
      </c>
      <c r="F820" s="2">
        <v>1.3698630136986301E-2</v>
      </c>
      <c r="H820" s="33">
        <v>1</v>
      </c>
      <c r="I820" t="s">
        <v>57</v>
      </c>
      <c r="J820" t="s">
        <v>77</v>
      </c>
      <c r="K820">
        <v>20</v>
      </c>
      <c r="L820" s="63">
        <v>2.7397260273972601E-2</v>
      </c>
      <c r="M820">
        <v>10</v>
      </c>
    </row>
    <row r="821" spans="2:13" x14ac:dyDescent="0.25">
      <c r="B821" s="33">
        <v>1</v>
      </c>
      <c r="C821" t="s">
        <v>0</v>
      </c>
      <c r="D821" t="s">
        <v>65</v>
      </c>
      <c r="E821">
        <v>22</v>
      </c>
      <c r="F821" s="2">
        <v>3.0136986301369899E-2</v>
      </c>
      <c r="H821" s="33">
        <v>1</v>
      </c>
      <c r="I821" t="s">
        <v>0</v>
      </c>
      <c r="J821" t="s">
        <v>65</v>
      </c>
      <c r="K821">
        <v>22</v>
      </c>
      <c r="L821" s="63">
        <v>5.4794520547945202E-2</v>
      </c>
      <c r="M821">
        <v>23</v>
      </c>
    </row>
    <row r="822" spans="2:13" x14ac:dyDescent="0.25">
      <c r="B822" s="33">
        <v>1</v>
      </c>
      <c r="C822" t="s">
        <v>2</v>
      </c>
      <c r="D822" t="s">
        <v>21</v>
      </c>
      <c r="E822">
        <v>22</v>
      </c>
      <c r="F822" s="2">
        <v>8.21917808219178E-3</v>
      </c>
      <c r="H822" s="33">
        <v>1</v>
      </c>
      <c r="I822" t="s">
        <v>2</v>
      </c>
      <c r="J822" t="s">
        <v>21</v>
      </c>
      <c r="K822">
        <v>22</v>
      </c>
      <c r="L822" s="63">
        <v>1.643835616438356E-2</v>
      </c>
      <c r="M822">
        <v>8</v>
      </c>
    </row>
    <row r="823" spans="2:13" x14ac:dyDescent="0.25">
      <c r="B823" s="33">
        <v>1</v>
      </c>
      <c r="C823" t="s">
        <v>0</v>
      </c>
      <c r="D823" t="s">
        <v>61</v>
      </c>
      <c r="E823">
        <v>22</v>
      </c>
      <c r="F823" s="2">
        <v>2.46575342465753E-2</v>
      </c>
      <c r="H823" s="33">
        <v>1</v>
      </c>
      <c r="I823" t="s">
        <v>0</v>
      </c>
      <c r="J823" t="s">
        <v>61</v>
      </c>
      <c r="K823">
        <v>22</v>
      </c>
      <c r="L823" s="63">
        <v>5.2054794520547946E-2</v>
      </c>
      <c r="M823">
        <v>21</v>
      </c>
    </row>
    <row r="824" spans="2:13" x14ac:dyDescent="0.25">
      <c r="B824" s="33">
        <v>1</v>
      </c>
      <c r="C824" t="s">
        <v>59</v>
      </c>
      <c r="D824" t="s">
        <v>68</v>
      </c>
      <c r="E824">
        <v>23</v>
      </c>
      <c r="F824" s="2">
        <v>3.0136986301369899E-2</v>
      </c>
      <c r="H824" s="33">
        <v>1</v>
      </c>
      <c r="I824" t="s">
        <v>59</v>
      </c>
      <c r="J824" t="s">
        <v>68</v>
      </c>
      <c r="K824">
        <v>23</v>
      </c>
      <c r="L824" s="63">
        <v>5.2054794520547946E-2</v>
      </c>
      <c r="M824">
        <v>25</v>
      </c>
    </row>
    <row r="825" spans="2:13" x14ac:dyDescent="0.25">
      <c r="B825" s="33">
        <v>1</v>
      </c>
      <c r="C825" t="s">
        <v>307</v>
      </c>
      <c r="D825" t="s">
        <v>308</v>
      </c>
      <c r="E825">
        <v>23</v>
      </c>
      <c r="F825" s="2">
        <v>2.19178082191781E-2</v>
      </c>
      <c r="H825" s="33">
        <v>1</v>
      </c>
      <c r="I825" t="s">
        <v>307</v>
      </c>
      <c r="J825" t="s">
        <v>308</v>
      </c>
      <c r="K825">
        <v>23</v>
      </c>
      <c r="L825" s="63">
        <v>2.1917808219178082E-2</v>
      </c>
      <c r="M825">
        <v>8</v>
      </c>
    </row>
    <row r="826" spans="2:13" x14ac:dyDescent="0.25">
      <c r="B826" s="33">
        <v>1</v>
      </c>
      <c r="C826" t="s">
        <v>0</v>
      </c>
      <c r="D826" t="s">
        <v>61</v>
      </c>
      <c r="E826">
        <v>0</v>
      </c>
      <c r="F826" s="2">
        <v>2.7397260273972601E-2</v>
      </c>
      <c r="H826" s="33">
        <v>1</v>
      </c>
      <c r="I826" t="s">
        <v>0</v>
      </c>
      <c r="J826" t="s">
        <v>61</v>
      </c>
      <c r="K826">
        <v>0</v>
      </c>
      <c r="L826" s="63">
        <v>3.8356164383561646E-2</v>
      </c>
      <c r="M826">
        <v>15</v>
      </c>
    </row>
    <row r="827" spans="2:13" x14ac:dyDescent="0.25">
      <c r="B827" s="33">
        <v>1</v>
      </c>
      <c r="C827" t="s">
        <v>59</v>
      </c>
      <c r="D827" t="s">
        <v>60</v>
      </c>
      <c r="E827">
        <v>3</v>
      </c>
      <c r="F827" s="2">
        <v>8.21917808219178E-3</v>
      </c>
      <c r="H827" s="33">
        <v>1</v>
      </c>
      <c r="I827" t="s">
        <v>59</v>
      </c>
      <c r="J827" t="s">
        <v>60</v>
      </c>
      <c r="K827">
        <v>3</v>
      </c>
      <c r="L827" s="63">
        <v>5.4794520547945202E-2</v>
      </c>
      <c r="M827">
        <v>20</v>
      </c>
    </row>
    <row r="828" spans="2:13" x14ac:dyDescent="0.25">
      <c r="B828" s="33">
        <v>1</v>
      </c>
      <c r="C828" t="s">
        <v>2</v>
      </c>
      <c r="D828" t="s">
        <v>36</v>
      </c>
      <c r="E828">
        <v>8</v>
      </c>
      <c r="F828" s="2">
        <v>6.3013698630137005E-2</v>
      </c>
      <c r="H828" s="33">
        <v>1</v>
      </c>
      <c r="I828" t="s">
        <v>2</v>
      </c>
      <c r="J828" t="s">
        <v>36</v>
      </c>
      <c r="K828">
        <v>8</v>
      </c>
      <c r="L828" s="63">
        <v>7.1232876712328766E-2</v>
      </c>
      <c r="M828">
        <v>31</v>
      </c>
    </row>
    <row r="829" spans="2:13" x14ac:dyDescent="0.25">
      <c r="B829" s="33">
        <v>1</v>
      </c>
      <c r="C829" t="s">
        <v>231</v>
      </c>
      <c r="D829" t="s">
        <v>186</v>
      </c>
      <c r="E829">
        <v>12</v>
      </c>
      <c r="F829" s="2">
        <v>3.5616438356164397E-2</v>
      </c>
      <c r="H829" s="33">
        <v>1</v>
      </c>
      <c r="I829" t="s">
        <v>231</v>
      </c>
      <c r="J829" t="s">
        <v>186</v>
      </c>
      <c r="K829">
        <v>12</v>
      </c>
      <c r="L829" s="63">
        <v>7.6712328767123292E-2</v>
      </c>
      <c r="M829">
        <v>36</v>
      </c>
    </row>
    <row r="830" spans="2:13" x14ac:dyDescent="0.25">
      <c r="B830" s="33">
        <v>1</v>
      </c>
      <c r="C830" t="s">
        <v>307</v>
      </c>
      <c r="D830" t="s">
        <v>393</v>
      </c>
      <c r="E830">
        <v>13</v>
      </c>
      <c r="F830" s="2">
        <v>6.02739726027397E-2</v>
      </c>
      <c r="H830" s="33">
        <v>1</v>
      </c>
      <c r="I830" t="s">
        <v>307</v>
      </c>
      <c r="J830" t="s">
        <v>393</v>
      </c>
      <c r="K830">
        <v>13</v>
      </c>
      <c r="L830" s="63">
        <v>5.7534246575342465E-2</v>
      </c>
      <c r="M830">
        <v>22</v>
      </c>
    </row>
    <row r="831" spans="2:13" x14ac:dyDescent="0.25">
      <c r="B831" s="33">
        <v>1</v>
      </c>
      <c r="C831" t="s">
        <v>2</v>
      </c>
      <c r="D831" t="s">
        <v>32</v>
      </c>
      <c r="E831">
        <v>15</v>
      </c>
      <c r="F831" s="2">
        <v>1.0958904109589E-2</v>
      </c>
      <c r="H831" s="33">
        <v>1</v>
      </c>
      <c r="I831" t="s">
        <v>2</v>
      </c>
      <c r="J831" t="s">
        <v>32</v>
      </c>
      <c r="K831">
        <v>15</v>
      </c>
      <c r="L831" s="63">
        <v>3.8356164383561646E-2</v>
      </c>
      <c r="M831">
        <v>14</v>
      </c>
    </row>
    <row r="832" spans="2:13" x14ac:dyDescent="0.25">
      <c r="B832" s="33">
        <v>1</v>
      </c>
      <c r="C832" t="s">
        <v>0</v>
      </c>
      <c r="D832" t="s">
        <v>71</v>
      </c>
      <c r="E832">
        <v>17</v>
      </c>
      <c r="F832" s="2">
        <v>2.46575342465753E-2</v>
      </c>
      <c r="H832" s="33">
        <v>1</v>
      </c>
      <c r="I832" t="s">
        <v>0</v>
      </c>
      <c r="J832" t="s">
        <v>71</v>
      </c>
      <c r="K832">
        <v>17</v>
      </c>
      <c r="L832" s="63">
        <v>0.10684931506849316</v>
      </c>
      <c r="M832">
        <v>42</v>
      </c>
    </row>
    <row r="833" spans="2:13" x14ac:dyDescent="0.25">
      <c r="B833" s="33">
        <v>1</v>
      </c>
      <c r="C833" t="s">
        <v>276</v>
      </c>
      <c r="D833" t="s">
        <v>290</v>
      </c>
      <c r="E833">
        <v>17</v>
      </c>
      <c r="F833" s="2">
        <v>3.2876712328767099E-2</v>
      </c>
      <c r="H833" s="33">
        <v>1</v>
      </c>
      <c r="I833" t="s">
        <v>276</v>
      </c>
      <c r="J833" t="s">
        <v>290</v>
      </c>
      <c r="K833">
        <v>17</v>
      </c>
      <c r="L833" s="63">
        <v>2.4657534246575342E-2</v>
      </c>
      <c r="M833">
        <v>12</v>
      </c>
    </row>
    <row r="834" spans="2:13" x14ac:dyDescent="0.25">
      <c r="B834" s="33">
        <v>1</v>
      </c>
      <c r="C834" t="s">
        <v>2</v>
      </c>
      <c r="D834" t="s">
        <v>37</v>
      </c>
      <c r="E834">
        <v>18</v>
      </c>
      <c r="F834" s="2">
        <v>1.3698630136986301E-2</v>
      </c>
      <c r="H834" s="33">
        <v>1</v>
      </c>
      <c r="I834" t="s">
        <v>2</v>
      </c>
      <c r="J834" t="s">
        <v>37</v>
      </c>
      <c r="K834">
        <v>18</v>
      </c>
      <c r="L834" s="63">
        <v>9.0410958904109592E-2</v>
      </c>
      <c r="M834">
        <v>34</v>
      </c>
    </row>
    <row r="835" spans="2:13" x14ac:dyDescent="0.25">
      <c r="B835" s="33">
        <v>1</v>
      </c>
      <c r="C835" t="s">
        <v>57</v>
      </c>
      <c r="D835" t="s">
        <v>66</v>
      </c>
      <c r="E835">
        <v>19</v>
      </c>
      <c r="F835" s="2">
        <v>7.1232876712328794E-2</v>
      </c>
      <c r="H835" s="33">
        <v>1</v>
      </c>
      <c r="I835" t="s">
        <v>57</v>
      </c>
      <c r="J835" t="s">
        <v>66</v>
      </c>
      <c r="K835">
        <v>19</v>
      </c>
      <c r="L835" s="63">
        <v>0.12328767123287671</v>
      </c>
      <c r="M835">
        <v>50</v>
      </c>
    </row>
    <row r="836" spans="2:13" x14ac:dyDescent="0.25">
      <c r="B836" s="33">
        <v>1</v>
      </c>
      <c r="C836" t="s">
        <v>0</v>
      </c>
      <c r="D836" t="s">
        <v>71</v>
      </c>
      <c r="E836">
        <v>22</v>
      </c>
      <c r="F836" s="2">
        <v>5.4794520547945197E-3</v>
      </c>
      <c r="H836" s="33">
        <v>1</v>
      </c>
      <c r="I836" t="s">
        <v>0</v>
      </c>
      <c r="J836" t="s">
        <v>71</v>
      </c>
      <c r="K836">
        <v>22</v>
      </c>
      <c r="L836" s="63">
        <v>5.7534246575342465E-2</v>
      </c>
      <c r="M836">
        <v>22</v>
      </c>
    </row>
    <row r="837" spans="2:13" x14ac:dyDescent="0.25">
      <c r="B837" s="33">
        <v>1</v>
      </c>
      <c r="C837" t="s">
        <v>231</v>
      </c>
      <c r="D837" t="s">
        <v>184</v>
      </c>
      <c r="E837">
        <v>23</v>
      </c>
      <c r="F837" s="2">
        <v>5.2054794520547898E-2</v>
      </c>
      <c r="H837" s="33">
        <v>1</v>
      </c>
      <c r="I837" t="s">
        <v>231</v>
      </c>
      <c r="J837" t="s">
        <v>184</v>
      </c>
      <c r="K837">
        <v>23</v>
      </c>
      <c r="L837" s="63">
        <v>0.11506849315068493</v>
      </c>
      <c r="M837">
        <v>45</v>
      </c>
    </row>
    <row r="838" spans="2:13" x14ac:dyDescent="0.25">
      <c r="B838" s="33">
        <v>1</v>
      </c>
      <c r="C838" t="s">
        <v>0</v>
      </c>
      <c r="D838" t="s">
        <v>79</v>
      </c>
      <c r="E838">
        <v>8</v>
      </c>
      <c r="F838" s="2">
        <v>1.9178082191780799E-2</v>
      </c>
      <c r="H838" s="33">
        <v>1</v>
      </c>
      <c r="I838" t="s">
        <v>0</v>
      </c>
      <c r="J838" t="s">
        <v>79</v>
      </c>
      <c r="K838">
        <v>8</v>
      </c>
      <c r="L838" s="63">
        <v>2.4657534246575342E-2</v>
      </c>
      <c r="M838">
        <v>10</v>
      </c>
    </row>
    <row r="839" spans="2:13" x14ac:dyDescent="0.25">
      <c r="B839" s="33">
        <v>1</v>
      </c>
      <c r="C839" t="s">
        <v>231</v>
      </c>
      <c r="D839" t="s">
        <v>190</v>
      </c>
      <c r="E839">
        <v>8</v>
      </c>
      <c r="F839" s="2">
        <v>1.0958904109589E-2</v>
      </c>
      <c r="H839" s="33">
        <v>1</v>
      </c>
      <c r="I839" t="s">
        <v>231</v>
      </c>
      <c r="J839" t="s">
        <v>190</v>
      </c>
      <c r="K839">
        <v>8</v>
      </c>
      <c r="L839" s="63">
        <v>1.0958904109589041E-2</v>
      </c>
      <c r="M839">
        <v>4</v>
      </c>
    </row>
    <row r="840" spans="2:13" x14ac:dyDescent="0.25">
      <c r="B840" s="33">
        <v>1</v>
      </c>
      <c r="C840" t="s">
        <v>307</v>
      </c>
      <c r="D840" t="s">
        <v>308</v>
      </c>
      <c r="E840">
        <v>9</v>
      </c>
      <c r="F840" s="2">
        <v>2.7397260273972601E-2</v>
      </c>
      <c r="H840" s="33">
        <v>1</v>
      </c>
      <c r="I840" t="s">
        <v>307</v>
      </c>
      <c r="J840" t="s">
        <v>308</v>
      </c>
      <c r="K840">
        <v>9</v>
      </c>
      <c r="L840" s="63">
        <v>2.7397260273972601E-2</v>
      </c>
      <c r="M840">
        <v>10</v>
      </c>
    </row>
    <row r="841" spans="2:13" x14ac:dyDescent="0.25">
      <c r="B841" s="33">
        <v>1</v>
      </c>
      <c r="C841" t="s">
        <v>292</v>
      </c>
      <c r="D841" t="s">
        <v>296</v>
      </c>
      <c r="E841">
        <v>11</v>
      </c>
      <c r="F841" s="2">
        <v>1.6438356164383602E-2</v>
      </c>
      <c r="H841" s="33">
        <v>1</v>
      </c>
      <c r="I841" t="s">
        <v>292</v>
      </c>
      <c r="J841" t="s">
        <v>296</v>
      </c>
      <c r="K841">
        <v>11</v>
      </c>
      <c r="L841" s="63">
        <v>1.643835616438356E-2</v>
      </c>
      <c r="M841">
        <v>6</v>
      </c>
    </row>
    <row r="842" spans="2:13" x14ac:dyDescent="0.25">
      <c r="B842" s="33">
        <v>1</v>
      </c>
      <c r="C842" t="s">
        <v>0</v>
      </c>
      <c r="D842" t="s">
        <v>64</v>
      </c>
      <c r="E842">
        <v>12</v>
      </c>
      <c r="F842" s="2">
        <v>7.9452054794520596E-2</v>
      </c>
      <c r="H842" s="33">
        <v>1</v>
      </c>
      <c r="I842" t="s">
        <v>0</v>
      </c>
      <c r="J842" t="s">
        <v>64</v>
      </c>
      <c r="K842">
        <v>12</v>
      </c>
      <c r="L842" s="63">
        <v>8.2191780821917804E-2</v>
      </c>
      <c r="M842">
        <v>32</v>
      </c>
    </row>
    <row r="843" spans="2:13" x14ac:dyDescent="0.25">
      <c r="B843" s="33">
        <v>1</v>
      </c>
      <c r="C843" t="s">
        <v>292</v>
      </c>
      <c r="D843" t="s">
        <v>297</v>
      </c>
      <c r="E843">
        <v>13</v>
      </c>
      <c r="F843" s="2">
        <v>1.9178082191780799E-2</v>
      </c>
      <c r="H843" s="33">
        <v>1</v>
      </c>
      <c r="I843" t="s">
        <v>292</v>
      </c>
      <c r="J843" t="s">
        <v>297</v>
      </c>
      <c r="K843">
        <v>13</v>
      </c>
      <c r="L843" s="63">
        <v>1.9178082191780823E-2</v>
      </c>
      <c r="M843">
        <v>7</v>
      </c>
    </row>
    <row r="844" spans="2:13" x14ac:dyDescent="0.25">
      <c r="B844" s="33">
        <v>1</v>
      </c>
      <c r="C844" t="s">
        <v>307</v>
      </c>
      <c r="D844" t="s">
        <v>309</v>
      </c>
      <c r="E844">
        <v>16</v>
      </c>
      <c r="F844" s="2">
        <v>1.9178082191780799E-2</v>
      </c>
      <c r="H844" s="33">
        <v>1</v>
      </c>
      <c r="I844" t="s">
        <v>307</v>
      </c>
      <c r="J844" t="s">
        <v>309</v>
      </c>
      <c r="K844">
        <v>16</v>
      </c>
      <c r="L844" s="63">
        <v>1.9178082191780823E-2</v>
      </c>
      <c r="M844">
        <v>7</v>
      </c>
    </row>
    <row r="845" spans="2:13" x14ac:dyDescent="0.25">
      <c r="B845" s="33">
        <v>1</v>
      </c>
      <c r="C845" t="s">
        <v>2</v>
      </c>
      <c r="D845" t="s">
        <v>316</v>
      </c>
      <c r="E845">
        <v>18</v>
      </c>
      <c r="F845" s="2">
        <v>0.2</v>
      </c>
      <c r="H845" s="33">
        <v>1</v>
      </c>
      <c r="I845" t="s">
        <v>2</v>
      </c>
      <c r="J845" t="s">
        <v>316</v>
      </c>
      <c r="K845">
        <v>18</v>
      </c>
      <c r="L845" s="63">
        <v>0.15068493150684931</v>
      </c>
      <c r="M845">
        <v>73</v>
      </c>
    </row>
    <row r="846" spans="2:13" x14ac:dyDescent="0.25">
      <c r="B846" s="33">
        <v>1</v>
      </c>
      <c r="C846" t="s">
        <v>2</v>
      </c>
      <c r="D846" t="s">
        <v>32</v>
      </c>
      <c r="E846">
        <v>18</v>
      </c>
      <c r="F846" s="2">
        <v>1.3698630136986301E-2</v>
      </c>
      <c r="H846" s="33">
        <v>1</v>
      </c>
      <c r="I846" t="s">
        <v>2</v>
      </c>
      <c r="J846" t="s">
        <v>32</v>
      </c>
      <c r="K846">
        <v>18</v>
      </c>
      <c r="L846" s="63">
        <v>3.287671232876712E-2</v>
      </c>
      <c r="M846">
        <v>13</v>
      </c>
    </row>
    <row r="847" spans="2:13" x14ac:dyDescent="0.25">
      <c r="B847" s="33">
        <v>1</v>
      </c>
      <c r="C847" t="s">
        <v>2</v>
      </c>
      <c r="D847" t="s">
        <v>26</v>
      </c>
      <c r="E847">
        <v>21</v>
      </c>
      <c r="F847" s="2">
        <v>3.2876712328767099E-2</v>
      </c>
      <c r="H847" s="33">
        <v>1</v>
      </c>
      <c r="I847" t="s">
        <v>2</v>
      </c>
      <c r="J847" t="s">
        <v>26</v>
      </c>
      <c r="K847">
        <v>21</v>
      </c>
      <c r="L847" s="63">
        <v>7.9452054794520555E-2</v>
      </c>
      <c r="M847">
        <v>30</v>
      </c>
    </row>
    <row r="848" spans="2:13" x14ac:dyDescent="0.25">
      <c r="B848" s="33">
        <v>1</v>
      </c>
      <c r="C848" t="s">
        <v>231</v>
      </c>
      <c r="D848" t="s">
        <v>188</v>
      </c>
      <c r="E848">
        <v>23</v>
      </c>
      <c r="F848" s="2">
        <v>8.21917808219178E-3</v>
      </c>
      <c r="H848" s="33">
        <v>1</v>
      </c>
      <c r="I848" t="s">
        <v>231</v>
      </c>
      <c r="J848" t="s">
        <v>188</v>
      </c>
      <c r="K848">
        <v>23</v>
      </c>
      <c r="L848" s="63">
        <v>1.643835616438356E-2</v>
      </c>
      <c r="M848">
        <v>6</v>
      </c>
    </row>
    <row r="849" spans="2:13" x14ac:dyDescent="0.25">
      <c r="B849" s="33">
        <v>1</v>
      </c>
      <c r="C849" t="s">
        <v>57</v>
      </c>
      <c r="D849" t="s">
        <v>66</v>
      </c>
      <c r="E849">
        <v>2</v>
      </c>
      <c r="F849" s="2">
        <v>1.9178082191780799E-2</v>
      </c>
      <c r="H849" s="33">
        <v>1</v>
      </c>
      <c r="I849" t="s">
        <v>57</v>
      </c>
      <c r="J849" t="s">
        <v>66</v>
      </c>
      <c r="K849">
        <v>2</v>
      </c>
      <c r="L849" s="63">
        <v>6.575342465753424E-2</v>
      </c>
      <c r="M849">
        <v>27</v>
      </c>
    </row>
    <row r="850" spans="2:13" x14ac:dyDescent="0.25">
      <c r="B850" s="33">
        <v>1</v>
      </c>
      <c r="C850" t="s">
        <v>57</v>
      </c>
      <c r="D850" t="s">
        <v>74</v>
      </c>
      <c r="E850">
        <v>5</v>
      </c>
      <c r="F850" s="2">
        <v>5.4794520547945197E-3</v>
      </c>
      <c r="H850" s="33">
        <v>1</v>
      </c>
      <c r="I850" t="s">
        <v>57</v>
      </c>
      <c r="J850" t="s">
        <v>74</v>
      </c>
      <c r="K850">
        <v>5</v>
      </c>
      <c r="L850" s="63">
        <v>1.3698630136986301E-2</v>
      </c>
      <c r="M850">
        <v>5</v>
      </c>
    </row>
    <row r="851" spans="2:13" x14ac:dyDescent="0.25">
      <c r="B851" s="33">
        <v>1</v>
      </c>
      <c r="C851" t="s">
        <v>307</v>
      </c>
      <c r="D851" t="s">
        <v>312</v>
      </c>
      <c r="E851">
        <v>13</v>
      </c>
      <c r="F851" s="2">
        <v>5.4794520547945202E-2</v>
      </c>
      <c r="H851" s="33">
        <v>1</v>
      </c>
      <c r="I851" t="s">
        <v>307</v>
      </c>
      <c r="J851" t="s">
        <v>312</v>
      </c>
      <c r="K851">
        <v>13</v>
      </c>
      <c r="L851" s="63">
        <v>4.6575342465753428E-2</v>
      </c>
      <c r="M851">
        <v>20</v>
      </c>
    </row>
    <row r="852" spans="2:13" x14ac:dyDescent="0.25">
      <c r="B852" s="33">
        <v>1</v>
      </c>
      <c r="C852" t="s">
        <v>307</v>
      </c>
      <c r="D852" t="s">
        <v>394</v>
      </c>
      <c r="E852">
        <v>17</v>
      </c>
      <c r="F852" s="2">
        <v>3.0136986301369899E-2</v>
      </c>
      <c r="H852" s="33">
        <v>1</v>
      </c>
      <c r="I852" t="s">
        <v>307</v>
      </c>
      <c r="J852" t="s">
        <v>314</v>
      </c>
      <c r="K852">
        <v>17</v>
      </c>
      <c r="L852" s="63">
        <v>3.0136986301369864E-2</v>
      </c>
      <c r="M852">
        <v>11</v>
      </c>
    </row>
    <row r="853" spans="2:13" x14ac:dyDescent="0.25">
      <c r="B853" s="33">
        <v>1</v>
      </c>
      <c r="C853" t="s">
        <v>231</v>
      </c>
      <c r="D853" t="s">
        <v>184</v>
      </c>
      <c r="E853">
        <v>17</v>
      </c>
      <c r="F853" s="2">
        <v>0.145205479452055</v>
      </c>
      <c r="H853" s="33">
        <v>1</v>
      </c>
      <c r="I853" t="s">
        <v>231</v>
      </c>
      <c r="J853" t="s">
        <v>184</v>
      </c>
      <c r="K853">
        <v>17</v>
      </c>
      <c r="L853" s="63">
        <v>0.17534246575342466</v>
      </c>
      <c r="M853">
        <v>78</v>
      </c>
    </row>
    <row r="854" spans="2:13" x14ac:dyDescent="0.25">
      <c r="B854" s="33">
        <v>1</v>
      </c>
      <c r="C854" t="s">
        <v>307</v>
      </c>
      <c r="D854" t="s">
        <v>309</v>
      </c>
      <c r="E854">
        <v>19</v>
      </c>
      <c r="F854" s="2">
        <v>2.7397260273972599E-3</v>
      </c>
      <c r="H854" s="33">
        <v>1</v>
      </c>
      <c r="I854" t="s">
        <v>307</v>
      </c>
      <c r="J854" t="s">
        <v>309</v>
      </c>
      <c r="K854">
        <v>19</v>
      </c>
      <c r="L854" s="63">
        <v>2.7397260273972603E-3</v>
      </c>
      <c r="M854">
        <v>1</v>
      </c>
    </row>
    <row r="855" spans="2:13" x14ac:dyDescent="0.25">
      <c r="B855" s="33">
        <v>1</v>
      </c>
      <c r="C855" t="s">
        <v>2</v>
      </c>
      <c r="D855" t="s">
        <v>17</v>
      </c>
      <c r="E855">
        <v>21</v>
      </c>
      <c r="F855" s="2">
        <v>7.9452054794520596E-2</v>
      </c>
      <c r="H855" s="33">
        <v>1</v>
      </c>
      <c r="I855" t="s">
        <v>2</v>
      </c>
      <c r="J855" t="s">
        <v>17</v>
      </c>
      <c r="K855">
        <v>21</v>
      </c>
      <c r="L855" s="63">
        <v>8.2191780821917804E-2</v>
      </c>
      <c r="M855">
        <v>41</v>
      </c>
    </row>
    <row r="856" spans="2:13" x14ac:dyDescent="0.25">
      <c r="B856" s="33">
        <v>1</v>
      </c>
      <c r="C856" t="s">
        <v>0</v>
      </c>
      <c r="D856" t="s">
        <v>70</v>
      </c>
      <c r="E856">
        <v>23</v>
      </c>
      <c r="F856" s="2">
        <v>3.2876712328767099E-2</v>
      </c>
      <c r="H856" s="33">
        <v>1</v>
      </c>
      <c r="I856" t="s">
        <v>0</v>
      </c>
      <c r="J856" t="s">
        <v>70</v>
      </c>
      <c r="K856">
        <v>23</v>
      </c>
      <c r="L856" s="63">
        <v>6.3013698630136991E-2</v>
      </c>
      <c r="M856">
        <v>29</v>
      </c>
    </row>
    <row r="857" spans="2:13" x14ac:dyDescent="0.25">
      <c r="B857" s="33">
        <v>1</v>
      </c>
      <c r="C857" t="s">
        <v>231</v>
      </c>
      <c r="D857" t="s">
        <v>190</v>
      </c>
      <c r="E857">
        <v>0</v>
      </c>
      <c r="F857" s="2">
        <v>8.21917808219178E-3</v>
      </c>
      <c r="H857" s="33">
        <v>1</v>
      </c>
      <c r="I857" t="s">
        <v>231</v>
      </c>
      <c r="J857" t="s">
        <v>190</v>
      </c>
      <c r="K857">
        <v>0</v>
      </c>
      <c r="L857" s="63">
        <v>1.3698630136986301E-2</v>
      </c>
      <c r="M857">
        <v>5</v>
      </c>
    </row>
    <row r="858" spans="2:13" x14ac:dyDescent="0.25">
      <c r="B858" s="33">
        <v>1</v>
      </c>
      <c r="C858" t="s">
        <v>2</v>
      </c>
      <c r="D858" t="s">
        <v>36</v>
      </c>
      <c r="E858">
        <v>5</v>
      </c>
      <c r="F858" s="2">
        <v>8.21917808219178E-3</v>
      </c>
      <c r="H858" s="33">
        <v>1</v>
      </c>
      <c r="I858" t="s">
        <v>2</v>
      </c>
      <c r="J858" t="s">
        <v>36</v>
      </c>
      <c r="K858">
        <v>5</v>
      </c>
      <c r="L858" s="63">
        <v>1.3698630136986301E-2</v>
      </c>
      <c r="M858">
        <v>5</v>
      </c>
    </row>
    <row r="859" spans="2:13" x14ac:dyDescent="0.25">
      <c r="B859" s="33">
        <v>1</v>
      </c>
      <c r="C859" t="s">
        <v>292</v>
      </c>
      <c r="D859" t="s">
        <v>296</v>
      </c>
      <c r="E859">
        <v>10</v>
      </c>
      <c r="F859" s="2">
        <v>5.75342465753425E-2</v>
      </c>
      <c r="H859" s="33">
        <v>1</v>
      </c>
      <c r="I859" t="s">
        <v>292</v>
      </c>
      <c r="J859" t="s">
        <v>296</v>
      </c>
      <c r="K859">
        <v>10</v>
      </c>
      <c r="L859" s="63">
        <v>5.7534246575342465E-2</v>
      </c>
      <c r="M859">
        <v>21</v>
      </c>
    </row>
    <row r="860" spans="2:13" x14ac:dyDescent="0.25">
      <c r="B860" s="33">
        <v>1</v>
      </c>
      <c r="C860" t="s">
        <v>0</v>
      </c>
      <c r="D860" t="s">
        <v>79</v>
      </c>
      <c r="E860">
        <v>13</v>
      </c>
      <c r="F860" s="2">
        <v>1.3698630136986301E-2</v>
      </c>
      <c r="H860" s="33">
        <v>1</v>
      </c>
      <c r="I860" t="s">
        <v>0</v>
      </c>
      <c r="J860" t="s">
        <v>79</v>
      </c>
      <c r="K860">
        <v>13</v>
      </c>
      <c r="L860" s="63">
        <v>1.9178082191780823E-2</v>
      </c>
      <c r="M860">
        <v>7</v>
      </c>
    </row>
    <row r="861" spans="2:13" x14ac:dyDescent="0.25">
      <c r="B861" s="33">
        <v>1</v>
      </c>
      <c r="C861" t="s">
        <v>57</v>
      </c>
      <c r="D861" t="s">
        <v>77</v>
      </c>
      <c r="E861">
        <v>19</v>
      </c>
      <c r="F861" s="2">
        <v>1.3698630136986301E-2</v>
      </c>
      <c r="H861" s="33">
        <v>1</v>
      </c>
      <c r="I861" t="s">
        <v>57</v>
      </c>
      <c r="J861" t="s">
        <v>77</v>
      </c>
      <c r="K861">
        <v>19</v>
      </c>
      <c r="L861" s="63">
        <v>3.287671232876712E-2</v>
      </c>
      <c r="M861">
        <v>12</v>
      </c>
    </row>
    <row r="862" spans="2:13" x14ac:dyDescent="0.25">
      <c r="B862" s="33">
        <v>1</v>
      </c>
      <c r="C862" t="s">
        <v>231</v>
      </c>
      <c r="D862" t="s">
        <v>185</v>
      </c>
      <c r="E862">
        <v>20</v>
      </c>
      <c r="F862" s="2">
        <v>0.104109589041096</v>
      </c>
      <c r="H862" s="33">
        <v>1</v>
      </c>
      <c r="I862" t="s">
        <v>231</v>
      </c>
      <c r="J862" t="s">
        <v>185</v>
      </c>
      <c r="K862">
        <v>20</v>
      </c>
      <c r="L862" s="63">
        <v>0.17808219178082191</v>
      </c>
      <c r="M862">
        <v>76</v>
      </c>
    </row>
    <row r="863" spans="2:13" x14ac:dyDescent="0.25">
      <c r="B863" s="33">
        <v>1</v>
      </c>
      <c r="C863" t="s">
        <v>276</v>
      </c>
      <c r="D863" t="s">
        <v>290</v>
      </c>
      <c r="E863">
        <v>22</v>
      </c>
      <c r="F863" s="2">
        <v>3.0136986301369899E-2</v>
      </c>
      <c r="H863" s="33">
        <v>1</v>
      </c>
      <c r="I863" t="s">
        <v>276</v>
      </c>
      <c r="J863" t="s">
        <v>290</v>
      </c>
      <c r="K863">
        <v>22</v>
      </c>
      <c r="L863" s="63">
        <v>3.0136986301369864E-2</v>
      </c>
      <c r="M863">
        <v>11</v>
      </c>
    </row>
    <row r="864" spans="2:13" x14ac:dyDescent="0.25">
      <c r="B864" s="33">
        <v>1</v>
      </c>
      <c r="C864" t="s">
        <v>2</v>
      </c>
      <c r="D864" t="s">
        <v>17</v>
      </c>
      <c r="E864">
        <v>22</v>
      </c>
      <c r="F864" s="2">
        <v>4.9315068493150697E-2</v>
      </c>
      <c r="H864" s="33">
        <v>1</v>
      </c>
      <c r="I864" t="s">
        <v>2</v>
      </c>
      <c r="J864" t="s">
        <v>17</v>
      </c>
      <c r="K864">
        <v>22</v>
      </c>
      <c r="L864" s="63">
        <v>9.5890410958904104E-2</v>
      </c>
      <c r="M864">
        <v>48</v>
      </c>
    </row>
    <row r="865" spans="2:13" x14ac:dyDescent="0.25">
      <c r="B865" s="33">
        <v>1</v>
      </c>
      <c r="C865" t="s">
        <v>0</v>
      </c>
      <c r="D865" t="s">
        <v>56</v>
      </c>
      <c r="E865">
        <v>0</v>
      </c>
      <c r="F865" s="2">
        <v>2.7397260273972601E-2</v>
      </c>
      <c r="H865" s="33">
        <v>1</v>
      </c>
      <c r="I865" t="s">
        <v>0</v>
      </c>
      <c r="J865" t="s">
        <v>56</v>
      </c>
      <c r="K865">
        <v>0</v>
      </c>
      <c r="L865" s="63">
        <v>6.0273972602739728E-2</v>
      </c>
      <c r="M865">
        <v>25</v>
      </c>
    </row>
    <row r="866" spans="2:13" x14ac:dyDescent="0.25">
      <c r="B866" s="33">
        <v>1</v>
      </c>
      <c r="C866" t="s">
        <v>307</v>
      </c>
      <c r="D866" t="s">
        <v>308</v>
      </c>
      <c r="E866">
        <v>4</v>
      </c>
      <c r="F866" s="2">
        <v>8.21917808219178E-3</v>
      </c>
      <c r="H866" s="33">
        <v>1</v>
      </c>
      <c r="I866" t="s">
        <v>307</v>
      </c>
      <c r="J866" t="s">
        <v>308</v>
      </c>
      <c r="K866">
        <v>4</v>
      </c>
      <c r="L866" s="63">
        <v>8.21917808219178E-3</v>
      </c>
      <c r="M866">
        <v>3</v>
      </c>
    </row>
    <row r="867" spans="2:13" x14ac:dyDescent="0.25">
      <c r="B867" s="33">
        <v>1</v>
      </c>
      <c r="C867" t="s">
        <v>0</v>
      </c>
      <c r="D867" t="s">
        <v>70</v>
      </c>
      <c r="E867">
        <v>6</v>
      </c>
      <c r="F867" s="2">
        <v>1.6438356164383602E-2</v>
      </c>
      <c r="H867" s="33">
        <v>1</v>
      </c>
      <c r="I867" t="s">
        <v>0</v>
      </c>
      <c r="J867" t="s">
        <v>70</v>
      </c>
      <c r="K867">
        <v>6</v>
      </c>
      <c r="L867" s="63">
        <v>3.5616438356164383E-2</v>
      </c>
      <c r="M867">
        <v>15</v>
      </c>
    </row>
    <row r="868" spans="2:13" x14ac:dyDescent="0.25">
      <c r="B868" s="33">
        <v>1</v>
      </c>
      <c r="C868" t="s">
        <v>2</v>
      </c>
      <c r="D868" t="s">
        <v>38</v>
      </c>
      <c r="E868">
        <v>10</v>
      </c>
      <c r="F868" s="2">
        <v>5.4794520547945197E-3</v>
      </c>
      <c r="H868" s="33">
        <v>1</v>
      </c>
      <c r="I868" t="s">
        <v>2</v>
      </c>
      <c r="J868" t="s">
        <v>38</v>
      </c>
      <c r="K868">
        <v>10</v>
      </c>
      <c r="L868" s="63">
        <v>3.287671232876712E-2</v>
      </c>
      <c r="M868">
        <v>12</v>
      </c>
    </row>
    <row r="869" spans="2:13" x14ac:dyDescent="0.25">
      <c r="B869" s="33">
        <v>1</v>
      </c>
      <c r="C869" t="s">
        <v>276</v>
      </c>
      <c r="D869" t="s">
        <v>289</v>
      </c>
      <c r="E869">
        <v>12</v>
      </c>
      <c r="F869" s="2">
        <v>1.0958904109589E-2</v>
      </c>
      <c r="H869" s="33">
        <v>1</v>
      </c>
      <c r="I869" t="s">
        <v>276</v>
      </c>
      <c r="J869" t="s">
        <v>289</v>
      </c>
      <c r="K869">
        <v>12</v>
      </c>
      <c r="L869" s="63">
        <v>1.0958904109589041E-2</v>
      </c>
      <c r="M869">
        <v>4</v>
      </c>
    </row>
    <row r="870" spans="2:13" x14ac:dyDescent="0.25">
      <c r="B870" s="33">
        <v>1</v>
      </c>
      <c r="C870" t="s">
        <v>2</v>
      </c>
      <c r="D870" t="s">
        <v>36</v>
      </c>
      <c r="E870">
        <v>12</v>
      </c>
      <c r="F870" s="2">
        <v>4.65753424657534E-2</v>
      </c>
      <c r="H870" s="33">
        <v>1</v>
      </c>
      <c r="I870" t="s">
        <v>2</v>
      </c>
      <c r="J870" t="s">
        <v>36</v>
      </c>
      <c r="K870">
        <v>12</v>
      </c>
      <c r="L870" s="63">
        <v>6.575342465753424E-2</v>
      </c>
      <c r="M870">
        <v>27</v>
      </c>
    </row>
    <row r="871" spans="2:13" x14ac:dyDescent="0.25">
      <c r="B871" s="33">
        <v>1</v>
      </c>
      <c r="C871" t="s">
        <v>276</v>
      </c>
      <c r="D871" t="s">
        <v>318</v>
      </c>
      <c r="E871">
        <v>12</v>
      </c>
      <c r="F871" s="2">
        <v>1.6438356164383602E-2</v>
      </c>
      <c r="H871" s="33">
        <v>1</v>
      </c>
      <c r="I871" t="s">
        <v>276</v>
      </c>
      <c r="J871" t="s">
        <v>318</v>
      </c>
      <c r="K871">
        <v>12</v>
      </c>
      <c r="L871" s="63">
        <v>1.643835616438356E-2</v>
      </c>
      <c r="M871">
        <v>6</v>
      </c>
    </row>
    <row r="872" spans="2:13" x14ac:dyDescent="0.25">
      <c r="B872" s="33">
        <v>1</v>
      </c>
      <c r="C872" t="s">
        <v>2</v>
      </c>
      <c r="D872" t="s">
        <v>32</v>
      </c>
      <c r="E872">
        <v>13</v>
      </c>
      <c r="F872" s="2">
        <v>1.6438356164383602E-2</v>
      </c>
      <c r="H872" s="33">
        <v>1</v>
      </c>
      <c r="I872" t="s">
        <v>2</v>
      </c>
      <c r="J872" t="s">
        <v>32</v>
      </c>
      <c r="K872">
        <v>13</v>
      </c>
      <c r="L872" s="63">
        <v>3.5616438356164383E-2</v>
      </c>
      <c r="M872">
        <v>14</v>
      </c>
    </row>
    <row r="873" spans="2:13" x14ac:dyDescent="0.25">
      <c r="B873" s="33">
        <v>1</v>
      </c>
      <c r="C873" t="s">
        <v>2</v>
      </c>
      <c r="D873" t="s">
        <v>36</v>
      </c>
      <c r="E873">
        <v>13</v>
      </c>
      <c r="F873" s="2">
        <v>4.1095890410958902E-2</v>
      </c>
      <c r="H873" s="33">
        <v>1</v>
      </c>
      <c r="I873" t="s">
        <v>2</v>
      </c>
      <c r="J873" t="s">
        <v>36</v>
      </c>
      <c r="K873">
        <v>13</v>
      </c>
      <c r="L873" s="63">
        <v>8.7671232876712329E-2</v>
      </c>
      <c r="M873">
        <v>37</v>
      </c>
    </row>
    <row r="874" spans="2:13" x14ac:dyDescent="0.25">
      <c r="B874" s="33">
        <v>1</v>
      </c>
      <c r="C874" t="s">
        <v>276</v>
      </c>
      <c r="D874" t="s">
        <v>291</v>
      </c>
      <c r="E874">
        <v>15</v>
      </c>
      <c r="F874" s="2">
        <v>2.7397260273972601E-2</v>
      </c>
      <c r="H874" s="33">
        <v>1</v>
      </c>
      <c r="I874" t="s">
        <v>276</v>
      </c>
      <c r="J874" t="s">
        <v>291</v>
      </c>
      <c r="K874">
        <v>15</v>
      </c>
      <c r="L874" s="63">
        <v>2.7397260273972601E-2</v>
      </c>
      <c r="M874">
        <v>10</v>
      </c>
    </row>
    <row r="875" spans="2:13" x14ac:dyDescent="0.25">
      <c r="B875" s="33">
        <v>1</v>
      </c>
      <c r="C875" t="s">
        <v>0</v>
      </c>
      <c r="D875" t="s">
        <v>70</v>
      </c>
      <c r="E875">
        <v>0</v>
      </c>
      <c r="F875" s="2">
        <v>1.6438356164383602E-2</v>
      </c>
      <c r="H875" s="33">
        <v>1</v>
      </c>
      <c r="I875" t="s">
        <v>0</v>
      </c>
      <c r="J875" t="s">
        <v>70</v>
      </c>
      <c r="K875">
        <v>0</v>
      </c>
      <c r="L875" s="63">
        <v>2.1917808219178082E-2</v>
      </c>
      <c r="M875">
        <v>8</v>
      </c>
    </row>
    <row r="876" spans="2:13" x14ac:dyDescent="0.25">
      <c r="B876" s="33">
        <v>1</v>
      </c>
      <c r="C876" t="s">
        <v>2</v>
      </c>
      <c r="D876" t="s">
        <v>36</v>
      </c>
      <c r="E876">
        <v>7</v>
      </c>
      <c r="F876" s="2">
        <v>2.46575342465753E-2</v>
      </c>
      <c r="H876" s="33">
        <v>1</v>
      </c>
      <c r="I876" t="s">
        <v>2</v>
      </c>
      <c r="J876" t="s">
        <v>36</v>
      </c>
      <c r="K876">
        <v>7</v>
      </c>
      <c r="L876" s="63">
        <v>2.7397260273972601E-2</v>
      </c>
      <c r="M876">
        <v>11</v>
      </c>
    </row>
    <row r="877" spans="2:13" x14ac:dyDescent="0.25">
      <c r="B877" s="33">
        <v>1</v>
      </c>
      <c r="C877" t="s">
        <v>0</v>
      </c>
      <c r="D877" t="s">
        <v>72</v>
      </c>
      <c r="E877">
        <v>9</v>
      </c>
      <c r="F877" s="2">
        <v>5.2054794520547898E-2</v>
      </c>
      <c r="H877" s="33">
        <v>1</v>
      </c>
      <c r="I877" t="s">
        <v>0</v>
      </c>
      <c r="J877" t="s">
        <v>72</v>
      </c>
      <c r="K877">
        <v>9</v>
      </c>
      <c r="L877" s="63">
        <v>7.1232876712328766E-2</v>
      </c>
      <c r="M877">
        <v>33</v>
      </c>
    </row>
    <row r="878" spans="2:13" x14ac:dyDescent="0.25">
      <c r="B878" s="33">
        <v>1</v>
      </c>
      <c r="C878" t="s">
        <v>231</v>
      </c>
      <c r="D878" t="s">
        <v>186</v>
      </c>
      <c r="E878">
        <v>9</v>
      </c>
      <c r="F878" s="2">
        <v>1.9178082191780799E-2</v>
      </c>
      <c r="H878" s="33">
        <v>1</v>
      </c>
      <c r="I878" t="s">
        <v>231</v>
      </c>
      <c r="J878" t="s">
        <v>186</v>
      </c>
      <c r="K878">
        <v>9</v>
      </c>
      <c r="L878" s="63">
        <v>6.8493150684931503E-2</v>
      </c>
      <c r="M878">
        <v>28</v>
      </c>
    </row>
    <row r="879" spans="2:13" x14ac:dyDescent="0.25">
      <c r="B879" s="33">
        <v>1</v>
      </c>
      <c r="C879" t="s">
        <v>57</v>
      </c>
      <c r="D879" t="s">
        <v>75</v>
      </c>
      <c r="E879">
        <v>10</v>
      </c>
      <c r="F879" s="2">
        <v>4.1095890410958902E-2</v>
      </c>
      <c r="H879" s="33">
        <v>1</v>
      </c>
      <c r="I879" t="s">
        <v>57</v>
      </c>
      <c r="J879" t="s">
        <v>75</v>
      </c>
      <c r="K879">
        <v>10</v>
      </c>
      <c r="L879" s="63">
        <v>0.11506849315068493</v>
      </c>
      <c r="M879">
        <v>43</v>
      </c>
    </row>
    <row r="880" spans="2:13" x14ac:dyDescent="0.25">
      <c r="B880" s="33">
        <v>1</v>
      </c>
      <c r="C880" t="s">
        <v>57</v>
      </c>
      <c r="D880" t="s">
        <v>77</v>
      </c>
      <c r="E880">
        <v>11</v>
      </c>
      <c r="F880" s="2">
        <v>1.6438356164383602E-2</v>
      </c>
      <c r="H880" s="33">
        <v>1</v>
      </c>
      <c r="I880" t="s">
        <v>57</v>
      </c>
      <c r="J880" t="s">
        <v>77</v>
      </c>
      <c r="K880">
        <v>11</v>
      </c>
      <c r="L880" s="63">
        <v>7.9452054794520555E-2</v>
      </c>
      <c r="M880">
        <v>34</v>
      </c>
    </row>
    <row r="881" spans="2:13" x14ac:dyDescent="0.25">
      <c r="B881" s="33">
        <v>1</v>
      </c>
      <c r="C881" t="s">
        <v>2</v>
      </c>
      <c r="D881" t="s">
        <v>37</v>
      </c>
      <c r="E881">
        <v>12</v>
      </c>
      <c r="F881" s="2">
        <v>1.6438356164383602E-2</v>
      </c>
      <c r="H881" s="33">
        <v>1</v>
      </c>
      <c r="I881" t="s">
        <v>2</v>
      </c>
      <c r="J881" t="s">
        <v>37</v>
      </c>
      <c r="K881">
        <v>12</v>
      </c>
      <c r="L881" s="63">
        <v>1.643835616438356E-2</v>
      </c>
      <c r="M881">
        <v>6</v>
      </c>
    </row>
    <row r="882" spans="2:13" x14ac:dyDescent="0.25">
      <c r="B882" s="33">
        <v>1</v>
      </c>
      <c r="C882" t="s">
        <v>292</v>
      </c>
      <c r="D882" t="s">
        <v>320</v>
      </c>
      <c r="E882">
        <v>14</v>
      </c>
      <c r="F882" s="2">
        <v>2.46575342465753E-2</v>
      </c>
      <c r="H882" s="33">
        <v>1</v>
      </c>
      <c r="I882" t="s">
        <v>292</v>
      </c>
      <c r="J882" t="s">
        <v>320</v>
      </c>
      <c r="K882">
        <v>14</v>
      </c>
      <c r="L882" s="63">
        <v>2.1917808219178082E-2</v>
      </c>
      <c r="M882">
        <v>9</v>
      </c>
    </row>
    <row r="883" spans="2:13" x14ac:dyDescent="0.25">
      <c r="B883" s="33">
        <v>1</v>
      </c>
      <c r="C883" t="s">
        <v>0</v>
      </c>
      <c r="D883" t="s">
        <v>78</v>
      </c>
      <c r="E883">
        <v>16</v>
      </c>
      <c r="F883" s="2">
        <v>1.0958904109589E-2</v>
      </c>
      <c r="H883" s="33">
        <v>1</v>
      </c>
      <c r="I883" t="s">
        <v>0</v>
      </c>
      <c r="J883" t="s">
        <v>78</v>
      </c>
      <c r="K883">
        <v>16</v>
      </c>
      <c r="L883" s="63">
        <v>2.7397260273972601E-2</v>
      </c>
      <c r="M883">
        <v>10</v>
      </c>
    </row>
    <row r="884" spans="2:13" x14ac:dyDescent="0.25">
      <c r="B884" s="33">
        <v>1</v>
      </c>
      <c r="C884" t="s">
        <v>0</v>
      </c>
      <c r="D884" t="s">
        <v>79</v>
      </c>
      <c r="E884">
        <v>17</v>
      </c>
      <c r="F884" s="2">
        <v>1.3698630136986301E-2</v>
      </c>
      <c r="H884" s="33">
        <v>1</v>
      </c>
      <c r="I884" t="s">
        <v>0</v>
      </c>
      <c r="J884" t="s">
        <v>79</v>
      </c>
      <c r="K884">
        <v>17</v>
      </c>
      <c r="L884" s="63">
        <v>2.1917808219178082E-2</v>
      </c>
      <c r="M884">
        <v>8</v>
      </c>
    </row>
    <row r="885" spans="2:13" x14ac:dyDescent="0.25">
      <c r="B885" s="33">
        <v>1</v>
      </c>
      <c r="C885" t="s">
        <v>59</v>
      </c>
      <c r="D885" t="s">
        <v>76</v>
      </c>
      <c r="E885">
        <v>17</v>
      </c>
      <c r="F885" s="2">
        <v>3.0136986301369899E-2</v>
      </c>
      <c r="H885" s="33">
        <v>1</v>
      </c>
      <c r="I885" t="s">
        <v>59</v>
      </c>
      <c r="J885" t="s">
        <v>76</v>
      </c>
      <c r="K885">
        <v>17</v>
      </c>
      <c r="L885" s="63">
        <v>0.11232876712328767</v>
      </c>
      <c r="M885">
        <v>42</v>
      </c>
    </row>
    <row r="886" spans="2:13" x14ac:dyDescent="0.25">
      <c r="B886" s="33">
        <v>1</v>
      </c>
      <c r="C886" t="s">
        <v>2</v>
      </c>
      <c r="D886" t="s">
        <v>36</v>
      </c>
      <c r="E886">
        <v>20</v>
      </c>
      <c r="F886" s="2">
        <v>4.1095890410958902E-2</v>
      </c>
      <c r="H886" s="33">
        <v>1</v>
      </c>
      <c r="I886" t="s">
        <v>2</v>
      </c>
      <c r="J886" t="s">
        <v>36</v>
      </c>
      <c r="K886">
        <v>20</v>
      </c>
      <c r="L886" s="63">
        <v>7.3972602739726029E-2</v>
      </c>
      <c r="M886">
        <v>29</v>
      </c>
    </row>
    <row r="887" spans="2:13" x14ac:dyDescent="0.25">
      <c r="B887" s="33">
        <v>1</v>
      </c>
      <c r="C887" t="s">
        <v>0</v>
      </c>
      <c r="D887" t="s">
        <v>72</v>
      </c>
      <c r="E887">
        <v>20</v>
      </c>
      <c r="F887" s="2">
        <v>2.19178082191781E-2</v>
      </c>
      <c r="H887" s="33">
        <v>1</v>
      </c>
      <c r="I887" t="s">
        <v>0</v>
      </c>
      <c r="J887" t="s">
        <v>72</v>
      </c>
      <c r="K887">
        <v>20</v>
      </c>
      <c r="L887" s="63">
        <v>2.1917808219178082E-2</v>
      </c>
      <c r="M887">
        <v>10</v>
      </c>
    </row>
    <row r="888" spans="2:13" x14ac:dyDescent="0.25">
      <c r="B888" s="33">
        <v>1</v>
      </c>
      <c r="C888" t="s">
        <v>307</v>
      </c>
      <c r="D888" t="s">
        <v>312</v>
      </c>
      <c r="E888">
        <v>20</v>
      </c>
      <c r="F888" s="2">
        <v>3.2876712328767099E-2</v>
      </c>
      <c r="H888" s="33">
        <v>1</v>
      </c>
      <c r="I888" t="s">
        <v>307</v>
      </c>
      <c r="J888" t="s">
        <v>312</v>
      </c>
      <c r="K888">
        <v>20</v>
      </c>
      <c r="L888" s="63">
        <v>3.0136986301369864E-2</v>
      </c>
      <c r="M888">
        <v>12</v>
      </c>
    </row>
    <row r="889" spans="2:13" x14ac:dyDescent="0.25">
      <c r="B889" s="33">
        <v>1</v>
      </c>
      <c r="C889" t="s">
        <v>0</v>
      </c>
      <c r="D889" t="s">
        <v>78</v>
      </c>
      <c r="E889">
        <v>0</v>
      </c>
      <c r="F889" s="2">
        <v>1.0958904109589E-2</v>
      </c>
      <c r="H889" s="33">
        <v>1</v>
      </c>
      <c r="I889" t="s">
        <v>0</v>
      </c>
      <c r="J889" t="s">
        <v>78</v>
      </c>
      <c r="K889">
        <v>0</v>
      </c>
      <c r="L889" s="63">
        <v>1.0958904109589041E-2</v>
      </c>
      <c r="M889">
        <v>4</v>
      </c>
    </row>
    <row r="890" spans="2:13" x14ac:dyDescent="0.25">
      <c r="B890" s="33">
        <v>1</v>
      </c>
      <c r="C890" t="s">
        <v>276</v>
      </c>
      <c r="D890" t="s">
        <v>290</v>
      </c>
      <c r="E890">
        <v>1</v>
      </c>
      <c r="F890" s="2">
        <v>1.0958904109589E-2</v>
      </c>
      <c r="H890" s="33">
        <v>1</v>
      </c>
      <c r="I890" t="s">
        <v>276</v>
      </c>
      <c r="J890" t="s">
        <v>290</v>
      </c>
      <c r="K890">
        <v>1</v>
      </c>
      <c r="L890" s="63">
        <v>1.0958904109589041E-2</v>
      </c>
      <c r="M890">
        <v>4</v>
      </c>
    </row>
    <row r="891" spans="2:13" x14ac:dyDescent="0.25">
      <c r="B891" s="33">
        <v>1</v>
      </c>
      <c r="C891" t="s">
        <v>59</v>
      </c>
      <c r="D891" t="s">
        <v>76</v>
      </c>
      <c r="E891">
        <v>5</v>
      </c>
      <c r="F891" s="2">
        <v>5.4794520547945197E-3</v>
      </c>
      <c r="H891" s="33">
        <v>1</v>
      </c>
      <c r="I891" t="s">
        <v>59</v>
      </c>
      <c r="J891" t="s">
        <v>76</v>
      </c>
      <c r="K891">
        <v>5</v>
      </c>
      <c r="L891" s="63">
        <v>1.0958904109589041E-2</v>
      </c>
      <c r="M891">
        <v>4</v>
      </c>
    </row>
    <row r="892" spans="2:13" x14ac:dyDescent="0.25">
      <c r="B892" s="33">
        <v>1</v>
      </c>
      <c r="C892" t="s">
        <v>0</v>
      </c>
      <c r="D892" t="s">
        <v>62</v>
      </c>
      <c r="E892">
        <v>5</v>
      </c>
      <c r="F892" s="2">
        <v>1.0958904109589E-2</v>
      </c>
      <c r="H892" s="33">
        <v>1</v>
      </c>
      <c r="I892" t="s">
        <v>0</v>
      </c>
      <c r="J892" t="s">
        <v>62</v>
      </c>
      <c r="K892">
        <v>5</v>
      </c>
      <c r="L892" s="63">
        <v>2.1917808219178082E-2</v>
      </c>
      <c r="M892">
        <v>8</v>
      </c>
    </row>
    <row r="893" spans="2:13" x14ac:dyDescent="0.25">
      <c r="B893" s="33">
        <v>1</v>
      </c>
      <c r="C893" t="s">
        <v>307</v>
      </c>
      <c r="D893" t="s">
        <v>393</v>
      </c>
      <c r="E893">
        <v>15</v>
      </c>
      <c r="F893" s="2">
        <v>7.1232876712328794E-2</v>
      </c>
      <c r="H893" s="33">
        <v>1</v>
      </c>
      <c r="I893" t="s">
        <v>307</v>
      </c>
      <c r="J893" t="s">
        <v>393</v>
      </c>
      <c r="K893">
        <v>15</v>
      </c>
      <c r="L893" s="63">
        <v>7.1232876712328766E-2</v>
      </c>
      <c r="M893">
        <v>26</v>
      </c>
    </row>
    <row r="894" spans="2:13" x14ac:dyDescent="0.25">
      <c r="B894" s="33">
        <v>1</v>
      </c>
      <c r="C894" t="s">
        <v>276</v>
      </c>
      <c r="D894" t="s">
        <v>287</v>
      </c>
      <c r="E894">
        <v>15</v>
      </c>
      <c r="F894" s="2">
        <v>5.4794520547945197E-3</v>
      </c>
      <c r="H894" s="33">
        <v>1</v>
      </c>
      <c r="I894" t="s">
        <v>276</v>
      </c>
      <c r="J894" t="s">
        <v>287</v>
      </c>
      <c r="K894">
        <v>15</v>
      </c>
      <c r="L894" s="63">
        <v>5.4794520547945206E-3</v>
      </c>
      <c r="M894">
        <v>2</v>
      </c>
    </row>
    <row r="895" spans="2:13" x14ac:dyDescent="0.25">
      <c r="B895" s="33">
        <v>1</v>
      </c>
      <c r="C895" t="s">
        <v>2</v>
      </c>
      <c r="D895" t="s">
        <v>316</v>
      </c>
      <c r="E895">
        <v>16</v>
      </c>
      <c r="F895" s="2">
        <v>0.115068493150685</v>
      </c>
      <c r="H895" s="33">
        <v>1</v>
      </c>
      <c r="I895" t="s">
        <v>2</v>
      </c>
      <c r="J895" t="s">
        <v>316</v>
      </c>
      <c r="K895">
        <v>16</v>
      </c>
      <c r="L895" s="63">
        <v>9.3150684931506855E-2</v>
      </c>
      <c r="M895">
        <v>42</v>
      </c>
    </row>
    <row r="896" spans="2:13" x14ac:dyDescent="0.25">
      <c r="B896" s="33">
        <v>1</v>
      </c>
      <c r="C896" t="s">
        <v>276</v>
      </c>
      <c r="D896" t="s">
        <v>287</v>
      </c>
      <c r="E896">
        <v>16</v>
      </c>
      <c r="F896" s="2">
        <v>5.4794520547945197E-3</v>
      </c>
      <c r="H896" s="33">
        <v>1</v>
      </c>
      <c r="I896" t="s">
        <v>276</v>
      </c>
      <c r="J896" t="s">
        <v>287</v>
      </c>
      <c r="K896">
        <v>16</v>
      </c>
      <c r="L896" s="63">
        <v>5.4794520547945206E-3</v>
      </c>
      <c r="M896">
        <v>2</v>
      </c>
    </row>
    <row r="897" spans="2:13" x14ac:dyDescent="0.25">
      <c r="B897" s="33">
        <v>1</v>
      </c>
      <c r="C897" t="s">
        <v>57</v>
      </c>
      <c r="D897" t="s">
        <v>77</v>
      </c>
      <c r="E897">
        <v>18</v>
      </c>
      <c r="F897" s="2">
        <v>1.3698630136986301E-2</v>
      </c>
      <c r="H897" s="33">
        <v>1</v>
      </c>
      <c r="I897" t="s">
        <v>57</v>
      </c>
      <c r="J897" t="s">
        <v>77</v>
      </c>
      <c r="K897">
        <v>18</v>
      </c>
      <c r="L897" s="63">
        <v>7.6712328767123292E-2</v>
      </c>
      <c r="M897">
        <v>30</v>
      </c>
    </row>
    <row r="898" spans="2:13" x14ac:dyDescent="0.25">
      <c r="B898" s="33">
        <v>1</v>
      </c>
      <c r="C898" t="s">
        <v>2</v>
      </c>
      <c r="D898" t="s">
        <v>37</v>
      </c>
      <c r="E898">
        <v>0</v>
      </c>
      <c r="F898" s="2">
        <v>1.0958904109589E-2</v>
      </c>
      <c r="H898" s="33">
        <v>1</v>
      </c>
      <c r="I898" t="s">
        <v>2</v>
      </c>
      <c r="J898" t="s">
        <v>37</v>
      </c>
      <c r="K898">
        <v>0</v>
      </c>
      <c r="L898" s="63">
        <v>1.0958904109589041E-2</v>
      </c>
      <c r="M898">
        <v>5</v>
      </c>
    </row>
    <row r="899" spans="2:13" x14ac:dyDescent="0.25">
      <c r="B899" s="33">
        <v>1</v>
      </c>
      <c r="C899" t="s">
        <v>59</v>
      </c>
      <c r="D899" t="s">
        <v>63</v>
      </c>
      <c r="E899">
        <v>1</v>
      </c>
      <c r="F899" s="2">
        <v>1.9178082191780799E-2</v>
      </c>
      <c r="H899" s="33">
        <v>1</v>
      </c>
      <c r="I899" t="s">
        <v>59</v>
      </c>
      <c r="J899" t="s">
        <v>63</v>
      </c>
      <c r="K899">
        <v>1</v>
      </c>
      <c r="L899" s="63">
        <v>4.9315068493150684E-2</v>
      </c>
      <c r="M899">
        <v>20</v>
      </c>
    </row>
    <row r="900" spans="2:13" x14ac:dyDescent="0.25">
      <c r="B900" s="33">
        <v>1</v>
      </c>
      <c r="C900" t="s">
        <v>0</v>
      </c>
      <c r="D900" t="s">
        <v>61</v>
      </c>
      <c r="E900">
        <v>3</v>
      </c>
      <c r="F900" s="2">
        <v>1.6438356164383602E-2</v>
      </c>
      <c r="H900" s="33">
        <v>1</v>
      </c>
      <c r="I900" t="s">
        <v>0</v>
      </c>
      <c r="J900" t="s">
        <v>61</v>
      </c>
      <c r="K900">
        <v>3</v>
      </c>
      <c r="L900" s="63">
        <v>3.0136986301369864E-2</v>
      </c>
      <c r="M900">
        <v>13</v>
      </c>
    </row>
    <row r="901" spans="2:13" x14ac:dyDescent="0.25">
      <c r="B901" s="33">
        <v>1</v>
      </c>
      <c r="C901" t="s">
        <v>0</v>
      </c>
      <c r="D901" t="s">
        <v>61</v>
      </c>
      <c r="E901">
        <v>4</v>
      </c>
      <c r="F901" s="2">
        <v>1.3698630136986301E-2</v>
      </c>
      <c r="H901" s="33">
        <v>1</v>
      </c>
      <c r="I901" t="s">
        <v>0</v>
      </c>
      <c r="J901" t="s">
        <v>61</v>
      </c>
      <c r="K901">
        <v>4</v>
      </c>
      <c r="L901" s="63">
        <v>2.4657534246575342E-2</v>
      </c>
      <c r="M901">
        <v>10</v>
      </c>
    </row>
    <row r="902" spans="2:13" x14ac:dyDescent="0.25">
      <c r="B902" s="33">
        <v>1</v>
      </c>
      <c r="C902" t="s">
        <v>307</v>
      </c>
      <c r="D902" t="s">
        <v>393</v>
      </c>
      <c r="E902">
        <v>4</v>
      </c>
      <c r="F902" s="2">
        <v>1.3698630136986301E-2</v>
      </c>
      <c r="H902" s="33">
        <v>1</v>
      </c>
      <c r="I902" t="s">
        <v>307</v>
      </c>
      <c r="J902" t="s">
        <v>393</v>
      </c>
      <c r="K902">
        <v>4</v>
      </c>
      <c r="L902" s="63">
        <v>1.0958904109589041E-2</v>
      </c>
      <c r="M902">
        <v>5</v>
      </c>
    </row>
    <row r="903" spans="2:13" x14ac:dyDescent="0.25">
      <c r="B903" s="33">
        <v>1</v>
      </c>
      <c r="C903" t="s">
        <v>276</v>
      </c>
      <c r="D903" t="s">
        <v>287</v>
      </c>
      <c r="E903">
        <v>19</v>
      </c>
      <c r="F903" s="2">
        <v>1.3698630136986301E-2</v>
      </c>
      <c r="H903" s="33">
        <v>1</v>
      </c>
      <c r="I903" t="s">
        <v>276</v>
      </c>
      <c r="J903" t="s">
        <v>287</v>
      </c>
      <c r="K903">
        <v>19</v>
      </c>
      <c r="L903" s="63">
        <v>1.3698630136986301E-2</v>
      </c>
      <c r="M903">
        <v>5</v>
      </c>
    </row>
    <row r="904" spans="2:13" x14ac:dyDescent="0.25">
      <c r="B904" s="33">
        <v>1</v>
      </c>
      <c r="C904" t="s">
        <v>0</v>
      </c>
      <c r="D904" t="s">
        <v>61</v>
      </c>
      <c r="E904">
        <v>20</v>
      </c>
      <c r="F904" s="2">
        <v>7.1232876712328794E-2</v>
      </c>
      <c r="H904" s="33">
        <v>1</v>
      </c>
      <c r="I904" t="s">
        <v>0</v>
      </c>
      <c r="J904" t="s">
        <v>61</v>
      </c>
      <c r="K904">
        <v>20</v>
      </c>
      <c r="L904" s="63">
        <v>0.10410958904109589</v>
      </c>
      <c r="M904">
        <v>46</v>
      </c>
    </row>
    <row r="905" spans="2:13" x14ac:dyDescent="0.25">
      <c r="B905" s="33">
        <v>1</v>
      </c>
      <c r="C905" t="s">
        <v>0</v>
      </c>
      <c r="D905" t="s">
        <v>70</v>
      </c>
      <c r="E905">
        <v>22</v>
      </c>
      <c r="F905" s="2">
        <v>2.46575342465753E-2</v>
      </c>
      <c r="H905" s="33">
        <v>1</v>
      </c>
      <c r="I905" t="s">
        <v>0</v>
      </c>
      <c r="J905" t="s">
        <v>70</v>
      </c>
      <c r="K905">
        <v>22</v>
      </c>
      <c r="L905" s="63">
        <v>5.4794520547945202E-2</v>
      </c>
      <c r="M905">
        <v>22</v>
      </c>
    </row>
    <row r="906" spans="2:13" x14ac:dyDescent="0.25">
      <c r="B906" s="33">
        <v>1</v>
      </c>
      <c r="C906" t="s">
        <v>59</v>
      </c>
      <c r="D906" t="s">
        <v>63</v>
      </c>
      <c r="E906">
        <v>23</v>
      </c>
      <c r="F906" s="2">
        <v>1.9178082191780799E-2</v>
      </c>
      <c r="H906" s="33">
        <v>1</v>
      </c>
      <c r="I906" t="s">
        <v>59</v>
      </c>
      <c r="J906" t="s">
        <v>63</v>
      </c>
      <c r="K906">
        <v>23</v>
      </c>
      <c r="L906" s="63">
        <v>5.4794520547945202E-2</v>
      </c>
      <c r="M906">
        <v>23</v>
      </c>
    </row>
    <row r="907" spans="2:13" x14ac:dyDescent="0.25">
      <c r="B907" s="33">
        <v>1</v>
      </c>
      <c r="C907" t="s">
        <v>59</v>
      </c>
      <c r="D907" t="s">
        <v>60</v>
      </c>
      <c r="E907">
        <v>0</v>
      </c>
      <c r="F907" s="2">
        <v>2.7397260273972601E-2</v>
      </c>
      <c r="H907" s="33">
        <v>1</v>
      </c>
      <c r="I907" t="s">
        <v>59</v>
      </c>
      <c r="J907" t="s">
        <v>60</v>
      </c>
      <c r="K907">
        <v>0</v>
      </c>
      <c r="L907" s="63">
        <v>6.3013698630136991E-2</v>
      </c>
      <c r="M907">
        <v>26</v>
      </c>
    </row>
    <row r="908" spans="2:13" x14ac:dyDescent="0.25">
      <c r="B908" s="33">
        <v>1</v>
      </c>
      <c r="C908" t="s">
        <v>231</v>
      </c>
      <c r="D908" t="s">
        <v>188</v>
      </c>
      <c r="E908">
        <v>1</v>
      </c>
      <c r="F908" s="2">
        <v>1.0958904109589E-2</v>
      </c>
      <c r="H908" s="33">
        <v>1</v>
      </c>
      <c r="I908" t="s">
        <v>231</v>
      </c>
      <c r="J908" t="s">
        <v>188</v>
      </c>
      <c r="K908">
        <v>1</v>
      </c>
      <c r="L908" s="63">
        <v>2.4657534246575342E-2</v>
      </c>
      <c r="M908">
        <v>10</v>
      </c>
    </row>
    <row r="909" spans="2:13" x14ac:dyDescent="0.25">
      <c r="B909" s="33">
        <v>1</v>
      </c>
      <c r="C909" t="s">
        <v>59</v>
      </c>
      <c r="D909" t="s">
        <v>60</v>
      </c>
      <c r="E909">
        <v>2</v>
      </c>
      <c r="F909" s="2">
        <v>8.21917808219178E-3</v>
      </c>
      <c r="H909" s="33">
        <v>1</v>
      </c>
      <c r="I909" t="s">
        <v>59</v>
      </c>
      <c r="J909" t="s">
        <v>60</v>
      </c>
      <c r="K909">
        <v>2</v>
      </c>
      <c r="L909" s="63">
        <v>3.8356164383561646E-2</v>
      </c>
      <c r="M909">
        <v>14</v>
      </c>
    </row>
    <row r="910" spans="2:13" x14ac:dyDescent="0.25">
      <c r="B910" s="33">
        <v>1</v>
      </c>
      <c r="C910" t="s">
        <v>276</v>
      </c>
      <c r="D910" t="s">
        <v>290</v>
      </c>
      <c r="E910">
        <v>6</v>
      </c>
      <c r="F910" s="2">
        <v>5.4794520547945197E-3</v>
      </c>
      <c r="H910" s="33">
        <v>1</v>
      </c>
      <c r="I910" t="s">
        <v>276</v>
      </c>
      <c r="J910" t="s">
        <v>290</v>
      </c>
      <c r="K910">
        <v>6</v>
      </c>
      <c r="L910" s="63">
        <v>5.4794520547945206E-3</v>
      </c>
      <c r="M910">
        <v>2</v>
      </c>
    </row>
    <row r="911" spans="2:13" x14ac:dyDescent="0.25">
      <c r="B911" s="33">
        <v>1</v>
      </c>
      <c r="C911" t="s">
        <v>2</v>
      </c>
      <c r="D911" t="s">
        <v>316</v>
      </c>
      <c r="E911">
        <v>6</v>
      </c>
      <c r="F911" s="2">
        <v>3.8356164383561597E-2</v>
      </c>
      <c r="H911" s="33">
        <v>1</v>
      </c>
      <c r="I911" t="s">
        <v>2</v>
      </c>
      <c r="J911" t="s">
        <v>316</v>
      </c>
      <c r="K911">
        <v>6</v>
      </c>
      <c r="L911" s="63">
        <v>3.287671232876712E-2</v>
      </c>
      <c r="M911">
        <v>14</v>
      </c>
    </row>
    <row r="912" spans="2:13" x14ac:dyDescent="0.25">
      <c r="B912" s="33">
        <v>1</v>
      </c>
      <c r="C912" t="s">
        <v>57</v>
      </c>
      <c r="D912" t="s">
        <v>66</v>
      </c>
      <c r="E912">
        <v>6</v>
      </c>
      <c r="F912" s="2">
        <v>3.2876712328767099E-2</v>
      </c>
      <c r="H912" s="33">
        <v>1</v>
      </c>
      <c r="I912" t="s">
        <v>57</v>
      </c>
      <c r="J912" t="s">
        <v>66</v>
      </c>
      <c r="K912">
        <v>6</v>
      </c>
      <c r="L912" s="63">
        <v>5.4794520547945202E-2</v>
      </c>
      <c r="M912">
        <v>21</v>
      </c>
    </row>
    <row r="913" spans="2:13" x14ac:dyDescent="0.25">
      <c r="B913" s="33">
        <v>1</v>
      </c>
      <c r="C913" t="s">
        <v>276</v>
      </c>
      <c r="D913" t="s">
        <v>291</v>
      </c>
      <c r="E913">
        <v>8</v>
      </c>
      <c r="F913" s="2">
        <v>3.8356164383561597E-2</v>
      </c>
      <c r="H913" s="33">
        <v>1</v>
      </c>
      <c r="I913" t="s">
        <v>276</v>
      </c>
      <c r="J913" t="s">
        <v>291</v>
      </c>
      <c r="K913">
        <v>8</v>
      </c>
      <c r="L913" s="63">
        <v>3.287671232876712E-2</v>
      </c>
      <c r="M913">
        <v>14</v>
      </c>
    </row>
    <row r="914" spans="2:13" x14ac:dyDescent="0.25">
      <c r="B914" s="33">
        <v>1</v>
      </c>
      <c r="C914" t="s">
        <v>57</v>
      </c>
      <c r="D914" t="s">
        <v>77</v>
      </c>
      <c r="E914">
        <v>8</v>
      </c>
      <c r="F914" s="2">
        <v>2.46575342465753E-2</v>
      </c>
      <c r="H914" s="33">
        <v>1</v>
      </c>
      <c r="I914" t="s">
        <v>57</v>
      </c>
      <c r="J914" t="s">
        <v>77</v>
      </c>
      <c r="K914">
        <v>8</v>
      </c>
      <c r="L914" s="63">
        <v>5.7534246575342465E-2</v>
      </c>
      <c r="M914">
        <v>21</v>
      </c>
    </row>
    <row r="915" spans="2:13" x14ac:dyDescent="0.25">
      <c r="B915" s="33">
        <v>1</v>
      </c>
      <c r="C915" t="s">
        <v>57</v>
      </c>
      <c r="D915" t="s">
        <v>77</v>
      </c>
      <c r="E915">
        <v>13</v>
      </c>
      <c r="F915" s="2">
        <v>1.0958904109589E-2</v>
      </c>
      <c r="H915" s="33">
        <v>1</v>
      </c>
      <c r="I915" t="s">
        <v>57</v>
      </c>
      <c r="J915" t="s">
        <v>77</v>
      </c>
      <c r="K915">
        <v>13</v>
      </c>
      <c r="L915" s="63">
        <v>3.5616438356164383E-2</v>
      </c>
      <c r="M915">
        <v>13</v>
      </c>
    </row>
    <row r="916" spans="2:13" x14ac:dyDescent="0.25">
      <c r="B916" s="33">
        <v>1</v>
      </c>
      <c r="C916" t="s">
        <v>307</v>
      </c>
      <c r="D916" t="s">
        <v>310</v>
      </c>
      <c r="E916">
        <v>19</v>
      </c>
      <c r="F916" s="2">
        <v>3.0136986301369899E-2</v>
      </c>
      <c r="H916" s="33">
        <v>1</v>
      </c>
      <c r="I916" t="s">
        <v>307</v>
      </c>
      <c r="J916" t="s">
        <v>310</v>
      </c>
      <c r="K916">
        <v>19</v>
      </c>
      <c r="L916" s="63">
        <v>3.0136986301369864E-2</v>
      </c>
      <c r="M916">
        <v>11</v>
      </c>
    </row>
    <row r="917" spans="2:13" x14ac:dyDescent="0.25">
      <c r="B917" s="33">
        <v>1</v>
      </c>
      <c r="C917" t="s">
        <v>231</v>
      </c>
      <c r="D917" t="s">
        <v>190</v>
      </c>
      <c r="E917">
        <v>19</v>
      </c>
      <c r="F917" s="2">
        <v>0</v>
      </c>
      <c r="H917" s="33">
        <v>1</v>
      </c>
      <c r="I917" t="s">
        <v>231</v>
      </c>
      <c r="J917" t="s">
        <v>190</v>
      </c>
      <c r="K917">
        <v>19</v>
      </c>
      <c r="L917" s="63">
        <v>5.4794520547945206E-3</v>
      </c>
      <c r="M917">
        <v>2</v>
      </c>
    </row>
    <row r="918" spans="2:13" x14ac:dyDescent="0.25">
      <c r="B918" s="33">
        <v>1</v>
      </c>
      <c r="C918" t="s">
        <v>2</v>
      </c>
      <c r="D918" t="s">
        <v>37</v>
      </c>
      <c r="E918">
        <v>21</v>
      </c>
      <c r="F918" s="2">
        <v>5.4794520547945197E-3</v>
      </c>
      <c r="H918" s="33">
        <v>1</v>
      </c>
      <c r="I918" t="s">
        <v>2</v>
      </c>
      <c r="J918" t="s">
        <v>37</v>
      </c>
      <c r="K918">
        <v>21</v>
      </c>
      <c r="L918" s="63">
        <v>3.287671232876712E-2</v>
      </c>
      <c r="M918">
        <v>12</v>
      </c>
    </row>
    <row r="919" spans="2:13" x14ac:dyDescent="0.25">
      <c r="B919" s="33">
        <v>1</v>
      </c>
      <c r="C919" t="s">
        <v>0</v>
      </c>
      <c r="D919" t="s">
        <v>56</v>
      </c>
      <c r="E919">
        <v>22</v>
      </c>
      <c r="F919" s="2">
        <v>5.2054794520547898E-2</v>
      </c>
      <c r="H919" s="33">
        <v>1</v>
      </c>
      <c r="I919" t="s">
        <v>0</v>
      </c>
      <c r="J919" t="s">
        <v>56</v>
      </c>
      <c r="K919">
        <v>22</v>
      </c>
      <c r="L919" s="63">
        <v>0.10136986301369863</v>
      </c>
      <c r="M919">
        <v>43</v>
      </c>
    </row>
    <row r="920" spans="2:13" x14ac:dyDescent="0.25">
      <c r="B920" s="33">
        <v>1</v>
      </c>
      <c r="C920" t="s">
        <v>276</v>
      </c>
      <c r="D920" t="s">
        <v>291</v>
      </c>
      <c r="E920">
        <v>0</v>
      </c>
      <c r="F920" s="2">
        <v>1.0958904109589E-2</v>
      </c>
      <c r="H920" s="33">
        <v>1</v>
      </c>
      <c r="I920" t="s">
        <v>276</v>
      </c>
      <c r="J920" t="s">
        <v>291</v>
      </c>
      <c r="K920">
        <v>0</v>
      </c>
      <c r="L920" s="63">
        <v>1.0958904109589041E-2</v>
      </c>
      <c r="M920">
        <v>4</v>
      </c>
    </row>
    <row r="921" spans="2:13" x14ac:dyDescent="0.25">
      <c r="B921" s="33">
        <v>1</v>
      </c>
      <c r="C921" t="s">
        <v>59</v>
      </c>
      <c r="D921" t="s">
        <v>68</v>
      </c>
      <c r="E921">
        <v>4</v>
      </c>
      <c r="F921" s="2">
        <v>8.21917808219178E-3</v>
      </c>
      <c r="H921" s="33">
        <v>1</v>
      </c>
      <c r="I921" t="s">
        <v>59</v>
      </c>
      <c r="J921" t="s">
        <v>68</v>
      </c>
      <c r="K921">
        <v>4</v>
      </c>
      <c r="L921" s="63">
        <v>2.4657534246575342E-2</v>
      </c>
      <c r="M921">
        <v>9</v>
      </c>
    </row>
    <row r="922" spans="2:13" x14ac:dyDescent="0.25">
      <c r="B922" s="33">
        <v>1</v>
      </c>
      <c r="C922" t="s">
        <v>231</v>
      </c>
      <c r="D922" t="s">
        <v>190</v>
      </c>
      <c r="E922">
        <v>15</v>
      </c>
      <c r="F922" s="2">
        <v>5.4794520547945197E-3</v>
      </c>
      <c r="H922" s="33">
        <v>1</v>
      </c>
      <c r="I922" t="s">
        <v>231</v>
      </c>
      <c r="J922" t="s">
        <v>190</v>
      </c>
      <c r="K922">
        <v>15</v>
      </c>
      <c r="L922" s="63">
        <v>3.0136986301369864E-2</v>
      </c>
      <c r="M922">
        <v>11</v>
      </c>
    </row>
    <row r="923" spans="2:13" x14ac:dyDescent="0.25">
      <c r="B923" s="33">
        <v>1</v>
      </c>
      <c r="C923" t="s">
        <v>57</v>
      </c>
      <c r="D923" t="s">
        <v>74</v>
      </c>
      <c r="E923">
        <v>15</v>
      </c>
      <c r="F923" s="2">
        <v>4.3835616438356199E-2</v>
      </c>
      <c r="H923" s="33">
        <v>1</v>
      </c>
      <c r="I923" t="s">
        <v>57</v>
      </c>
      <c r="J923" t="s">
        <v>74</v>
      </c>
      <c r="K923">
        <v>15</v>
      </c>
      <c r="L923" s="63">
        <v>7.6712328767123292E-2</v>
      </c>
      <c r="M923">
        <v>29</v>
      </c>
    </row>
    <row r="924" spans="2:13" x14ac:dyDescent="0.25">
      <c r="B924" s="33">
        <v>1</v>
      </c>
      <c r="C924" t="s">
        <v>307</v>
      </c>
      <c r="D924" t="s">
        <v>313</v>
      </c>
      <c r="E924">
        <v>17</v>
      </c>
      <c r="F924" s="2">
        <v>4.1095890410958902E-2</v>
      </c>
      <c r="H924" s="33">
        <v>1</v>
      </c>
      <c r="I924" t="s">
        <v>307</v>
      </c>
      <c r="J924" t="s">
        <v>313</v>
      </c>
      <c r="K924">
        <v>17</v>
      </c>
      <c r="L924" s="63">
        <v>3.5616438356164383E-2</v>
      </c>
      <c r="M924">
        <v>15</v>
      </c>
    </row>
    <row r="925" spans="2:13" x14ac:dyDescent="0.25">
      <c r="B925" s="33">
        <v>1</v>
      </c>
      <c r="C925" t="s">
        <v>2</v>
      </c>
      <c r="D925" t="s">
        <v>32</v>
      </c>
      <c r="E925">
        <v>17</v>
      </c>
      <c r="F925" s="2">
        <v>1.9178082191780799E-2</v>
      </c>
      <c r="H925" s="33">
        <v>1</v>
      </c>
      <c r="I925" t="s">
        <v>2</v>
      </c>
      <c r="J925" t="s">
        <v>32</v>
      </c>
      <c r="K925">
        <v>17</v>
      </c>
      <c r="L925" s="63">
        <v>1.9178082191780823E-2</v>
      </c>
      <c r="M925">
        <v>7</v>
      </c>
    </row>
    <row r="926" spans="2:13" x14ac:dyDescent="0.25">
      <c r="B926" s="33">
        <v>1</v>
      </c>
      <c r="C926" t="s">
        <v>0</v>
      </c>
      <c r="D926" t="s">
        <v>78</v>
      </c>
      <c r="E926">
        <v>19</v>
      </c>
      <c r="F926" s="2">
        <v>8.21917808219178E-3</v>
      </c>
      <c r="H926" s="33">
        <v>1</v>
      </c>
      <c r="I926" t="s">
        <v>0</v>
      </c>
      <c r="J926" t="s">
        <v>78</v>
      </c>
      <c r="K926">
        <v>19</v>
      </c>
      <c r="L926" s="63">
        <v>1.9178082191780823E-2</v>
      </c>
      <c r="M926">
        <v>7</v>
      </c>
    </row>
    <row r="927" spans="2:13" x14ac:dyDescent="0.25">
      <c r="B927" s="33">
        <v>1</v>
      </c>
      <c r="C927" t="s">
        <v>231</v>
      </c>
      <c r="D927" t="s">
        <v>184</v>
      </c>
      <c r="E927">
        <v>1</v>
      </c>
      <c r="F927" s="2">
        <v>2.7397260273972601E-2</v>
      </c>
      <c r="H927" s="33">
        <v>1</v>
      </c>
      <c r="I927" t="s">
        <v>231</v>
      </c>
      <c r="J927" t="s">
        <v>184</v>
      </c>
      <c r="K927">
        <v>1</v>
      </c>
      <c r="L927" s="63">
        <v>3.5616438356164383E-2</v>
      </c>
      <c r="M927">
        <v>13</v>
      </c>
    </row>
    <row r="928" spans="2:13" x14ac:dyDescent="0.25">
      <c r="B928" s="33">
        <v>1</v>
      </c>
      <c r="C928" t="s">
        <v>231</v>
      </c>
      <c r="D928" t="s">
        <v>183</v>
      </c>
      <c r="E928">
        <v>2</v>
      </c>
      <c r="F928" s="2">
        <v>1.6438356164383602E-2</v>
      </c>
      <c r="H928" s="33">
        <v>1</v>
      </c>
      <c r="I928" t="s">
        <v>231</v>
      </c>
      <c r="J928" t="s">
        <v>183</v>
      </c>
      <c r="K928">
        <v>2</v>
      </c>
      <c r="L928" s="63">
        <v>2.4657534246575342E-2</v>
      </c>
      <c r="M928">
        <v>9</v>
      </c>
    </row>
    <row r="929" spans="2:13" x14ac:dyDescent="0.25">
      <c r="B929" s="33">
        <v>1</v>
      </c>
      <c r="C929" t="s">
        <v>307</v>
      </c>
      <c r="D929" t="s">
        <v>309</v>
      </c>
      <c r="E929">
        <v>10</v>
      </c>
      <c r="F929" s="2">
        <v>3.8356164383561597E-2</v>
      </c>
      <c r="H929" s="33">
        <v>1</v>
      </c>
      <c r="I929" t="s">
        <v>307</v>
      </c>
      <c r="J929" t="s">
        <v>309</v>
      </c>
      <c r="K929">
        <v>10</v>
      </c>
      <c r="L929" s="63">
        <v>3.8356164383561646E-2</v>
      </c>
      <c r="M929">
        <v>14</v>
      </c>
    </row>
    <row r="930" spans="2:13" x14ac:dyDescent="0.25">
      <c r="B930" s="33">
        <v>1</v>
      </c>
      <c r="C930" t="s">
        <v>276</v>
      </c>
      <c r="D930" t="s">
        <v>289</v>
      </c>
      <c r="E930">
        <v>14</v>
      </c>
      <c r="F930" s="2">
        <v>2.19178082191781E-2</v>
      </c>
      <c r="H930" s="33">
        <v>1</v>
      </c>
      <c r="I930" t="s">
        <v>276</v>
      </c>
      <c r="J930" t="s">
        <v>289</v>
      </c>
      <c r="K930">
        <v>14</v>
      </c>
      <c r="L930" s="63">
        <v>2.1917808219178082E-2</v>
      </c>
      <c r="M930">
        <v>8</v>
      </c>
    </row>
    <row r="931" spans="2:13" x14ac:dyDescent="0.25">
      <c r="B931" s="33">
        <v>1</v>
      </c>
      <c r="C931" t="s">
        <v>276</v>
      </c>
      <c r="D931" t="s">
        <v>291</v>
      </c>
      <c r="E931">
        <v>14</v>
      </c>
      <c r="F931" s="2">
        <v>2.19178082191781E-2</v>
      </c>
      <c r="H931" s="33">
        <v>1</v>
      </c>
      <c r="I931" t="s">
        <v>276</v>
      </c>
      <c r="J931" t="s">
        <v>291</v>
      </c>
      <c r="K931">
        <v>14</v>
      </c>
      <c r="L931" s="63">
        <v>2.1917808219178082E-2</v>
      </c>
      <c r="M931">
        <v>8</v>
      </c>
    </row>
    <row r="932" spans="2:13" x14ac:dyDescent="0.25">
      <c r="B932" s="33">
        <v>1</v>
      </c>
      <c r="C932" t="s">
        <v>276</v>
      </c>
      <c r="D932" t="s">
        <v>318</v>
      </c>
      <c r="E932">
        <v>17</v>
      </c>
      <c r="F932" s="2">
        <v>1.3698630136986301E-2</v>
      </c>
      <c r="H932" s="33">
        <v>1</v>
      </c>
      <c r="I932" t="s">
        <v>276</v>
      </c>
      <c r="J932" t="s">
        <v>318</v>
      </c>
      <c r="K932">
        <v>17</v>
      </c>
      <c r="L932" s="63">
        <v>1.0958904109589041E-2</v>
      </c>
      <c r="M932">
        <v>5</v>
      </c>
    </row>
    <row r="933" spans="2:13" x14ac:dyDescent="0.25">
      <c r="B933" s="33">
        <v>1</v>
      </c>
      <c r="C933" t="s">
        <v>307</v>
      </c>
      <c r="D933" t="s">
        <v>308</v>
      </c>
      <c r="E933">
        <v>22</v>
      </c>
      <c r="F933" s="2">
        <v>5.4794520547945197E-3</v>
      </c>
      <c r="H933" s="33">
        <v>1</v>
      </c>
      <c r="I933" t="s">
        <v>307</v>
      </c>
      <c r="J933" t="s">
        <v>308</v>
      </c>
      <c r="K933">
        <v>22</v>
      </c>
      <c r="L933" s="63">
        <v>5.4794520547945206E-3</v>
      </c>
      <c r="M933">
        <v>2</v>
      </c>
    </row>
    <row r="934" spans="2:13" x14ac:dyDescent="0.25">
      <c r="B934" s="33">
        <v>1</v>
      </c>
      <c r="C934" t="s">
        <v>0</v>
      </c>
      <c r="D934" t="s">
        <v>73</v>
      </c>
      <c r="E934">
        <v>0</v>
      </c>
      <c r="F934" s="2">
        <v>1.3698630136986301E-2</v>
      </c>
      <c r="H934" s="33">
        <v>1</v>
      </c>
      <c r="I934" t="s">
        <v>0</v>
      </c>
      <c r="J934" t="s">
        <v>73</v>
      </c>
      <c r="K934">
        <v>0</v>
      </c>
      <c r="L934" s="63">
        <v>1.643835616438356E-2</v>
      </c>
      <c r="M934">
        <v>6</v>
      </c>
    </row>
    <row r="935" spans="2:13" x14ac:dyDescent="0.25">
      <c r="B935" s="33">
        <v>1</v>
      </c>
      <c r="C935" t="s">
        <v>307</v>
      </c>
      <c r="D935" t="s">
        <v>308</v>
      </c>
      <c r="E935">
        <v>1</v>
      </c>
      <c r="F935" s="2">
        <v>1.6438356164383602E-2</v>
      </c>
      <c r="H935" s="33">
        <v>1</v>
      </c>
      <c r="I935" t="s">
        <v>307</v>
      </c>
      <c r="J935" t="s">
        <v>308</v>
      </c>
      <c r="K935">
        <v>1</v>
      </c>
      <c r="L935" s="63">
        <v>1.643835616438356E-2</v>
      </c>
      <c r="M935">
        <v>6</v>
      </c>
    </row>
    <row r="936" spans="2:13" x14ac:dyDescent="0.25">
      <c r="B936" s="33">
        <v>1</v>
      </c>
      <c r="C936" t="s">
        <v>292</v>
      </c>
      <c r="D936" t="s">
        <v>320</v>
      </c>
      <c r="E936">
        <v>1</v>
      </c>
      <c r="F936" s="2">
        <v>5.4794520547945197E-3</v>
      </c>
      <c r="H936" s="33">
        <v>1</v>
      </c>
      <c r="I936" t="s">
        <v>292</v>
      </c>
      <c r="J936" t="s">
        <v>320</v>
      </c>
      <c r="K936">
        <v>1</v>
      </c>
      <c r="L936" s="63">
        <v>5.4794520547945206E-3</v>
      </c>
      <c r="M936">
        <v>2</v>
      </c>
    </row>
    <row r="937" spans="2:13" x14ac:dyDescent="0.25">
      <c r="B937" s="33">
        <v>1</v>
      </c>
      <c r="C937" t="s">
        <v>57</v>
      </c>
      <c r="D937" t="s">
        <v>67</v>
      </c>
      <c r="E937">
        <v>4</v>
      </c>
      <c r="F937" s="2">
        <v>1.6438356164383602E-2</v>
      </c>
      <c r="H937" s="33">
        <v>1</v>
      </c>
      <c r="I937" t="s">
        <v>57</v>
      </c>
      <c r="J937" t="s">
        <v>67</v>
      </c>
      <c r="K937">
        <v>4</v>
      </c>
      <c r="L937" s="63">
        <v>3.8356164383561646E-2</v>
      </c>
      <c r="M937">
        <v>16</v>
      </c>
    </row>
    <row r="938" spans="2:13" x14ac:dyDescent="0.25">
      <c r="B938" s="33">
        <v>1</v>
      </c>
      <c r="C938" t="s">
        <v>307</v>
      </c>
      <c r="D938" t="s">
        <v>393</v>
      </c>
      <c r="E938">
        <v>5</v>
      </c>
      <c r="F938" s="2">
        <v>1.6438356164383602E-2</v>
      </c>
      <c r="H938" s="33">
        <v>1</v>
      </c>
      <c r="I938" t="s">
        <v>307</v>
      </c>
      <c r="J938" t="s">
        <v>393</v>
      </c>
      <c r="K938">
        <v>5</v>
      </c>
      <c r="L938" s="63">
        <v>1.643835616438356E-2</v>
      </c>
      <c r="M938">
        <v>6</v>
      </c>
    </row>
    <row r="939" spans="2:13" x14ac:dyDescent="0.25">
      <c r="B939" s="33">
        <v>1</v>
      </c>
      <c r="C939" t="s">
        <v>307</v>
      </c>
      <c r="D939" t="s">
        <v>309</v>
      </c>
      <c r="E939">
        <v>7</v>
      </c>
      <c r="F939" s="2">
        <v>1.6438356164383602E-2</v>
      </c>
      <c r="H939" s="33">
        <v>1</v>
      </c>
      <c r="I939" t="s">
        <v>307</v>
      </c>
      <c r="J939" t="s">
        <v>309</v>
      </c>
      <c r="K939">
        <v>7</v>
      </c>
      <c r="L939" s="63">
        <v>1.643835616438356E-2</v>
      </c>
      <c r="M939">
        <v>6</v>
      </c>
    </row>
    <row r="940" spans="2:13" x14ac:dyDescent="0.25">
      <c r="B940" s="33">
        <v>1</v>
      </c>
      <c r="C940" t="s">
        <v>292</v>
      </c>
      <c r="D940" t="s">
        <v>296</v>
      </c>
      <c r="E940">
        <v>7</v>
      </c>
      <c r="F940" s="2">
        <v>5.2054794520547898E-2</v>
      </c>
      <c r="H940" s="33">
        <v>1</v>
      </c>
      <c r="I940" t="s">
        <v>292</v>
      </c>
      <c r="J940" t="s">
        <v>296</v>
      </c>
      <c r="K940">
        <v>7</v>
      </c>
      <c r="L940" s="63">
        <v>5.2054794520547946E-2</v>
      </c>
      <c r="M940">
        <v>19</v>
      </c>
    </row>
    <row r="941" spans="2:13" x14ac:dyDescent="0.25">
      <c r="B941" s="33">
        <v>1</v>
      </c>
      <c r="C941" t="s">
        <v>292</v>
      </c>
      <c r="D941" t="s">
        <v>297</v>
      </c>
      <c r="E941">
        <v>9</v>
      </c>
      <c r="F941" s="2">
        <v>1.3698630136986301E-2</v>
      </c>
      <c r="H941" s="33">
        <v>1</v>
      </c>
      <c r="I941" t="s">
        <v>292</v>
      </c>
      <c r="J941" t="s">
        <v>297</v>
      </c>
      <c r="K941">
        <v>9</v>
      </c>
      <c r="L941" s="63">
        <v>1.3698630136986301E-2</v>
      </c>
      <c r="M941">
        <v>5</v>
      </c>
    </row>
    <row r="942" spans="2:13" x14ac:dyDescent="0.25">
      <c r="B942" s="33">
        <v>1</v>
      </c>
      <c r="C942" t="s">
        <v>0</v>
      </c>
      <c r="D942" t="s">
        <v>72</v>
      </c>
      <c r="E942">
        <v>10</v>
      </c>
      <c r="F942" s="2">
        <v>5.4794520547945202E-2</v>
      </c>
      <c r="H942" s="33">
        <v>1</v>
      </c>
      <c r="I942" t="s">
        <v>0</v>
      </c>
      <c r="J942" t="s">
        <v>72</v>
      </c>
      <c r="K942">
        <v>10</v>
      </c>
      <c r="L942" s="63">
        <v>7.6712328767123292E-2</v>
      </c>
      <c r="M942">
        <v>33</v>
      </c>
    </row>
    <row r="943" spans="2:13" x14ac:dyDescent="0.25">
      <c r="B943" s="33">
        <v>1</v>
      </c>
      <c r="C943" t="s">
        <v>0</v>
      </c>
      <c r="D943" t="s">
        <v>64</v>
      </c>
      <c r="E943">
        <v>7</v>
      </c>
      <c r="F943" s="2">
        <v>4.9315068493150697E-2</v>
      </c>
      <c r="H943" s="33">
        <v>1</v>
      </c>
      <c r="I943" t="s">
        <v>0</v>
      </c>
      <c r="J943" t="s">
        <v>64</v>
      </c>
      <c r="K943">
        <v>7</v>
      </c>
      <c r="L943" s="63">
        <v>9.0410958904109592E-2</v>
      </c>
      <c r="M943">
        <v>36</v>
      </c>
    </row>
    <row r="944" spans="2:13" x14ac:dyDescent="0.25">
      <c r="B944" s="33">
        <v>1</v>
      </c>
      <c r="C944" t="s">
        <v>276</v>
      </c>
      <c r="D944" t="s">
        <v>286</v>
      </c>
      <c r="E944">
        <v>10</v>
      </c>
      <c r="F944" s="2">
        <v>1.9178082191780799E-2</v>
      </c>
      <c r="H944" s="33">
        <v>1</v>
      </c>
      <c r="I944" t="s">
        <v>276</v>
      </c>
      <c r="J944" t="s">
        <v>286</v>
      </c>
      <c r="K944">
        <v>10</v>
      </c>
      <c r="L944" s="63">
        <v>1.643835616438356E-2</v>
      </c>
      <c r="M944">
        <v>7</v>
      </c>
    </row>
    <row r="945" spans="2:13" x14ac:dyDescent="0.25">
      <c r="B945" s="33">
        <v>1</v>
      </c>
      <c r="C945" t="s">
        <v>231</v>
      </c>
      <c r="D945" t="s">
        <v>190</v>
      </c>
      <c r="E945">
        <v>12</v>
      </c>
      <c r="F945" s="2">
        <v>1.6438356164383602E-2</v>
      </c>
      <c r="H945" s="33">
        <v>1</v>
      </c>
      <c r="I945" t="s">
        <v>231</v>
      </c>
      <c r="J945" t="s">
        <v>190</v>
      </c>
      <c r="K945">
        <v>12</v>
      </c>
      <c r="L945" s="63">
        <v>2.7397260273972601E-2</v>
      </c>
      <c r="M945">
        <v>10</v>
      </c>
    </row>
    <row r="946" spans="2:13" x14ac:dyDescent="0.25">
      <c r="B946" s="33">
        <v>1</v>
      </c>
      <c r="C946" t="s">
        <v>57</v>
      </c>
      <c r="D946" t="s">
        <v>77</v>
      </c>
      <c r="E946">
        <v>12</v>
      </c>
      <c r="F946" s="2">
        <v>1.6438356164383602E-2</v>
      </c>
      <c r="H946" s="33">
        <v>1</v>
      </c>
      <c r="I946" t="s">
        <v>57</v>
      </c>
      <c r="J946" t="s">
        <v>77</v>
      </c>
      <c r="K946">
        <v>12</v>
      </c>
      <c r="L946" s="63">
        <v>2.7397260273972601E-2</v>
      </c>
      <c r="M946">
        <v>10</v>
      </c>
    </row>
    <row r="947" spans="2:13" x14ac:dyDescent="0.25">
      <c r="B947" s="33">
        <v>1</v>
      </c>
      <c r="C947" t="s">
        <v>276</v>
      </c>
      <c r="D947" t="s">
        <v>286</v>
      </c>
      <c r="E947">
        <v>12</v>
      </c>
      <c r="F947" s="2">
        <v>4.1095890410958902E-2</v>
      </c>
      <c r="H947" s="33">
        <v>1</v>
      </c>
      <c r="I947" t="s">
        <v>276</v>
      </c>
      <c r="J947" t="s">
        <v>286</v>
      </c>
      <c r="K947">
        <v>12</v>
      </c>
      <c r="L947" s="63">
        <v>3.8356164383561646E-2</v>
      </c>
      <c r="M947">
        <v>15</v>
      </c>
    </row>
    <row r="948" spans="2:13" x14ac:dyDescent="0.25">
      <c r="B948" s="33">
        <v>1</v>
      </c>
      <c r="C948" t="s">
        <v>276</v>
      </c>
      <c r="D948" t="s">
        <v>288</v>
      </c>
      <c r="E948">
        <v>12</v>
      </c>
      <c r="F948" s="2">
        <v>5.75342465753425E-2</v>
      </c>
      <c r="H948" s="33">
        <v>1</v>
      </c>
      <c r="I948" t="s">
        <v>276</v>
      </c>
      <c r="J948" t="s">
        <v>288</v>
      </c>
      <c r="K948">
        <v>12</v>
      </c>
      <c r="L948" s="63">
        <v>5.4794520547945202E-2</v>
      </c>
      <c r="M948">
        <v>21</v>
      </c>
    </row>
    <row r="949" spans="2:13" x14ac:dyDescent="0.25">
      <c r="B949" s="33">
        <v>1</v>
      </c>
      <c r="C949" t="s">
        <v>292</v>
      </c>
      <c r="D949" t="s">
        <v>297</v>
      </c>
      <c r="E949">
        <v>18</v>
      </c>
      <c r="F949" s="2">
        <v>1.0958904109589E-2</v>
      </c>
      <c r="H949" s="33">
        <v>1</v>
      </c>
      <c r="I949" t="s">
        <v>292</v>
      </c>
      <c r="J949" t="s">
        <v>297</v>
      </c>
      <c r="K949">
        <v>18</v>
      </c>
      <c r="L949" s="63">
        <v>1.0958904109589041E-2</v>
      </c>
      <c r="M949">
        <v>4</v>
      </c>
    </row>
    <row r="950" spans="2:13" x14ac:dyDescent="0.25">
      <c r="B950" s="33">
        <v>1</v>
      </c>
      <c r="C950" t="s">
        <v>0</v>
      </c>
      <c r="D950" t="s">
        <v>78</v>
      </c>
      <c r="E950">
        <v>18</v>
      </c>
      <c r="F950" s="2">
        <v>1.9178082191780799E-2</v>
      </c>
      <c r="H950" s="33">
        <v>1</v>
      </c>
      <c r="I950" t="s">
        <v>0</v>
      </c>
      <c r="J950" t="s">
        <v>78</v>
      </c>
      <c r="K950">
        <v>18</v>
      </c>
      <c r="L950" s="63">
        <v>2.7397260273972601E-2</v>
      </c>
      <c r="M950">
        <v>11</v>
      </c>
    </row>
    <row r="951" spans="2:13" x14ac:dyDescent="0.25">
      <c r="B951" s="33">
        <v>1</v>
      </c>
      <c r="C951" t="s">
        <v>307</v>
      </c>
      <c r="D951" t="s">
        <v>393</v>
      </c>
      <c r="E951">
        <v>0</v>
      </c>
      <c r="F951" s="2">
        <v>2.7397260273972601E-2</v>
      </c>
      <c r="H951" s="33">
        <v>1</v>
      </c>
      <c r="I951" t="s">
        <v>307</v>
      </c>
      <c r="J951" t="s">
        <v>393</v>
      </c>
      <c r="K951">
        <v>0</v>
      </c>
      <c r="L951" s="63">
        <v>2.7397260273972601E-2</v>
      </c>
      <c r="M951">
        <v>10</v>
      </c>
    </row>
    <row r="952" spans="2:13" x14ac:dyDescent="0.25">
      <c r="B952" s="33">
        <v>1</v>
      </c>
      <c r="C952" t="s">
        <v>292</v>
      </c>
      <c r="D952" t="s">
        <v>321</v>
      </c>
      <c r="E952">
        <v>1</v>
      </c>
      <c r="F952" s="2">
        <v>2.7397260273972601E-2</v>
      </c>
      <c r="H952" s="33">
        <v>1</v>
      </c>
      <c r="I952" t="s">
        <v>292</v>
      </c>
      <c r="J952" t="s">
        <v>321</v>
      </c>
      <c r="K952">
        <v>1</v>
      </c>
      <c r="L952" s="63">
        <v>2.4657534246575342E-2</v>
      </c>
      <c r="M952">
        <v>10</v>
      </c>
    </row>
    <row r="953" spans="2:13" x14ac:dyDescent="0.25">
      <c r="B953" s="33">
        <v>1</v>
      </c>
      <c r="C953" t="s">
        <v>0</v>
      </c>
      <c r="D953" t="s">
        <v>71</v>
      </c>
      <c r="E953">
        <v>1</v>
      </c>
      <c r="F953" s="2">
        <v>8.21917808219178E-3</v>
      </c>
      <c r="H953" s="33">
        <v>1</v>
      </c>
      <c r="I953" t="s">
        <v>0</v>
      </c>
      <c r="J953" t="s">
        <v>71</v>
      </c>
      <c r="K953">
        <v>1</v>
      </c>
      <c r="L953" s="63">
        <v>3.5616438356164383E-2</v>
      </c>
      <c r="M953">
        <v>13</v>
      </c>
    </row>
    <row r="954" spans="2:13" x14ac:dyDescent="0.25">
      <c r="B954" s="33">
        <v>1</v>
      </c>
      <c r="C954" t="s">
        <v>231</v>
      </c>
      <c r="D954" t="s">
        <v>185</v>
      </c>
      <c r="E954">
        <v>2</v>
      </c>
      <c r="F954" s="2">
        <v>3.0136986301369899E-2</v>
      </c>
      <c r="H954" s="33">
        <v>1</v>
      </c>
      <c r="I954" t="s">
        <v>231</v>
      </c>
      <c r="J954" t="s">
        <v>185</v>
      </c>
      <c r="K954">
        <v>2</v>
      </c>
      <c r="L954" s="63">
        <v>5.7534246575342465E-2</v>
      </c>
      <c r="M954">
        <v>24</v>
      </c>
    </row>
    <row r="955" spans="2:13" x14ac:dyDescent="0.25">
      <c r="B955" s="33">
        <v>1</v>
      </c>
      <c r="C955" t="s">
        <v>2</v>
      </c>
      <c r="D955" t="s">
        <v>317</v>
      </c>
      <c r="E955">
        <v>5</v>
      </c>
      <c r="F955" s="2">
        <v>1.9178082191780799E-2</v>
      </c>
      <c r="H955" s="33">
        <v>1</v>
      </c>
      <c r="I955" t="s">
        <v>2</v>
      </c>
      <c r="J955" t="s">
        <v>317</v>
      </c>
      <c r="K955">
        <v>5</v>
      </c>
      <c r="L955" s="63">
        <v>1.9178082191780823E-2</v>
      </c>
      <c r="M955">
        <v>7</v>
      </c>
    </row>
    <row r="956" spans="2:13" x14ac:dyDescent="0.25">
      <c r="B956" s="33">
        <v>1</v>
      </c>
      <c r="C956" t="s">
        <v>2</v>
      </c>
      <c r="D956" t="s">
        <v>317</v>
      </c>
      <c r="E956">
        <v>6</v>
      </c>
      <c r="F956" s="2">
        <v>3.0136986301369899E-2</v>
      </c>
      <c r="H956" s="33">
        <v>1</v>
      </c>
      <c r="I956" t="s">
        <v>2</v>
      </c>
      <c r="J956" t="s">
        <v>317</v>
      </c>
      <c r="K956">
        <v>6</v>
      </c>
      <c r="L956" s="63">
        <v>3.0136986301369864E-2</v>
      </c>
      <c r="M956">
        <v>11</v>
      </c>
    </row>
    <row r="957" spans="2:13" x14ac:dyDescent="0.25">
      <c r="B957" s="33">
        <v>1</v>
      </c>
      <c r="C957" t="s">
        <v>231</v>
      </c>
      <c r="D957" t="s">
        <v>187</v>
      </c>
      <c r="E957">
        <v>6</v>
      </c>
      <c r="F957" s="2">
        <v>1.3698630136986301E-2</v>
      </c>
      <c r="H957" s="33">
        <v>1</v>
      </c>
      <c r="I957" t="s">
        <v>231</v>
      </c>
      <c r="J957" t="s">
        <v>187</v>
      </c>
      <c r="K957">
        <v>6</v>
      </c>
      <c r="L957" s="63">
        <v>2.4657534246575342E-2</v>
      </c>
      <c r="M957">
        <v>9</v>
      </c>
    </row>
    <row r="958" spans="2:13" x14ac:dyDescent="0.25">
      <c r="B958" s="33">
        <v>1</v>
      </c>
      <c r="C958" t="s">
        <v>276</v>
      </c>
      <c r="D958" t="s">
        <v>291</v>
      </c>
      <c r="E958">
        <v>17</v>
      </c>
      <c r="F958" s="2">
        <v>2.46575342465753E-2</v>
      </c>
      <c r="H958" s="33">
        <v>1</v>
      </c>
      <c r="I958" t="s">
        <v>276</v>
      </c>
      <c r="J958" t="s">
        <v>291</v>
      </c>
      <c r="K958">
        <v>17</v>
      </c>
      <c r="L958" s="63">
        <v>1.9178082191780823E-2</v>
      </c>
      <c r="M958">
        <v>9</v>
      </c>
    </row>
    <row r="959" spans="2:13" x14ac:dyDescent="0.25">
      <c r="B959" s="33">
        <v>1</v>
      </c>
      <c r="C959" t="s">
        <v>276</v>
      </c>
      <c r="D959" t="s">
        <v>286</v>
      </c>
      <c r="E959">
        <v>22</v>
      </c>
      <c r="F959" s="2">
        <v>8.21917808219178E-3</v>
      </c>
      <c r="H959" s="33">
        <v>1</v>
      </c>
      <c r="I959" t="s">
        <v>276</v>
      </c>
      <c r="J959" t="s">
        <v>286</v>
      </c>
      <c r="K959">
        <v>22</v>
      </c>
      <c r="L959" s="63">
        <v>8.21917808219178E-3</v>
      </c>
      <c r="M959">
        <v>3</v>
      </c>
    </row>
    <row r="960" spans="2:13" x14ac:dyDescent="0.25">
      <c r="B960" s="33">
        <v>1</v>
      </c>
      <c r="C960" t="s">
        <v>2</v>
      </c>
      <c r="D960" t="s">
        <v>32</v>
      </c>
      <c r="E960">
        <v>1</v>
      </c>
      <c r="F960" s="2">
        <v>2.7397260273972599E-3</v>
      </c>
      <c r="H960" s="33">
        <v>1</v>
      </c>
      <c r="I960" t="s">
        <v>2</v>
      </c>
      <c r="J960" t="s">
        <v>32</v>
      </c>
      <c r="K960">
        <v>1</v>
      </c>
      <c r="L960" s="63">
        <v>8.21917808219178E-3</v>
      </c>
      <c r="M960">
        <v>4</v>
      </c>
    </row>
    <row r="961" spans="2:13" x14ac:dyDescent="0.25">
      <c r="B961" s="33">
        <v>1</v>
      </c>
      <c r="C961" t="s">
        <v>292</v>
      </c>
      <c r="D961" t="s">
        <v>320</v>
      </c>
      <c r="E961">
        <v>3</v>
      </c>
      <c r="F961" s="2">
        <v>1.3698630136986301E-2</v>
      </c>
      <c r="H961" s="33">
        <v>1</v>
      </c>
      <c r="I961" t="s">
        <v>292</v>
      </c>
      <c r="J961" t="s">
        <v>320</v>
      </c>
      <c r="K961">
        <v>3</v>
      </c>
      <c r="L961" s="63">
        <v>1.3698630136986301E-2</v>
      </c>
      <c r="M961">
        <v>5</v>
      </c>
    </row>
    <row r="962" spans="2:13" x14ac:dyDescent="0.25">
      <c r="B962" s="33">
        <v>1</v>
      </c>
      <c r="C962" t="s">
        <v>57</v>
      </c>
      <c r="D962" t="s">
        <v>75</v>
      </c>
      <c r="E962">
        <v>5</v>
      </c>
      <c r="F962" s="2">
        <v>5.4794520547945197E-3</v>
      </c>
      <c r="H962" s="33">
        <v>1</v>
      </c>
      <c r="I962" t="s">
        <v>57</v>
      </c>
      <c r="J962" t="s">
        <v>75</v>
      </c>
      <c r="K962">
        <v>5</v>
      </c>
      <c r="L962" s="63">
        <v>1.0958904109589041E-2</v>
      </c>
      <c r="M962">
        <v>4</v>
      </c>
    </row>
    <row r="963" spans="2:13" x14ac:dyDescent="0.25">
      <c r="B963" s="33">
        <v>1</v>
      </c>
      <c r="C963" t="s">
        <v>276</v>
      </c>
      <c r="D963" t="s">
        <v>289</v>
      </c>
      <c r="E963">
        <v>7</v>
      </c>
      <c r="F963" s="2">
        <v>2.7397260273972599E-3</v>
      </c>
      <c r="H963" s="33">
        <v>1</v>
      </c>
      <c r="I963" t="s">
        <v>276</v>
      </c>
      <c r="J963" t="s">
        <v>289</v>
      </c>
      <c r="K963">
        <v>7</v>
      </c>
      <c r="L963" s="63">
        <v>2.7397260273972603E-3</v>
      </c>
      <c r="M963">
        <v>1</v>
      </c>
    </row>
    <row r="964" spans="2:13" x14ac:dyDescent="0.25">
      <c r="B964" s="33">
        <v>1</v>
      </c>
      <c r="C964" t="s">
        <v>276</v>
      </c>
      <c r="D964" t="s">
        <v>290</v>
      </c>
      <c r="E964">
        <v>15</v>
      </c>
      <c r="F964" s="2">
        <v>3.5616438356164397E-2</v>
      </c>
      <c r="H964" s="33">
        <v>1</v>
      </c>
      <c r="I964" t="s">
        <v>276</v>
      </c>
      <c r="J964" t="s">
        <v>290</v>
      </c>
      <c r="K964">
        <v>15</v>
      </c>
      <c r="L964" s="63">
        <v>3.5616438356164383E-2</v>
      </c>
      <c r="M964">
        <v>13</v>
      </c>
    </row>
    <row r="965" spans="2:13" x14ac:dyDescent="0.25">
      <c r="B965" s="33">
        <v>1</v>
      </c>
      <c r="C965" t="s">
        <v>276</v>
      </c>
      <c r="D965" t="s">
        <v>289</v>
      </c>
      <c r="E965">
        <v>17</v>
      </c>
      <c r="F965" s="2">
        <v>2.19178082191781E-2</v>
      </c>
      <c r="H965" s="33">
        <v>1</v>
      </c>
      <c r="I965" t="s">
        <v>276</v>
      </c>
      <c r="J965" t="s">
        <v>289</v>
      </c>
      <c r="K965">
        <v>17</v>
      </c>
      <c r="L965" s="63">
        <v>2.1917808219178082E-2</v>
      </c>
      <c r="M965">
        <v>8</v>
      </c>
    </row>
    <row r="966" spans="2:13" x14ac:dyDescent="0.25">
      <c r="B966" s="33">
        <v>1</v>
      </c>
      <c r="C966" t="s">
        <v>276</v>
      </c>
      <c r="D966" t="s">
        <v>319</v>
      </c>
      <c r="E966">
        <v>21</v>
      </c>
      <c r="F966" s="2">
        <v>8.21917808219178E-3</v>
      </c>
      <c r="H966" s="33">
        <v>1</v>
      </c>
      <c r="I966" t="s">
        <v>276</v>
      </c>
      <c r="J966" t="s">
        <v>319</v>
      </c>
      <c r="K966">
        <v>21</v>
      </c>
      <c r="L966" s="63">
        <v>8.21917808219178E-3</v>
      </c>
      <c r="M966">
        <v>3</v>
      </c>
    </row>
    <row r="967" spans="2:13" x14ac:dyDescent="0.25">
      <c r="B967" s="33">
        <v>1</v>
      </c>
      <c r="C967" t="s">
        <v>0</v>
      </c>
      <c r="D967" t="s">
        <v>72</v>
      </c>
      <c r="E967">
        <v>23</v>
      </c>
      <c r="F967" s="2">
        <v>2.19178082191781E-2</v>
      </c>
      <c r="H967" s="33">
        <v>1</v>
      </c>
      <c r="I967" t="s">
        <v>0</v>
      </c>
      <c r="J967" t="s">
        <v>72</v>
      </c>
      <c r="K967">
        <v>23</v>
      </c>
      <c r="L967" s="63">
        <v>2.7397260273972601E-2</v>
      </c>
      <c r="M967">
        <v>10</v>
      </c>
    </row>
    <row r="968" spans="2:13" x14ac:dyDescent="0.25">
      <c r="B968" s="33">
        <v>1</v>
      </c>
      <c r="C968" t="s">
        <v>307</v>
      </c>
      <c r="D968" t="s">
        <v>312</v>
      </c>
      <c r="E968">
        <v>23</v>
      </c>
      <c r="F968" s="2">
        <v>2.19178082191781E-2</v>
      </c>
      <c r="H968" s="33">
        <v>1</v>
      </c>
      <c r="I968" t="s">
        <v>307</v>
      </c>
      <c r="J968" t="s">
        <v>312</v>
      </c>
      <c r="K968">
        <v>23</v>
      </c>
      <c r="L968" s="63">
        <v>1.643835616438356E-2</v>
      </c>
      <c r="M968">
        <v>8</v>
      </c>
    </row>
    <row r="969" spans="2:13" x14ac:dyDescent="0.25">
      <c r="B969" s="33">
        <v>1</v>
      </c>
      <c r="C969" t="s">
        <v>276</v>
      </c>
      <c r="D969" t="s">
        <v>289</v>
      </c>
      <c r="E969">
        <v>3</v>
      </c>
      <c r="F969" s="2">
        <v>2.7397260273972599E-3</v>
      </c>
      <c r="H969" s="33">
        <v>1</v>
      </c>
      <c r="I969" t="s">
        <v>276</v>
      </c>
      <c r="J969" t="s">
        <v>289</v>
      </c>
      <c r="K969">
        <v>3</v>
      </c>
      <c r="L969" s="63">
        <v>2.7397260273972603E-3</v>
      </c>
      <c r="M969">
        <v>1</v>
      </c>
    </row>
    <row r="970" spans="2:13" x14ac:dyDescent="0.25">
      <c r="B970" s="33">
        <v>1</v>
      </c>
      <c r="C970" t="s">
        <v>231</v>
      </c>
      <c r="D970" t="s">
        <v>186</v>
      </c>
      <c r="E970">
        <v>6</v>
      </c>
      <c r="F970" s="2">
        <v>0</v>
      </c>
      <c r="H970" s="33">
        <v>1</v>
      </c>
      <c r="I970" t="s">
        <v>231</v>
      </c>
      <c r="J970" t="s">
        <v>186</v>
      </c>
      <c r="K970">
        <v>6</v>
      </c>
      <c r="L970" s="63">
        <v>2.1917808219178082E-2</v>
      </c>
      <c r="M970">
        <v>8</v>
      </c>
    </row>
    <row r="971" spans="2:13" x14ac:dyDescent="0.25">
      <c r="B971" s="33">
        <v>1</v>
      </c>
      <c r="C971" t="s">
        <v>231</v>
      </c>
      <c r="D971" t="s">
        <v>190</v>
      </c>
      <c r="E971">
        <v>7</v>
      </c>
      <c r="F971" s="2">
        <v>8.21917808219178E-3</v>
      </c>
      <c r="H971" s="33">
        <v>1</v>
      </c>
      <c r="I971" t="s">
        <v>231</v>
      </c>
      <c r="J971" t="s">
        <v>190</v>
      </c>
      <c r="K971">
        <v>7</v>
      </c>
      <c r="L971" s="63">
        <v>2.1917808219178082E-2</v>
      </c>
      <c r="M971">
        <v>8</v>
      </c>
    </row>
    <row r="972" spans="2:13" x14ac:dyDescent="0.25">
      <c r="B972" s="33">
        <v>1</v>
      </c>
      <c r="C972" t="s">
        <v>276</v>
      </c>
      <c r="D972" t="s">
        <v>289</v>
      </c>
      <c r="E972">
        <v>9</v>
      </c>
      <c r="F972" s="2">
        <v>4.3835616438356199E-2</v>
      </c>
      <c r="H972" s="33">
        <v>1</v>
      </c>
      <c r="I972" t="s">
        <v>276</v>
      </c>
      <c r="J972" t="s">
        <v>289</v>
      </c>
      <c r="K972">
        <v>9</v>
      </c>
      <c r="L972" s="63">
        <v>4.1095890410958902E-2</v>
      </c>
      <c r="M972">
        <v>16</v>
      </c>
    </row>
    <row r="973" spans="2:13" x14ac:dyDescent="0.25">
      <c r="B973" s="33">
        <v>1</v>
      </c>
      <c r="C973" t="s">
        <v>307</v>
      </c>
      <c r="D973" t="s">
        <v>313</v>
      </c>
      <c r="E973">
        <v>10</v>
      </c>
      <c r="F973" s="2">
        <v>5.75342465753425E-2</v>
      </c>
      <c r="H973" s="33">
        <v>1</v>
      </c>
      <c r="I973" t="s">
        <v>307</v>
      </c>
      <c r="J973" t="s">
        <v>313</v>
      </c>
      <c r="K973">
        <v>10</v>
      </c>
      <c r="L973" s="63">
        <v>5.2054794520547946E-2</v>
      </c>
      <c r="M973">
        <v>21</v>
      </c>
    </row>
    <row r="974" spans="2:13" x14ac:dyDescent="0.25">
      <c r="B974" s="33">
        <v>1</v>
      </c>
      <c r="C974" t="s">
        <v>276</v>
      </c>
      <c r="D974" t="s">
        <v>291</v>
      </c>
      <c r="E974">
        <v>11</v>
      </c>
      <c r="F974" s="2">
        <v>3.2876712328767099E-2</v>
      </c>
      <c r="H974" s="33">
        <v>1</v>
      </c>
      <c r="I974" t="s">
        <v>276</v>
      </c>
      <c r="J974" t="s">
        <v>291</v>
      </c>
      <c r="K974">
        <v>11</v>
      </c>
      <c r="L974" s="63">
        <v>3.0136986301369864E-2</v>
      </c>
      <c r="M974">
        <v>12</v>
      </c>
    </row>
    <row r="975" spans="2:13" x14ac:dyDescent="0.25">
      <c r="B975" s="33">
        <v>1</v>
      </c>
      <c r="C975" t="s">
        <v>276</v>
      </c>
      <c r="D975" t="s">
        <v>318</v>
      </c>
      <c r="E975">
        <v>15</v>
      </c>
      <c r="F975" s="2">
        <v>1.0958904109589E-2</v>
      </c>
      <c r="H975" s="33">
        <v>1</v>
      </c>
      <c r="I975" t="s">
        <v>276</v>
      </c>
      <c r="J975" t="s">
        <v>318</v>
      </c>
      <c r="K975">
        <v>15</v>
      </c>
      <c r="L975" s="63">
        <v>1.0958904109589041E-2</v>
      </c>
      <c r="M975">
        <v>4</v>
      </c>
    </row>
    <row r="976" spans="2:13" x14ac:dyDescent="0.25">
      <c r="B976" s="33">
        <v>1</v>
      </c>
      <c r="C976" t="s">
        <v>276</v>
      </c>
      <c r="D976" t="s">
        <v>291</v>
      </c>
      <c r="E976">
        <v>18</v>
      </c>
      <c r="F976" s="2">
        <v>2.7397260273972601E-2</v>
      </c>
      <c r="H976" s="33">
        <v>1</v>
      </c>
      <c r="I976" t="s">
        <v>276</v>
      </c>
      <c r="J976" t="s">
        <v>291</v>
      </c>
      <c r="K976">
        <v>18</v>
      </c>
      <c r="L976" s="63">
        <v>2.7397260273972601E-2</v>
      </c>
      <c r="M976">
        <v>10</v>
      </c>
    </row>
    <row r="977" spans="2:13" x14ac:dyDescent="0.25">
      <c r="B977" s="33">
        <v>1</v>
      </c>
      <c r="C977" t="s">
        <v>231</v>
      </c>
      <c r="D977" t="s">
        <v>189</v>
      </c>
      <c r="E977">
        <v>0</v>
      </c>
      <c r="F977" s="2">
        <v>2.7397260273972601E-2</v>
      </c>
      <c r="H977" s="33">
        <v>1</v>
      </c>
      <c r="I977" t="s">
        <v>231</v>
      </c>
      <c r="J977" t="s">
        <v>189</v>
      </c>
      <c r="K977">
        <v>0</v>
      </c>
      <c r="L977" s="63">
        <v>4.3835616438356165E-2</v>
      </c>
      <c r="M977">
        <v>17</v>
      </c>
    </row>
    <row r="978" spans="2:13" x14ac:dyDescent="0.25">
      <c r="B978" s="33">
        <v>1</v>
      </c>
      <c r="C978" t="s">
        <v>231</v>
      </c>
      <c r="D978" t="s">
        <v>189</v>
      </c>
      <c r="E978">
        <v>1</v>
      </c>
      <c r="F978" s="2">
        <v>1.6438356164383602E-2</v>
      </c>
      <c r="H978" s="33">
        <v>1</v>
      </c>
      <c r="I978" t="s">
        <v>231</v>
      </c>
      <c r="J978" t="s">
        <v>189</v>
      </c>
      <c r="K978">
        <v>1</v>
      </c>
      <c r="L978" s="63">
        <v>4.1095890410958902E-2</v>
      </c>
      <c r="M978">
        <v>16</v>
      </c>
    </row>
    <row r="979" spans="2:13" x14ac:dyDescent="0.25">
      <c r="B979" s="33">
        <v>1</v>
      </c>
      <c r="C979" t="s">
        <v>0</v>
      </c>
      <c r="D979" t="s">
        <v>79</v>
      </c>
      <c r="E979">
        <v>1</v>
      </c>
      <c r="F979" s="2">
        <v>2.7397260273972599E-3</v>
      </c>
      <c r="H979" s="33">
        <v>1</v>
      </c>
      <c r="I979" t="s">
        <v>0</v>
      </c>
      <c r="J979" t="s">
        <v>79</v>
      </c>
      <c r="K979">
        <v>1</v>
      </c>
      <c r="L979" s="63">
        <v>5.4794520547945206E-3</v>
      </c>
      <c r="M979">
        <v>2</v>
      </c>
    </row>
    <row r="980" spans="2:13" x14ac:dyDescent="0.25">
      <c r="B980" s="33">
        <v>1</v>
      </c>
      <c r="C980" t="s">
        <v>59</v>
      </c>
      <c r="D980" t="s">
        <v>76</v>
      </c>
      <c r="E980">
        <v>6</v>
      </c>
      <c r="F980" s="2">
        <v>2.46575342465753E-2</v>
      </c>
      <c r="H980" s="33">
        <v>1</v>
      </c>
      <c r="I980" t="s">
        <v>59</v>
      </c>
      <c r="J980" t="s">
        <v>76</v>
      </c>
      <c r="K980">
        <v>6</v>
      </c>
      <c r="L980" s="63">
        <v>4.1095890410958902E-2</v>
      </c>
      <c r="M980">
        <v>18</v>
      </c>
    </row>
    <row r="981" spans="2:13" x14ac:dyDescent="0.25">
      <c r="B981" s="33">
        <v>1</v>
      </c>
      <c r="C981" t="s">
        <v>307</v>
      </c>
      <c r="D981" t="s">
        <v>308</v>
      </c>
      <c r="E981">
        <v>6</v>
      </c>
      <c r="F981" s="2">
        <v>5.4794520547945197E-3</v>
      </c>
      <c r="H981" s="33">
        <v>1</v>
      </c>
      <c r="I981" t="s">
        <v>307</v>
      </c>
      <c r="J981" t="s">
        <v>308</v>
      </c>
      <c r="K981">
        <v>6</v>
      </c>
      <c r="L981" s="63">
        <v>5.4794520547945206E-3</v>
      </c>
      <c r="M981">
        <v>2</v>
      </c>
    </row>
    <row r="982" spans="2:13" x14ac:dyDescent="0.25">
      <c r="B982" s="33">
        <v>1</v>
      </c>
      <c r="C982" t="s">
        <v>2</v>
      </c>
      <c r="D982" t="s">
        <v>37</v>
      </c>
      <c r="E982">
        <v>16</v>
      </c>
      <c r="F982" s="2">
        <v>1.9178082191780799E-2</v>
      </c>
      <c r="H982" s="33">
        <v>1</v>
      </c>
      <c r="I982" t="s">
        <v>2</v>
      </c>
      <c r="J982" t="s">
        <v>37</v>
      </c>
      <c r="K982">
        <v>16</v>
      </c>
      <c r="L982" s="63">
        <v>2.7397260273972601E-2</v>
      </c>
      <c r="M982">
        <v>10</v>
      </c>
    </row>
    <row r="983" spans="2:13" x14ac:dyDescent="0.25">
      <c r="B983" s="33">
        <v>1</v>
      </c>
      <c r="C983" t="s">
        <v>231</v>
      </c>
      <c r="D983" t="s">
        <v>190</v>
      </c>
      <c r="E983">
        <v>17</v>
      </c>
      <c r="F983" s="2">
        <v>2.46575342465753E-2</v>
      </c>
      <c r="H983" s="33">
        <v>1</v>
      </c>
      <c r="I983" t="s">
        <v>231</v>
      </c>
      <c r="J983" t="s">
        <v>190</v>
      </c>
      <c r="K983">
        <v>17</v>
      </c>
      <c r="L983" s="63">
        <v>3.287671232876712E-2</v>
      </c>
      <c r="M983">
        <v>14</v>
      </c>
    </row>
    <row r="984" spans="2:13" x14ac:dyDescent="0.25">
      <c r="B984" s="33">
        <v>1</v>
      </c>
      <c r="C984" t="s">
        <v>276</v>
      </c>
      <c r="D984" t="s">
        <v>319</v>
      </c>
      <c r="E984">
        <v>17</v>
      </c>
      <c r="F984" s="2">
        <v>1.3698630136986301E-2</v>
      </c>
      <c r="H984" s="33">
        <v>1</v>
      </c>
      <c r="I984" t="s">
        <v>276</v>
      </c>
      <c r="J984" t="s">
        <v>319</v>
      </c>
      <c r="K984">
        <v>17</v>
      </c>
      <c r="L984" s="63">
        <v>1.3698630136986301E-2</v>
      </c>
      <c r="M984">
        <v>5</v>
      </c>
    </row>
    <row r="985" spans="2:13" x14ac:dyDescent="0.25">
      <c r="B985" s="33">
        <v>1</v>
      </c>
      <c r="C985" t="s">
        <v>59</v>
      </c>
      <c r="D985" t="s">
        <v>76</v>
      </c>
      <c r="E985">
        <v>3</v>
      </c>
      <c r="F985" s="2">
        <v>0</v>
      </c>
      <c r="H985" s="33">
        <v>1</v>
      </c>
      <c r="I985" t="s">
        <v>59</v>
      </c>
      <c r="J985" t="s">
        <v>76</v>
      </c>
      <c r="K985">
        <v>3</v>
      </c>
      <c r="L985" s="63">
        <v>2.7397260273972603E-3</v>
      </c>
      <c r="M985">
        <v>1</v>
      </c>
    </row>
    <row r="986" spans="2:13" x14ac:dyDescent="0.25">
      <c r="B986" s="33">
        <v>1</v>
      </c>
      <c r="C986" t="s">
        <v>2</v>
      </c>
      <c r="D986" t="s">
        <v>17</v>
      </c>
      <c r="E986">
        <v>6</v>
      </c>
      <c r="F986" s="2">
        <v>1.6438356164383602E-2</v>
      </c>
      <c r="H986" s="33">
        <v>1</v>
      </c>
      <c r="I986" t="s">
        <v>2</v>
      </c>
      <c r="J986" t="s">
        <v>17</v>
      </c>
      <c r="K986">
        <v>6</v>
      </c>
      <c r="L986" s="63">
        <v>2.4657534246575342E-2</v>
      </c>
      <c r="M986">
        <v>10</v>
      </c>
    </row>
    <row r="987" spans="2:13" x14ac:dyDescent="0.25">
      <c r="B987" s="33">
        <v>1</v>
      </c>
      <c r="C987" t="s">
        <v>276</v>
      </c>
      <c r="D987" t="s">
        <v>287</v>
      </c>
      <c r="E987">
        <v>11</v>
      </c>
      <c r="F987" s="2">
        <v>1.6438356164383602E-2</v>
      </c>
      <c r="H987" s="33">
        <v>1</v>
      </c>
      <c r="I987" t="s">
        <v>276</v>
      </c>
      <c r="J987" t="s">
        <v>287</v>
      </c>
      <c r="K987">
        <v>11</v>
      </c>
      <c r="L987" s="63">
        <v>1.643835616438356E-2</v>
      </c>
      <c r="M987">
        <v>6</v>
      </c>
    </row>
    <row r="988" spans="2:13" x14ac:dyDescent="0.25">
      <c r="B988" s="33">
        <v>1</v>
      </c>
      <c r="C988" t="s">
        <v>307</v>
      </c>
      <c r="D988" t="s">
        <v>313</v>
      </c>
      <c r="E988">
        <v>14</v>
      </c>
      <c r="F988" s="2">
        <v>4.9315068493150697E-2</v>
      </c>
      <c r="H988" s="33">
        <v>1</v>
      </c>
      <c r="I988" t="s">
        <v>307</v>
      </c>
      <c r="J988" t="s">
        <v>313</v>
      </c>
      <c r="K988">
        <v>14</v>
      </c>
      <c r="L988" s="63">
        <v>4.3835616438356165E-2</v>
      </c>
      <c r="M988">
        <v>18</v>
      </c>
    </row>
    <row r="989" spans="2:13" x14ac:dyDescent="0.25">
      <c r="B989" s="33">
        <v>1</v>
      </c>
      <c r="C989" t="s">
        <v>0</v>
      </c>
      <c r="D989" t="s">
        <v>79</v>
      </c>
      <c r="E989">
        <v>19</v>
      </c>
      <c r="F989" s="2">
        <v>1.3698630136986301E-2</v>
      </c>
      <c r="H989" s="33">
        <v>1</v>
      </c>
      <c r="I989" t="s">
        <v>0</v>
      </c>
      <c r="J989" t="s">
        <v>79</v>
      </c>
      <c r="K989">
        <v>19</v>
      </c>
      <c r="L989" s="63">
        <v>1.9178082191780823E-2</v>
      </c>
      <c r="M989">
        <v>7</v>
      </c>
    </row>
    <row r="990" spans="2:13" x14ac:dyDescent="0.25">
      <c r="B990" s="33">
        <v>1</v>
      </c>
      <c r="C990" t="s">
        <v>292</v>
      </c>
      <c r="D990" t="s">
        <v>297</v>
      </c>
      <c r="E990">
        <v>23</v>
      </c>
      <c r="F990" s="2">
        <v>5.4794520547945197E-3</v>
      </c>
      <c r="H990" s="33">
        <v>1</v>
      </c>
      <c r="I990" t="s">
        <v>292</v>
      </c>
      <c r="J990" t="s">
        <v>297</v>
      </c>
      <c r="K990">
        <v>23</v>
      </c>
      <c r="L990" s="63">
        <v>5.4794520547945206E-3</v>
      </c>
      <c r="M990">
        <v>2</v>
      </c>
    </row>
    <row r="991" spans="2:13" x14ac:dyDescent="0.25">
      <c r="B991" s="33">
        <v>1</v>
      </c>
      <c r="C991" t="s">
        <v>231</v>
      </c>
      <c r="D991" t="s">
        <v>187</v>
      </c>
      <c r="E991">
        <v>3</v>
      </c>
      <c r="F991" s="2">
        <v>1.3698630136986301E-2</v>
      </c>
      <c r="H991" s="33">
        <v>1</v>
      </c>
      <c r="I991" t="s">
        <v>231</v>
      </c>
      <c r="J991" t="s">
        <v>187</v>
      </c>
      <c r="K991">
        <v>3</v>
      </c>
      <c r="L991" s="63">
        <v>3.0136986301369864E-2</v>
      </c>
      <c r="M991">
        <v>11</v>
      </c>
    </row>
    <row r="992" spans="2:13" x14ac:dyDescent="0.25">
      <c r="B992" s="33">
        <v>1</v>
      </c>
      <c r="C992" t="s">
        <v>292</v>
      </c>
      <c r="D992" t="s">
        <v>296</v>
      </c>
      <c r="E992">
        <v>3</v>
      </c>
      <c r="F992" s="2">
        <v>1.0958904109589E-2</v>
      </c>
      <c r="H992" s="33">
        <v>1</v>
      </c>
      <c r="I992" t="s">
        <v>292</v>
      </c>
      <c r="J992" t="s">
        <v>296</v>
      </c>
      <c r="K992">
        <v>3</v>
      </c>
      <c r="L992" s="63">
        <v>1.0958904109589041E-2</v>
      </c>
      <c r="M992">
        <v>4</v>
      </c>
    </row>
    <row r="993" spans="2:13" x14ac:dyDescent="0.25">
      <c r="B993" s="33">
        <v>1</v>
      </c>
      <c r="C993" t="s">
        <v>276</v>
      </c>
      <c r="D993" t="s">
        <v>290</v>
      </c>
      <c r="E993">
        <v>10</v>
      </c>
      <c r="F993" s="2">
        <v>2.46575342465753E-2</v>
      </c>
      <c r="H993" s="33">
        <v>1</v>
      </c>
      <c r="I993" t="s">
        <v>276</v>
      </c>
      <c r="J993" t="s">
        <v>290</v>
      </c>
      <c r="K993">
        <v>10</v>
      </c>
      <c r="L993" s="63">
        <v>2.1917808219178082E-2</v>
      </c>
      <c r="M993">
        <v>9</v>
      </c>
    </row>
    <row r="994" spans="2:13" x14ac:dyDescent="0.25">
      <c r="B994" s="33">
        <v>1</v>
      </c>
      <c r="C994" t="s">
        <v>276</v>
      </c>
      <c r="D994" t="s">
        <v>318</v>
      </c>
      <c r="E994">
        <v>11</v>
      </c>
      <c r="F994" s="2">
        <v>2.7397260273972601E-2</v>
      </c>
      <c r="H994" s="33">
        <v>1</v>
      </c>
      <c r="I994" t="s">
        <v>276</v>
      </c>
      <c r="J994" t="s">
        <v>318</v>
      </c>
      <c r="K994">
        <v>11</v>
      </c>
      <c r="L994" s="63">
        <v>2.4657534246575342E-2</v>
      </c>
      <c r="M994">
        <v>10</v>
      </c>
    </row>
    <row r="995" spans="2:13" x14ac:dyDescent="0.25">
      <c r="B995" s="33">
        <v>1</v>
      </c>
      <c r="C995" t="s">
        <v>0</v>
      </c>
      <c r="D995" t="s">
        <v>71</v>
      </c>
      <c r="E995">
        <v>13</v>
      </c>
      <c r="F995" s="2">
        <v>2.19178082191781E-2</v>
      </c>
      <c r="H995" s="33">
        <v>1</v>
      </c>
      <c r="I995" t="s">
        <v>0</v>
      </c>
      <c r="J995" t="s">
        <v>71</v>
      </c>
      <c r="K995">
        <v>13</v>
      </c>
      <c r="L995" s="63">
        <v>4.1095890410958902E-2</v>
      </c>
      <c r="M995">
        <v>15</v>
      </c>
    </row>
    <row r="996" spans="2:13" x14ac:dyDescent="0.25">
      <c r="B996" s="33">
        <v>1</v>
      </c>
      <c r="C996" t="s">
        <v>307</v>
      </c>
      <c r="D996" t="s">
        <v>310</v>
      </c>
      <c r="E996">
        <v>14</v>
      </c>
      <c r="F996" s="2">
        <v>2.19178082191781E-2</v>
      </c>
      <c r="H996" s="33">
        <v>1</v>
      </c>
      <c r="I996" t="s">
        <v>307</v>
      </c>
      <c r="J996" t="s">
        <v>310</v>
      </c>
      <c r="K996">
        <v>14</v>
      </c>
      <c r="L996" s="63">
        <v>2.1917808219178082E-2</v>
      </c>
      <c r="M996">
        <v>8</v>
      </c>
    </row>
    <row r="997" spans="2:13" x14ac:dyDescent="0.25">
      <c r="B997" s="33">
        <v>1</v>
      </c>
      <c r="C997" t="s">
        <v>57</v>
      </c>
      <c r="D997" t="s">
        <v>75</v>
      </c>
      <c r="E997">
        <v>15</v>
      </c>
      <c r="F997" s="2">
        <v>4.1095890410958902E-2</v>
      </c>
      <c r="H997" s="33">
        <v>1</v>
      </c>
      <c r="I997" t="s">
        <v>57</v>
      </c>
      <c r="J997" t="s">
        <v>75</v>
      </c>
      <c r="K997">
        <v>15</v>
      </c>
      <c r="L997" s="63">
        <v>6.3013698630136991E-2</v>
      </c>
      <c r="M997">
        <v>25</v>
      </c>
    </row>
    <row r="998" spans="2:13" x14ac:dyDescent="0.25">
      <c r="B998" s="33">
        <v>1</v>
      </c>
      <c r="C998" t="s">
        <v>276</v>
      </c>
      <c r="D998" t="s">
        <v>289</v>
      </c>
      <c r="E998">
        <v>20</v>
      </c>
      <c r="F998" s="2">
        <v>8.21917808219178E-3</v>
      </c>
      <c r="H998" s="33">
        <v>1</v>
      </c>
      <c r="I998" t="s">
        <v>276</v>
      </c>
      <c r="J998" t="s">
        <v>289</v>
      </c>
      <c r="K998">
        <v>20</v>
      </c>
      <c r="L998" s="63">
        <v>8.21917808219178E-3</v>
      </c>
      <c r="M998">
        <v>3</v>
      </c>
    </row>
    <row r="999" spans="2:13" x14ac:dyDescent="0.25">
      <c r="B999" s="33">
        <v>1</v>
      </c>
      <c r="C999" t="s">
        <v>59</v>
      </c>
      <c r="D999" t="s">
        <v>76</v>
      </c>
      <c r="E999">
        <v>0</v>
      </c>
      <c r="F999" s="2">
        <v>1.3698630136986301E-2</v>
      </c>
      <c r="H999" s="33">
        <v>1</v>
      </c>
      <c r="I999" t="s">
        <v>59</v>
      </c>
      <c r="J999" t="s">
        <v>76</v>
      </c>
      <c r="K999">
        <v>0</v>
      </c>
      <c r="L999" s="63">
        <v>1.643835616438356E-2</v>
      </c>
      <c r="M999">
        <v>6</v>
      </c>
    </row>
    <row r="1000" spans="2:13" x14ac:dyDescent="0.25">
      <c r="B1000" s="33">
        <v>1</v>
      </c>
      <c r="C1000" t="s">
        <v>57</v>
      </c>
      <c r="D1000" t="s">
        <v>69</v>
      </c>
      <c r="E1000">
        <v>0</v>
      </c>
      <c r="F1000" s="2">
        <v>1.6438356164383602E-2</v>
      </c>
      <c r="H1000" s="33">
        <v>1</v>
      </c>
      <c r="I1000" t="s">
        <v>57</v>
      </c>
      <c r="J1000" t="s">
        <v>69</v>
      </c>
      <c r="K1000">
        <v>0</v>
      </c>
      <c r="L1000" s="63">
        <v>3.5616438356164383E-2</v>
      </c>
      <c r="M1000">
        <v>15</v>
      </c>
    </row>
    <row r="1001" spans="2:13" x14ac:dyDescent="0.25">
      <c r="B1001" s="33">
        <v>1</v>
      </c>
      <c r="C1001" t="s">
        <v>57</v>
      </c>
      <c r="D1001" t="s">
        <v>69</v>
      </c>
      <c r="E1001">
        <v>2</v>
      </c>
      <c r="F1001" s="2">
        <v>0</v>
      </c>
      <c r="H1001" s="33">
        <v>1</v>
      </c>
      <c r="I1001" t="s">
        <v>57</v>
      </c>
      <c r="J1001" t="s">
        <v>69</v>
      </c>
      <c r="K1001">
        <v>2</v>
      </c>
      <c r="L1001" s="63">
        <v>1.643835616438356E-2</v>
      </c>
      <c r="M1001">
        <v>7</v>
      </c>
    </row>
    <row r="1002" spans="2:13" x14ac:dyDescent="0.25">
      <c r="B1002" s="33">
        <v>1</v>
      </c>
      <c r="C1002" t="s">
        <v>0</v>
      </c>
      <c r="D1002" t="s">
        <v>56</v>
      </c>
      <c r="E1002">
        <v>5</v>
      </c>
      <c r="F1002" s="2">
        <v>1.9178082191780799E-2</v>
      </c>
      <c r="H1002" s="33">
        <v>1</v>
      </c>
      <c r="I1002" t="s">
        <v>0</v>
      </c>
      <c r="J1002" t="s">
        <v>56</v>
      </c>
      <c r="K1002">
        <v>5</v>
      </c>
      <c r="L1002" s="63">
        <v>2.7397260273972601E-2</v>
      </c>
      <c r="M1002">
        <v>11</v>
      </c>
    </row>
    <row r="1003" spans="2:13" x14ac:dyDescent="0.25">
      <c r="B1003" s="33">
        <v>1</v>
      </c>
      <c r="C1003" t="s">
        <v>307</v>
      </c>
      <c r="D1003" t="s">
        <v>308</v>
      </c>
      <c r="E1003">
        <v>10</v>
      </c>
      <c r="F1003" s="2">
        <v>0.10958904109589</v>
      </c>
      <c r="H1003" s="33">
        <v>1</v>
      </c>
      <c r="I1003" t="s">
        <v>307</v>
      </c>
      <c r="J1003" t="s">
        <v>308</v>
      </c>
      <c r="K1003">
        <v>10</v>
      </c>
      <c r="L1003" s="63">
        <v>0.1095890410958904</v>
      </c>
      <c r="M1003">
        <v>40</v>
      </c>
    </row>
    <row r="1004" spans="2:13" x14ac:dyDescent="0.25">
      <c r="B1004" s="33">
        <v>1</v>
      </c>
      <c r="C1004" t="s">
        <v>231</v>
      </c>
      <c r="D1004" t="s">
        <v>186</v>
      </c>
      <c r="E1004">
        <v>11</v>
      </c>
      <c r="F1004" s="2">
        <v>3.5616438356164397E-2</v>
      </c>
      <c r="H1004" s="33">
        <v>1</v>
      </c>
      <c r="I1004" t="s">
        <v>231</v>
      </c>
      <c r="J1004" t="s">
        <v>186</v>
      </c>
      <c r="K1004">
        <v>11</v>
      </c>
      <c r="L1004" s="63">
        <v>0.1095890410958904</v>
      </c>
      <c r="M1004">
        <v>46</v>
      </c>
    </row>
    <row r="1005" spans="2:13" x14ac:dyDescent="0.25">
      <c r="B1005" s="33">
        <v>1</v>
      </c>
      <c r="C1005" t="s">
        <v>276</v>
      </c>
      <c r="D1005" t="s">
        <v>287</v>
      </c>
      <c r="E1005">
        <v>12</v>
      </c>
      <c r="F1005" s="2">
        <v>1.3698630136986301E-2</v>
      </c>
      <c r="H1005" s="33">
        <v>1</v>
      </c>
      <c r="I1005" t="s">
        <v>276</v>
      </c>
      <c r="J1005" t="s">
        <v>287</v>
      </c>
      <c r="K1005">
        <v>12</v>
      </c>
      <c r="L1005" s="63">
        <v>1.3698630136986301E-2</v>
      </c>
      <c r="M1005">
        <v>5</v>
      </c>
    </row>
    <row r="1006" spans="2:13" x14ac:dyDescent="0.25">
      <c r="B1006" s="33">
        <v>1</v>
      </c>
      <c r="C1006" t="s">
        <v>307</v>
      </c>
      <c r="D1006" t="s">
        <v>312</v>
      </c>
      <c r="E1006">
        <v>21</v>
      </c>
      <c r="F1006" s="2">
        <v>3.2876712328767099E-2</v>
      </c>
      <c r="H1006" s="33">
        <v>1</v>
      </c>
      <c r="I1006" t="s">
        <v>307</v>
      </c>
      <c r="J1006" t="s">
        <v>312</v>
      </c>
      <c r="K1006">
        <v>21</v>
      </c>
      <c r="L1006" s="63">
        <v>3.0136986301369864E-2</v>
      </c>
      <c r="M1006">
        <v>12</v>
      </c>
    </row>
    <row r="1007" spans="2:13" x14ac:dyDescent="0.25">
      <c r="B1007" s="33">
        <v>1</v>
      </c>
      <c r="C1007" t="s">
        <v>2</v>
      </c>
      <c r="D1007" t="s">
        <v>38</v>
      </c>
      <c r="E1007">
        <v>2</v>
      </c>
      <c r="F1007" s="2">
        <v>2.7397260273972599E-3</v>
      </c>
      <c r="H1007" s="33">
        <v>1</v>
      </c>
      <c r="I1007" t="s">
        <v>2</v>
      </c>
      <c r="J1007" t="s">
        <v>38</v>
      </c>
      <c r="K1007">
        <v>2</v>
      </c>
      <c r="L1007" s="63">
        <v>2.7397260273972603E-3</v>
      </c>
      <c r="M1007">
        <v>1</v>
      </c>
    </row>
    <row r="1008" spans="2:13" x14ac:dyDescent="0.25">
      <c r="B1008" s="33">
        <v>1</v>
      </c>
      <c r="C1008" t="s">
        <v>231</v>
      </c>
      <c r="D1008" t="s">
        <v>186</v>
      </c>
      <c r="E1008">
        <v>15</v>
      </c>
      <c r="F1008" s="2">
        <v>5.75342465753425E-2</v>
      </c>
      <c r="H1008" s="33">
        <v>1</v>
      </c>
      <c r="I1008" t="s">
        <v>231</v>
      </c>
      <c r="J1008" t="s">
        <v>186</v>
      </c>
      <c r="K1008">
        <v>15</v>
      </c>
      <c r="L1008" s="63">
        <v>5.4794520547945202E-2</v>
      </c>
      <c r="M1008">
        <v>23</v>
      </c>
    </row>
    <row r="1009" spans="2:13" x14ac:dyDescent="0.25">
      <c r="B1009" s="33">
        <v>1</v>
      </c>
      <c r="C1009" t="s">
        <v>0</v>
      </c>
      <c r="D1009" t="s">
        <v>62</v>
      </c>
      <c r="E1009">
        <v>1</v>
      </c>
      <c r="F1009" s="2">
        <v>2.46575342465753E-2</v>
      </c>
      <c r="H1009" s="33">
        <v>1</v>
      </c>
      <c r="I1009" t="s">
        <v>0</v>
      </c>
      <c r="J1009" t="s">
        <v>62</v>
      </c>
      <c r="K1009">
        <v>1</v>
      </c>
      <c r="L1009" s="63">
        <v>3.0136986301369864E-2</v>
      </c>
      <c r="M1009">
        <v>12</v>
      </c>
    </row>
    <row r="1010" spans="2:13" x14ac:dyDescent="0.25">
      <c r="B1010" s="33">
        <v>1</v>
      </c>
      <c r="C1010" t="s">
        <v>2</v>
      </c>
      <c r="D1010" t="s">
        <v>26</v>
      </c>
      <c r="E1010">
        <v>3</v>
      </c>
      <c r="F1010" s="2">
        <v>2.7397260273972599E-3</v>
      </c>
      <c r="H1010" s="33">
        <v>1</v>
      </c>
      <c r="I1010" t="s">
        <v>2</v>
      </c>
      <c r="J1010" t="s">
        <v>26</v>
      </c>
      <c r="K1010">
        <v>3</v>
      </c>
      <c r="L1010" s="63">
        <v>2.4657534246575342E-2</v>
      </c>
      <c r="M1010">
        <v>9</v>
      </c>
    </row>
    <row r="1011" spans="2:13" x14ac:dyDescent="0.25">
      <c r="B1011" s="33">
        <v>1</v>
      </c>
      <c r="C1011" t="s">
        <v>307</v>
      </c>
      <c r="D1011" t="s">
        <v>393</v>
      </c>
      <c r="E1011">
        <v>3</v>
      </c>
      <c r="F1011" s="2">
        <v>8.21917808219178E-3</v>
      </c>
      <c r="H1011" s="33">
        <v>1</v>
      </c>
      <c r="I1011" t="s">
        <v>307</v>
      </c>
      <c r="J1011" t="s">
        <v>393</v>
      </c>
      <c r="K1011">
        <v>3</v>
      </c>
      <c r="L1011" s="63">
        <v>8.21917808219178E-3</v>
      </c>
      <c r="M1011">
        <v>3</v>
      </c>
    </row>
    <row r="1012" spans="2:13" x14ac:dyDescent="0.25">
      <c r="B1012" s="33">
        <v>1</v>
      </c>
      <c r="C1012" t="s">
        <v>2</v>
      </c>
      <c r="D1012" t="s">
        <v>21</v>
      </c>
      <c r="E1012">
        <v>4</v>
      </c>
      <c r="F1012" s="2">
        <v>2.7397260273972599E-3</v>
      </c>
      <c r="H1012" s="33">
        <v>1</v>
      </c>
      <c r="I1012" t="s">
        <v>2</v>
      </c>
      <c r="J1012" t="s">
        <v>21</v>
      </c>
      <c r="K1012">
        <v>4</v>
      </c>
      <c r="L1012" s="63">
        <v>8.21917808219178E-3</v>
      </c>
      <c r="M1012">
        <v>3</v>
      </c>
    </row>
    <row r="1013" spans="2:13" x14ac:dyDescent="0.25">
      <c r="B1013" s="33">
        <v>1</v>
      </c>
      <c r="C1013" t="s">
        <v>2</v>
      </c>
      <c r="D1013" t="s">
        <v>17</v>
      </c>
      <c r="E1013">
        <v>7</v>
      </c>
      <c r="F1013" s="2">
        <v>4.1095890410958902E-2</v>
      </c>
      <c r="H1013" s="33">
        <v>1</v>
      </c>
      <c r="I1013" t="s">
        <v>2</v>
      </c>
      <c r="J1013" t="s">
        <v>17</v>
      </c>
      <c r="K1013">
        <v>7</v>
      </c>
      <c r="L1013" s="63">
        <v>4.3835616438356165E-2</v>
      </c>
      <c r="M1013">
        <v>19</v>
      </c>
    </row>
    <row r="1014" spans="2:13" x14ac:dyDescent="0.25">
      <c r="B1014" s="33">
        <v>1</v>
      </c>
      <c r="C1014" t="s">
        <v>307</v>
      </c>
      <c r="D1014" t="s">
        <v>310</v>
      </c>
      <c r="E1014">
        <v>12</v>
      </c>
      <c r="F1014" s="2">
        <v>3.2876712328767099E-2</v>
      </c>
      <c r="H1014" s="33">
        <v>1</v>
      </c>
      <c r="I1014" t="s">
        <v>307</v>
      </c>
      <c r="J1014" t="s">
        <v>310</v>
      </c>
      <c r="K1014">
        <v>12</v>
      </c>
      <c r="L1014" s="63">
        <v>3.0136986301369864E-2</v>
      </c>
      <c r="M1014">
        <v>12</v>
      </c>
    </row>
    <row r="1015" spans="2:13" x14ac:dyDescent="0.25">
      <c r="B1015" s="33">
        <v>1</v>
      </c>
      <c r="C1015" t="s">
        <v>292</v>
      </c>
      <c r="D1015" t="s">
        <v>321</v>
      </c>
      <c r="E1015">
        <v>12</v>
      </c>
      <c r="F1015" s="2">
        <v>4.1095890410958902E-2</v>
      </c>
      <c r="H1015" s="33">
        <v>1</v>
      </c>
      <c r="I1015" t="s">
        <v>292</v>
      </c>
      <c r="J1015" t="s">
        <v>321</v>
      </c>
      <c r="K1015">
        <v>12</v>
      </c>
      <c r="L1015" s="63">
        <v>3.287671232876712E-2</v>
      </c>
      <c r="M1015">
        <v>15</v>
      </c>
    </row>
    <row r="1016" spans="2:13" x14ac:dyDescent="0.25">
      <c r="B1016" s="33">
        <v>1</v>
      </c>
      <c r="C1016" t="s">
        <v>0</v>
      </c>
      <c r="D1016" t="s">
        <v>72</v>
      </c>
      <c r="E1016">
        <v>14</v>
      </c>
      <c r="F1016" s="2">
        <v>2.46575342465753E-2</v>
      </c>
      <c r="H1016" s="33">
        <v>1</v>
      </c>
      <c r="I1016" t="s">
        <v>0</v>
      </c>
      <c r="J1016" t="s">
        <v>72</v>
      </c>
      <c r="K1016">
        <v>14</v>
      </c>
      <c r="L1016" s="63">
        <v>6.0273972602739728E-2</v>
      </c>
      <c r="M1016">
        <v>30</v>
      </c>
    </row>
    <row r="1017" spans="2:13" x14ac:dyDescent="0.25">
      <c r="B1017" s="33">
        <v>1</v>
      </c>
      <c r="C1017" t="s">
        <v>0</v>
      </c>
      <c r="D1017" t="s">
        <v>79</v>
      </c>
      <c r="E1017">
        <v>22</v>
      </c>
      <c r="F1017" s="2">
        <v>0</v>
      </c>
      <c r="H1017" s="33">
        <v>1</v>
      </c>
      <c r="I1017" t="s">
        <v>0</v>
      </c>
      <c r="J1017" t="s">
        <v>79</v>
      </c>
      <c r="K1017">
        <v>22</v>
      </c>
      <c r="L1017" s="63">
        <v>8.21917808219178E-3</v>
      </c>
      <c r="M1017">
        <v>3</v>
      </c>
    </row>
    <row r="1018" spans="2:13" x14ac:dyDescent="0.25">
      <c r="B1018" s="33">
        <v>1</v>
      </c>
      <c r="C1018" t="s">
        <v>2</v>
      </c>
      <c r="D1018" t="s">
        <v>26</v>
      </c>
      <c r="E1018">
        <v>0</v>
      </c>
      <c r="F1018" s="2">
        <v>2.46575342465753E-2</v>
      </c>
      <c r="H1018" s="33">
        <v>1</v>
      </c>
      <c r="I1018" t="s">
        <v>2</v>
      </c>
      <c r="J1018" t="s">
        <v>26</v>
      </c>
      <c r="K1018">
        <v>0</v>
      </c>
      <c r="L1018" s="63">
        <v>5.4794520547945202E-2</v>
      </c>
      <c r="M1018">
        <v>20</v>
      </c>
    </row>
    <row r="1019" spans="2:13" x14ac:dyDescent="0.25">
      <c r="B1019" s="33">
        <v>1</v>
      </c>
      <c r="C1019" t="s">
        <v>292</v>
      </c>
      <c r="D1019" t="s">
        <v>296</v>
      </c>
      <c r="E1019">
        <v>1</v>
      </c>
      <c r="F1019" s="2">
        <v>8.21917808219178E-3</v>
      </c>
      <c r="H1019" s="33">
        <v>1</v>
      </c>
      <c r="I1019" t="s">
        <v>292</v>
      </c>
      <c r="J1019" t="s">
        <v>296</v>
      </c>
      <c r="K1019">
        <v>1</v>
      </c>
      <c r="L1019" s="63">
        <v>8.21917808219178E-3</v>
      </c>
      <c r="M1019">
        <v>3</v>
      </c>
    </row>
    <row r="1020" spans="2:13" x14ac:dyDescent="0.25">
      <c r="B1020" s="33">
        <v>1</v>
      </c>
      <c r="C1020" t="s">
        <v>231</v>
      </c>
      <c r="D1020" t="s">
        <v>183</v>
      </c>
      <c r="E1020">
        <v>4</v>
      </c>
      <c r="F1020" s="2">
        <v>1.3698630136986301E-2</v>
      </c>
      <c r="H1020" s="33">
        <v>1</v>
      </c>
      <c r="I1020" t="s">
        <v>231</v>
      </c>
      <c r="J1020" t="s">
        <v>183</v>
      </c>
      <c r="K1020">
        <v>4</v>
      </c>
      <c r="L1020" s="63">
        <v>3.287671232876712E-2</v>
      </c>
      <c r="M1020">
        <v>12</v>
      </c>
    </row>
    <row r="1021" spans="2:13" x14ac:dyDescent="0.25">
      <c r="B1021" s="33">
        <v>1</v>
      </c>
      <c r="C1021" t="s">
        <v>57</v>
      </c>
      <c r="D1021" t="s">
        <v>66</v>
      </c>
      <c r="E1021">
        <v>5</v>
      </c>
      <c r="F1021" s="2">
        <v>1.3698630136986301E-2</v>
      </c>
      <c r="H1021" s="33">
        <v>1</v>
      </c>
      <c r="I1021" t="s">
        <v>57</v>
      </c>
      <c r="J1021" t="s">
        <v>66</v>
      </c>
      <c r="K1021">
        <v>5</v>
      </c>
      <c r="L1021" s="63">
        <v>2.4657534246575342E-2</v>
      </c>
      <c r="M1021">
        <v>9</v>
      </c>
    </row>
    <row r="1022" spans="2:13" x14ac:dyDescent="0.25">
      <c r="B1022" s="33">
        <v>1</v>
      </c>
      <c r="C1022" t="s">
        <v>231</v>
      </c>
      <c r="D1022" t="s">
        <v>187</v>
      </c>
      <c r="E1022">
        <v>5</v>
      </c>
      <c r="F1022" s="2">
        <v>1.0958904109589E-2</v>
      </c>
      <c r="H1022" s="33">
        <v>1</v>
      </c>
      <c r="I1022" t="s">
        <v>231</v>
      </c>
      <c r="J1022" t="s">
        <v>187</v>
      </c>
      <c r="K1022">
        <v>5</v>
      </c>
      <c r="L1022" s="63">
        <v>2.1917808219178082E-2</v>
      </c>
      <c r="M1022">
        <v>8</v>
      </c>
    </row>
    <row r="1023" spans="2:13" x14ac:dyDescent="0.25">
      <c r="B1023" s="33">
        <v>1</v>
      </c>
      <c r="C1023" t="s">
        <v>307</v>
      </c>
      <c r="D1023" t="s">
        <v>309</v>
      </c>
      <c r="E1023">
        <v>6</v>
      </c>
      <c r="F1023" s="2">
        <v>1.0958904109589E-2</v>
      </c>
      <c r="H1023" s="33">
        <v>1</v>
      </c>
      <c r="I1023" t="s">
        <v>307</v>
      </c>
      <c r="J1023" t="s">
        <v>309</v>
      </c>
      <c r="K1023">
        <v>6</v>
      </c>
      <c r="L1023" s="63">
        <v>1.0958904109589041E-2</v>
      </c>
      <c r="M1023">
        <v>4</v>
      </c>
    </row>
    <row r="1024" spans="2:13" x14ac:dyDescent="0.25">
      <c r="B1024" s="33">
        <v>1</v>
      </c>
      <c r="C1024" t="s">
        <v>59</v>
      </c>
      <c r="D1024" t="s">
        <v>76</v>
      </c>
      <c r="E1024">
        <v>8</v>
      </c>
      <c r="F1024" s="2">
        <v>4.65753424657534E-2</v>
      </c>
      <c r="H1024" s="33">
        <v>1</v>
      </c>
      <c r="I1024" t="s">
        <v>59</v>
      </c>
      <c r="J1024" t="s">
        <v>76</v>
      </c>
      <c r="K1024">
        <v>8</v>
      </c>
      <c r="L1024" s="63">
        <v>4.6575342465753428E-2</v>
      </c>
      <c r="M1024">
        <v>17</v>
      </c>
    </row>
    <row r="1025" spans="2:13" x14ac:dyDescent="0.25">
      <c r="B1025" s="33">
        <v>1</v>
      </c>
      <c r="C1025" t="s">
        <v>307</v>
      </c>
      <c r="D1025" t="s">
        <v>394</v>
      </c>
      <c r="E1025">
        <v>20</v>
      </c>
      <c r="F1025" s="2">
        <v>2.19178082191781E-2</v>
      </c>
      <c r="H1025" s="33">
        <v>1</v>
      </c>
      <c r="I1025" t="s">
        <v>307</v>
      </c>
      <c r="J1025" t="s">
        <v>314</v>
      </c>
      <c r="K1025">
        <v>20</v>
      </c>
      <c r="L1025" s="63">
        <v>2.1917808219178082E-2</v>
      </c>
      <c r="M1025">
        <v>8</v>
      </c>
    </row>
    <row r="1026" spans="2:13" x14ac:dyDescent="0.25">
      <c r="B1026" s="33">
        <v>1</v>
      </c>
      <c r="C1026" t="s">
        <v>307</v>
      </c>
      <c r="D1026" t="s">
        <v>393</v>
      </c>
      <c r="E1026">
        <v>22</v>
      </c>
      <c r="F1026" s="2">
        <v>4.65753424657534E-2</v>
      </c>
      <c r="H1026" s="33">
        <v>1</v>
      </c>
      <c r="I1026" t="s">
        <v>307</v>
      </c>
      <c r="J1026" t="s">
        <v>393</v>
      </c>
      <c r="K1026">
        <v>22</v>
      </c>
      <c r="L1026" s="63">
        <v>4.3835616438356165E-2</v>
      </c>
      <c r="M1026">
        <v>17</v>
      </c>
    </row>
    <row r="1027" spans="2:13" x14ac:dyDescent="0.25">
      <c r="B1027" s="33">
        <v>1</v>
      </c>
      <c r="C1027" t="s">
        <v>0</v>
      </c>
      <c r="D1027" t="s">
        <v>73</v>
      </c>
      <c r="E1027">
        <v>22</v>
      </c>
      <c r="F1027" s="2">
        <v>5.4794520547945197E-3</v>
      </c>
      <c r="H1027" s="33">
        <v>1</v>
      </c>
      <c r="I1027" t="s">
        <v>0</v>
      </c>
      <c r="J1027" t="s">
        <v>73</v>
      </c>
      <c r="K1027">
        <v>22</v>
      </c>
      <c r="L1027" s="63">
        <v>3.287671232876712E-2</v>
      </c>
      <c r="M1027">
        <v>12</v>
      </c>
    </row>
    <row r="1028" spans="2:13" x14ac:dyDescent="0.25">
      <c r="B1028" s="33">
        <v>1</v>
      </c>
      <c r="C1028" t="s">
        <v>57</v>
      </c>
      <c r="D1028" t="s">
        <v>67</v>
      </c>
      <c r="E1028">
        <v>22</v>
      </c>
      <c r="F1028" s="2">
        <v>2.46575342465753E-2</v>
      </c>
      <c r="H1028" s="33">
        <v>1</v>
      </c>
      <c r="I1028" t="s">
        <v>57</v>
      </c>
      <c r="J1028" t="s">
        <v>67</v>
      </c>
      <c r="K1028">
        <v>22</v>
      </c>
      <c r="L1028" s="63">
        <v>8.2191780821917804E-2</v>
      </c>
      <c r="M1028">
        <v>32</v>
      </c>
    </row>
    <row r="1029" spans="2:13" x14ac:dyDescent="0.25">
      <c r="B1029" s="33">
        <v>1</v>
      </c>
      <c r="C1029" t="s">
        <v>231</v>
      </c>
      <c r="D1029" t="s">
        <v>187</v>
      </c>
      <c r="E1029">
        <v>23</v>
      </c>
      <c r="F1029" s="2">
        <v>1.3698630136986301E-2</v>
      </c>
      <c r="H1029" s="33">
        <v>1</v>
      </c>
      <c r="I1029" t="s">
        <v>231</v>
      </c>
      <c r="J1029" t="s">
        <v>187</v>
      </c>
      <c r="K1029">
        <v>23</v>
      </c>
      <c r="L1029" s="63">
        <v>4.3835616438356165E-2</v>
      </c>
      <c r="M1029">
        <v>18</v>
      </c>
    </row>
    <row r="1030" spans="2:13" x14ac:dyDescent="0.25">
      <c r="B1030" s="33">
        <v>1</v>
      </c>
      <c r="C1030" t="s">
        <v>276</v>
      </c>
      <c r="D1030" t="s">
        <v>318</v>
      </c>
      <c r="E1030">
        <v>2</v>
      </c>
      <c r="F1030" s="2">
        <v>2.7397260273972599E-3</v>
      </c>
      <c r="H1030" s="33">
        <v>1</v>
      </c>
      <c r="I1030" t="s">
        <v>276</v>
      </c>
      <c r="J1030" t="s">
        <v>318</v>
      </c>
      <c r="K1030">
        <v>2</v>
      </c>
      <c r="L1030" s="63">
        <v>2.7397260273972603E-3</v>
      </c>
      <c r="M1030">
        <v>1</v>
      </c>
    </row>
    <row r="1031" spans="2:13" x14ac:dyDescent="0.25">
      <c r="B1031" s="33">
        <v>1</v>
      </c>
      <c r="C1031" t="s">
        <v>2</v>
      </c>
      <c r="D1031" t="s">
        <v>26</v>
      </c>
      <c r="E1031">
        <v>5</v>
      </c>
      <c r="F1031" s="2">
        <v>1.3698630136986301E-2</v>
      </c>
      <c r="H1031" s="33">
        <v>1</v>
      </c>
      <c r="I1031" t="s">
        <v>2</v>
      </c>
      <c r="J1031" t="s">
        <v>26</v>
      </c>
      <c r="K1031">
        <v>5</v>
      </c>
      <c r="L1031" s="63">
        <v>1.9178082191780823E-2</v>
      </c>
      <c r="M1031">
        <v>7</v>
      </c>
    </row>
    <row r="1032" spans="2:13" x14ac:dyDescent="0.25">
      <c r="B1032" s="33">
        <v>1</v>
      </c>
      <c r="C1032" t="s">
        <v>307</v>
      </c>
      <c r="D1032" t="s">
        <v>308</v>
      </c>
      <c r="E1032">
        <v>14</v>
      </c>
      <c r="F1032" s="2">
        <v>2.19178082191781E-2</v>
      </c>
      <c r="H1032" s="33">
        <v>1</v>
      </c>
      <c r="I1032" t="s">
        <v>307</v>
      </c>
      <c r="J1032" t="s">
        <v>308</v>
      </c>
      <c r="K1032">
        <v>14</v>
      </c>
      <c r="L1032" s="63">
        <v>2.1917808219178082E-2</v>
      </c>
      <c r="M1032">
        <v>8</v>
      </c>
    </row>
    <row r="1033" spans="2:13" x14ac:dyDescent="0.25">
      <c r="B1033" s="33">
        <v>1</v>
      </c>
      <c r="C1033" t="s">
        <v>231</v>
      </c>
      <c r="D1033" t="s">
        <v>184</v>
      </c>
      <c r="E1033">
        <v>2</v>
      </c>
      <c r="F1033" s="2">
        <v>1.9178082191780799E-2</v>
      </c>
      <c r="H1033" s="33">
        <v>1</v>
      </c>
      <c r="I1033" t="s">
        <v>231</v>
      </c>
      <c r="J1033" t="s">
        <v>184</v>
      </c>
      <c r="K1033">
        <v>2</v>
      </c>
      <c r="L1033" s="63">
        <v>5.2054794520547946E-2</v>
      </c>
      <c r="M1033">
        <v>23</v>
      </c>
    </row>
    <row r="1034" spans="2:13" x14ac:dyDescent="0.25">
      <c r="B1034" s="33">
        <v>1</v>
      </c>
      <c r="C1034" t="s">
        <v>2</v>
      </c>
      <c r="D1034" t="s">
        <v>38</v>
      </c>
      <c r="E1034">
        <v>8</v>
      </c>
      <c r="F1034" s="2">
        <v>8.21917808219178E-3</v>
      </c>
      <c r="H1034" s="33">
        <v>1</v>
      </c>
      <c r="I1034" t="s">
        <v>2</v>
      </c>
      <c r="J1034" t="s">
        <v>38</v>
      </c>
      <c r="K1034">
        <v>8</v>
      </c>
      <c r="L1034" s="63">
        <v>1.0958904109589041E-2</v>
      </c>
      <c r="M1034">
        <v>4</v>
      </c>
    </row>
    <row r="1035" spans="2:13" x14ac:dyDescent="0.25">
      <c r="B1035" s="33">
        <v>1</v>
      </c>
      <c r="C1035" t="s">
        <v>307</v>
      </c>
      <c r="D1035" t="s">
        <v>313</v>
      </c>
      <c r="E1035">
        <v>21</v>
      </c>
      <c r="F1035" s="2">
        <v>1.9178082191780799E-2</v>
      </c>
      <c r="H1035" s="33">
        <v>1</v>
      </c>
      <c r="I1035" t="s">
        <v>307</v>
      </c>
      <c r="J1035" t="s">
        <v>313</v>
      </c>
      <c r="K1035">
        <v>21</v>
      </c>
      <c r="L1035" s="63">
        <v>1.9178082191780823E-2</v>
      </c>
      <c r="M1035">
        <v>7</v>
      </c>
    </row>
    <row r="1036" spans="2:13" x14ac:dyDescent="0.25">
      <c r="B1036" s="33">
        <v>1</v>
      </c>
      <c r="C1036" t="s">
        <v>276</v>
      </c>
      <c r="D1036" t="s">
        <v>318</v>
      </c>
      <c r="E1036">
        <v>20</v>
      </c>
      <c r="F1036" s="2">
        <v>8.21917808219178E-3</v>
      </c>
      <c r="H1036" s="33">
        <v>1</v>
      </c>
      <c r="I1036" t="s">
        <v>276</v>
      </c>
      <c r="J1036" t="s">
        <v>318</v>
      </c>
      <c r="K1036">
        <v>20</v>
      </c>
      <c r="L1036" s="63">
        <v>8.21917808219178E-3</v>
      </c>
      <c r="M1036">
        <v>3</v>
      </c>
    </row>
    <row r="1037" spans="2:13" x14ac:dyDescent="0.25">
      <c r="B1037" s="33">
        <v>1</v>
      </c>
      <c r="C1037" t="s">
        <v>0</v>
      </c>
      <c r="D1037" t="s">
        <v>78</v>
      </c>
      <c r="E1037">
        <v>20</v>
      </c>
      <c r="F1037" s="2">
        <v>5.4794520547945197E-3</v>
      </c>
      <c r="H1037" s="33">
        <v>1</v>
      </c>
      <c r="I1037" t="s">
        <v>0</v>
      </c>
      <c r="J1037" t="s">
        <v>78</v>
      </c>
      <c r="K1037">
        <v>20</v>
      </c>
      <c r="L1037" s="63">
        <v>2.1917808219178082E-2</v>
      </c>
      <c r="M1037">
        <v>8</v>
      </c>
    </row>
    <row r="1038" spans="2:13" x14ac:dyDescent="0.25">
      <c r="B1038" s="33">
        <v>1</v>
      </c>
      <c r="C1038" t="s">
        <v>57</v>
      </c>
      <c r="D1038" t="s">
        <v>75</v>
      </c>
      <c r="E1038">
        <v>3</v>
      </c>
      <c r="F1038" s="2">
        <v>2.7397260273972599E-3</v>
      </c>
      <c r="H1038" s="33">
        <v>1</v>
      </c>
      <c r="I1038" t="s">
        <v>57</v>
      </c>
      <c r="J1038" t="s">
        <v>75</v>
      </c>
      <c r="K1038">
        <v>3</v>
      </c>
      <c r="L1038" s="63">
        <v>5.4794520547945206E-3</v>
      </c>
      <c r="M1038">
        <v>2</v>
      </c>
    </row>
    <row r="1039" spans="2:13" x14ac:dyDescent="0.25">
      <c r="B1039" s="33">
        <v>1</v>
      </c>
      <c r="C1039" t="s">
        <v>276</v>
      </c>
      <c r="D1039" t="s">
        <v>288</v>
      </c>
      <c r="E1039">
        <v>11</v>
      </c>
      <c r="F1039" s="2">
        <v>4.65753424657534E-2</v>
      </c>
      <c r="H1039" s="33">
        <v>1</v>
      </c>
      <c r="I1039" t="s">
        <v>276</v>
      </c>
      <c r="J1039" t="s">
        <v>288</v>
      </c>
      <c r="K1039">
        <v>11</v>
      </c>
      <c r="L1039" s="63">
        <v>4.3835616438356165E-2</v>
      </c>
      <c r="M1039">
        <v>17</v>
      </c>
    </row>
    <row r="1040" spans="2:13" x14ac:dyDescent="0.25">
      <c r="B1040" s="33">
        <v>1</v>
      </c>
      <c r="C1040" t="s">
        <v>307</v>
      </c>
      <c r="D1040" t="s">
        <v>313</v>
      </c>
      <c r="E1040">
        <v>15</v>
      </c>
      <c r="F1040" s="2">
        <v>1.0958904109589E-2</v>
      </c>
      <c r="H1040" s="33">
        <v>1</v>
      </c>
      <c r="I1040" t="s">
        <v>307</v>
      </c>
      <c r="J1040" t="s">
        <v>313</v>
      </c>
      <c r="K1040">
        <v>15</v>
      </c>
      <c r="L1040" s="63">
        <v>1.0958904109589041E-2</v>
      </c>
      <c r="M1040">
        <v>4</v>
      </c>
    </row>
    <row r="1041" spans="2:13" x14ac:dyDescent="0.25">
      <c r="B1041" s="33">
        <v>1</v>
      </c>
      <c r="C1041" t="s">
        <v>276</v>
      </c>
      <c r="D1041" t="s">
        <v>288</v>
      </c>
      <c r="E1041">
        <v>22</v>
      </c>
      <c r="F1041" s="2">
        <v>4.3835616438356199E-2</v>
      </c>
      <c r="H1041" s="33">
        <v>1</v>
      </c>
      <c r="I1041" t="s">
        <v>276</v>
      </c>
      <c r="J1041" t="s">
        <v>288</v>
      </c>
      <c r="K1041">
        <v>22</v>
      </c>
      <c r="L1041" s="63">
        <v>4.1095890410958902E-2</v>
      </c>
      <c r="M1041">
        <v>16</v>
      </c>
    </row>
    <row r="1042" spans="2:13" x14ac:dyDescent="0.25">
      <c r="B1042" s="33">
        <v>1</v>
      </c>
      <c r="C1042" t="s">
        <v>276</v>
      </c>
      <c r="D1042" t="s">
        <v>288</v>
      </c>
      <c r="E1042">
        <v>0</v>
      </c>
      <c r="F1042" s="2">
        <v>8.21917808219178E-3</v>
      </c>
      <c r="H1042" s="33">
        <v>1</v>
      </c>
      <c r="I1042" t="s">
        <v>276</v>
      </c>
      <c r="J1042" t="s">
        <v>288</v>
      </c>
      <c r="K1042">
        <v>0</v>
      </c>
      <c r="L1042" s="63">
        <v>5.4794520547945206E-3</v>
      </c>
      <c r="M1042">
        <v>3</v>
      </c>
    </row>
    <row r="1043" spans="2:13" x14ac:dyDescent="0.25">
      <c r="B1043" s="33">
        <v>1</v>
      </c>
      <c r="C1043" t="s">
        <v>2</v>
      </c>
      <c r="D1043" t="s">
        <v>37</v>
      </c>
      <c r="E1043">
        <v>1</v>
      </c>
      <c r="F1043" s="2">
        <v>1.0958904109589E-2</v>
      </c>
      <c r="H1043" s="33">
        <v>1</v>
      </c>
      <c r="I1043" t="s">
        <v>2</v>
      </c>
      <c r="J1043" t="s">
        <v>37</v>
      </c>
      <c r="K1043">
        <v>1</v>
      </c>
      <c r="L1043" s="63">
        <v>2.7397260273972601E-2</v>
      </c>
      <c r="M1043">
        <v>10</v>
      </c>
    </row>
    <row r="1044" spans="2:13" x14ac:dyDescent="0.25">
      <c r="B1044" s="33">
        <v>1</v>
      </c>
      <c r="C1044" t="s">
        <v>231</v>
      </c>
      <c r="D1044" t="s">
        <v>184</v>
      </c>
      <c r="E1044">
        <v>3</v>
      </c>
      <c r="F1044" s="2">
        <v>1.3698630136986301E-2</v>
      </c>
      <c r="H1044" s="33">
        <v>1</v>
      </c>
      <c r="I1044" t="s">
        <v>231</v>
      </c>
      <c r="J1044" t="s">
        <v>184</v>
      </c>
      <c r="K1044">
        <v>3</v>
      </c>
      <c r="L1044" s="63">
        <v>5.2054794520547946E-2</v>
      </c>
      <c r="M1044">
        <v>19</v>
      </c>
    </row>
    <row r="1045" spans="2:13" x14ac:dyDescent="0.25">
      <c r="B1045" s="33">
        <v>1</v>
      </c>
      <c r="C1045" t="s">
        <v>0</v>
      </c>
      <c r="D1045" t="s">
        <v>72</v>
      </c>
      <c r="E1045">
        <v>6</v>
      </c>
      <c r="F1045" s="2">
        <v>8.21917808219178E-3</v>
      </c>
      <c r="H1045" s="33">
        <v>1</v>
      </c>
      <c r="I1045" t="s">
        <v>0</v>
      </c>
      <c r="J1045" t="s">
        <v>72</v>
      </c>
      <c r="K1045">
        <v>6</v>
      </c>
      <c r="L1045" s="63">
        <v>1.643835616438356E-2</v>
      </c>
      <c r="M1045">
        <v>6</v>
      </c>
    </row>
    <row r="1046" spans="2:13" x14ac:dyDescent="0.25">
      <c r="B1046" s="33">
        <v>1</v>
      </c>
      <c r="C1046" t="s">
        <v>276</v>
      </c>
      <c r="D1046" t="s">
        <v>289</v>
      </c>
      <c r="E1046">
        <v>19</v>
      </c>
      <c r="F1046" s="2">
        <v>3.5616438356164397E-2</v>
      </c>
      <c r="H1046" s="33">
        <v>1</v>
      </c>
      <c r="I1046" t="s">
        <v>276</v>
      </c>
      <c r="J1046" t="s">
        <v>289</v>
      </c>
      <c r="K1046">
        <v>19</v>
      </c>
      <c r="L1046" s="63">
        <v>3.287671232876712E-2</v>
      </c>
      <c r="M1046">
        <v>13</v>
      </c>
    </row>
    <row r="1047" spans="2:13" x14ac:dyDescent="0.25">
      <c r="B1047" s="33">
        <v>1</v>
      </c>
      <c r="C1047" t="s">
        <v>307</v>
      </c>
      <c r="D1047" t="s">
        <v>313</v>
      </c>
      <c r="E1047">
        <v>0</v>
      </c>
      <c r="F1047" s="2">
        <v>1.6438356164383602E-2</v>
      </c>
      <c r="H1047" s="33">
        <v>1</v>
      </c>
      <c r="I1047" t="s">
        <v>307</v>
      </c>
      <c r="J1047" t="s">
        <v>313</v>
      </c>
      <c r="K1047">
        <v>0</v>
      </c>
      <c r="L1047" s="63">
        <v>1.643835616438356E-2</v>
      </c>
      <c r="M1047">
        <v>6</v>
      </c>
    </row>
    <row r="1048" spans="2:13" x14ac:dyDescent="0.25">
      <c r="B1048" s="33">
        <v>1</v>
      </c>
      <c r="C1048" t="s">
        <v>231</v>
      </c>
      <c r="D1048" t="s">
        <v>186</v>
      </c>
      <c r="E1048">
        <v>3</v>
      </c>
      <c r="F1048" s="2">
        <v>8.21917808219178E-3</v>
      </c>
      <c r="H1048" s="33">
        <v>1</v>
      </c>
      <c r="I1048" t="s">
        <v>231</v>
      </c>
      <c r="J1048" t="s">
        <v>186</v>
      </c>
      <c r="K1048">
        <v>3</v>
      </c>
      <c r="L1048" s="63">
        <v>1.0958904109589041E-2</v>
      </c>
      <c r="M1048">
        <v>4</v>
      </c>
    </row>
    <row r="1049" spans="2:13" x14ac:dyDescent="0.25">
      <c r="B1049" s="33">
        <v>1</v>
      </c>
      <c r="C1049" t="s">
        <v>2</v>
      </c>
      <c r="D1049" t="s">
        <v>316</v>
      </c>
      <c r="E1049">
        <v>3</v>
      </c>
      <c r="F1049" s="2">
        <v>1.0958904109589E-2</v>
      </c>
      <c r="H1049" s="33">
        <v>1</v>
      </c>
      <c r="I1049" t="s">
        <v>2</v>
      </c>
      <c r="J1049" t="s">
        <v>316</v>
      </c>
      <c r="K1049">
        <v>3</v>
      </c>
      <c r="L1049" s="63">
        <v>8.21917808219178E-3</v>
      </c>
      <c r="M1049">
        <v>4</v>
      </c>
    </row>
    <row r="1050" spans="2:13" x14ac:dyDescent="0.25">
      <c r="B1050" s="33">
        <v>1</v>
      </c>
      <c r="C1050" t="s">
        <v>2</v>
      </c>
      <c r="D1050" t="s">
        <v>17</v>
      </c>
      <c r="E1050">
        <v>3</v>
      </c>
      <c r="F1050" s="2">
        <v>1.6438356164383602E-2</v>
      </c>
      <c r="H1050" s="33">
        <v>1</v>
      </c>
      <c r="I1050" t="s">
        <v>2</v>
      </c>
      <c r="J1050" t="s">
        <v>17</v>
      </c>
      <c r="K1050">
        <v>3</v>
      </c>
      <c r="L1050" s="63">
        <v>1.643835616438356E-2</v>
      </c>
      <c r="M1050">
        <v>6</v>
      </c>
    </row>
    <row r="1051" spans="2:13" x14ac:dyDescent="0.25">
      <c r="B1051" s="33">
        <v>1</v>
      </c>
      <c r="C1051" t="s">
        <v>2</v>
      </c>
      <c r="D1051" t="s">
        <v>17</v>
      </c>
      <c r="E1051">
        <v>4</v>
      </c>
      <c r="F1051" s="2">
        <v>5.4794520547945197E-3</v>
      </c>
      <c r="H1051" s="33">
        <v>1</v>
      </c>
      <c r="I1051" t="s">
        <v>2</v>
      </c>
      <c r="J1051" t="s">
        <v>17</v>
      </c>
      <c r="K1051">
        <v>4</v>
      </c>
      <c r="L1051" s="63">
        <v>1.9178082191780823E-2</v>
      </c>
      <c r="M1051">
        <v>9</v>
      </c>
    </row>
    <row r="1052" spans="2:13" x14ac:dyDescent="0.25">
      <c r="B1052" s="33">
        <v>1</v>
      </c>
      <c r="C1052" t="s">
        <v>2</v>
      </c>
      <c r="D1052" t="s">
        <v>317</v>
      </c>
      <c r="E1052">
        <v>2</v>
      </c>
      <c r="F1052" s="2">
        <v>4.9315068493150697E-2</v>
      </c>
      <c r="H1052" s="33">
        <v>1</v>
      </c>
      <c r="I1052" t="s">
        <v>2</v>
      </c>
      <c r="J1052" t="s">
        <v>317</v>
      </c>
      <c r="K1052">
        <v>2</v>
      </c>
      <c r="L1052" s="63">
        <v>4.3835616438356165E-2</v>
      </c>
      <c r="M1052">
        <v>18</v>
      </c>
    </row>
    <row r="1053" spans="2:13" x14ac:dyDescent="0.25">
      <c r="B1053" s="33">
        <v>1</v>
      </c>
      <c r="C1053" t="s">
        <v>231</v>
      </c>
      <c r="D1053" t="s">
        <v>188</v>
      </c>
      <c r="E1053">
        <v>7</v>
      </c>
      <c r="F1053" s="2">
        <v>2.19178082191781E-2</v>
      </c>
      <c r="H1053" s="33">
        <v>1</v>
      </c>
      <c r="I1053" t="s">
        <v>231</v>
      </c>
      <c r="J1053" t="s">
        <v>188</v>
      </c>
      <c r="K1053">
        <v>7</v>
      </c>
      <c r="L1053" s="63">
        <v>3.287671232876712E-2</v>
      </c>
      <c r="M1053">
        <v>15</v>
      </c>
    </row>
    <row r="1054" spans="2:13" x14ac:dyDescent="0.25">
      <c r="B1054" s="33">
        <v>1</v>
      </c>
      <c r="C1054" t="s">
        <v>276</v>
      </c>
      <c r="D1054" t="s">
        <v>287</v>
      </c>
      <c r="E1054">
        <v>9</v>
      </c>
      <c r="F1054" s="2">
        <v>2.46575342465753E-2</v>
      </c>
      <c r="H1054" s="33">
        <v>1</v>
      </c>
      <c r="I1054" t="s">
        <v>276</v>
      </c>
      <c r="J1054" t="s">
        <v>287</v>
      </c>
      <c r="K1054">
        <v>9</v>
      </c>
      <c r="L1054" s="63">
        <v>1.643835616438356E-2</v>
      </c>
      <c r="M1054">
        <v>9</v>
      </c>
    </row>
    <row r="1055" spans="2:13" x14ac:dyDescent="0.25">
      <c r="B1055" s="33">
        <v>1</v>
      </c>
      <c r="C1055" t="s">
        <v>307</v>
      </c>
      <c r="D1055" t="s">
        <v>308</v>
      </c>
      <c r="E1055">
        <v>19</v>
      </c>
      <c r="F1055" s="2">
        <v>4.3835616438356199E-2</v>
      </c>
      <c r="H1055" s="33">
        <v>1</v>
      </c>
      <c r="I1055" t="s">
        <v>307</v>
      </c>
      <c r="J1055" t="s">
        <v>308</v>
      </c>
      <c r="K1055">
        <v>19</v>
      </c>
      <c r="L1055" s="63">
        <v>4.1095890410958902E-2</v>
      </c>
      <c r="M1055">
        <v>16</v>
      </c>
    </row>
    <row r="1056" spans="2:13" x14ac:dyDescent="0.25">
      <c r="B1056" s="33">
        <v>1</v>
      </c>
      <c r="C1056" t="s">
        <v>2</v>
      </c>
      <c r="D1056" t="s">
        <v>21</v>
      </c>
      <c r="E1056">
        <v>23</v>
      </c>
      <c r="F1056" s="2">
        <v>2.19178082191781E-2</v>
      </c>
      <c r="H1056" s="33">
        <v>1</v>
      </c>
      <c r="I1056" t="s">
        <v>2</v>
      </c>
      <c r="J1056" t="s">
        <v>21</v>
      </c>
      <c r="K1056">
        <v>23</v>
      </c>
      <c r="L1056" s="63">
        <v>2.4657534246575342E-2</v>
      </c>
      <c r="M1056">
        <v>10</v>
      </c>
    </row>
    <row r="1057" spans="2:13" x14ac:dyDescent="0.25">
      <c r="B1057" s="33">
        <v>1</v>
      </c>
      <c r="C1057" t="s">
        <v>57</v>
      </c>
      <c r="D1057" t="s">
        <v>69</v>
      </c>
      <c r="E1057">
        <v>5</v>
      </c>
      <c r="F1057" s="2">
        <v>8.21917808219178E-3</v>
      </c>
      <c r="H1057" s="33">
        <v>1</v>
      </c>
      <c r="I1057" t="s">
        <v>57</v>
      </c>
      <c r="J1057" t="s">
        <v>69</v>
      </c>
      <c r="K1057">
        <v>5</v>
      </c>
      <c r="L1057" s="63">
        <v>8.21917808219178E-3</v>
      </c>
      <c r="M1057">
        <v>3</v>
      </c>
    </row>
    <row r="1058" spans="2:13" x14ac:dyDescent="0.25">
      <c r="B1058" s="33">
        <v>1</v>
      </c>
      <c r="C1058" t="s">
        <v>292</v>
      </c>
      <c r="D1058" t="s">
        <v>296</v>
      </c>
      <c r="E1058">
        <v>22</v>
      </c>
      <c r="F1058" s="2">
        <v>1.0958904109589E-2</v>
      </c>
      <c r="H1058" s="33">
        <v>1</v>
      </c>
      <c r="I1058" t="s">
        <v>292</v>
      </c>
      <c r="J1058" t="s">
        <v>296</v>
      </c>
      <c r="K1058">
        <v>22</v>
      </c>
      <c r="L1058" s="63">
        <v>8.21917808219178E-3</v>
      </c>
      <c r="M1058">
        <v>4</v>
      </c>
    </row>
    <row r="1059" spans="2:13" x14ac:dyDescent="0.25">
      <c r="B1059" s="33">
        <v>1</v>
      </c>
      <c r="C1059" t="s">
        <v>276</v>
      </c>
      <c r="D1059" t="s">
        <v>289</v>
      </c>
      <c r="E1059">
        <v>22</v>
      </c>
      <c r="F1059" s="2">
        <v>5.4794520547945197E-3</v>
      </c>
      <c r="H1059" s="33">
        <v>1</v>
      </c>
      <c r="I1059" t="s">
        <v>276</v>
      </c>
      <c r="J1059" t="s">
        <v>289</v>
      </c>
      <c r="K1059">
        <v>22</v>
      </c>
      <c r="L1059" s="63">
        <v>5.4794520547945206E-3</v>
      </c>
      <c r="M1059">
        <v>2</v>
      </c>
    </row>
    <row r="1060" spans="2:13" x14ac:dyDescent="0.25">
      <c r="B1060" s="33">
        <v>1</v>
      </c>
      <c r="C1060" t="s">
        <v>307</v>
      </c>
      <c r="D1060" t="s">
        <v>394</v>
      </c>
      <c r="E1060">
        <v>22</v>
      </c>
      <c r="F1060" s="2">
        <v>8.21917808219178E-3</v>
      </c>
      <c r="H1060" s="33">
        <v>1</v>
      </c>
      <c r="I1060" t="s">
        <v>307</v>
      </c>
      <c r="J1060" t="s">
        <v>314</v>
      </c>
      <c r="K1060">
        <v>22</v>
      </c>
      <c r="L1060" s="63">
        <v>8.21917808219178E-3</v>
      </c>
      <c r="M1060">
        <v>3</v>
      </c>
    </row>
    <row r="1061" spans="2:13" x14ac:dyDescent="0.25">
      <c r="B1061" s="33">
        <v>1</v>
      </c>
      <c r="C1061" t="s">
        <v>0</v>
      </c>
      <c r="D1061" t="s">
        <v>65</v>
      </c>
      <c r="E1061">
        <v>0</v>
      </c>
      <c r="F1061" s="2">
        <v>3.0136986301369899E-2</v>
      </c>
      <c r="H1061" s="33">
        <v>1</v>
      </c>
      <c r="I1061" t="s">
        <v>0</v>
      </c>
      <c r="J1061" t="s">
        <v>65</v>
      </c>
      <c r="K1061">
        <v>0</v>
      </c>
      <c r="L1061" s="63">
        <v>6.0273972602739728E-2</v>
      </c>
      <c r="M1061">
        <v>26</v>
      </c>
    </row>
    <row r="1062" spans="2:13" x14ac:dyDescent="0.25">
      <c r="B1062" s="33">
        <v>1</v>
      </c>
      <c r="C1062" t="s">
        <v>276</v>
      </c>
      <c r="D1062" t="s">
        <v>318</v>
      </c>
      <c r="E1062">
        <v>8</v>
      </c>
      <c r="F1062" s="2">
        <v>1.6438356164383602E-2</v>
      </c>
      <c r="H1062" s="33">
        <v>1</v>
      </c>
      <c r="I1062" t="s">
        <v>276</v>
      </c>
      <c r="J1062" t="s">
        <v>318</v>
      </c>
      <c r="K1062">
        <v>8</v>
      </c>
      <c r="L1062" s="63">
        <v>1.643835616438356E-2</v>
      </c>
      <c r="M1062">
        <v>6</v>
      </c>
    </row>
    <row r="1063" spans="2:13" x14ac:dyDescent="0.25">
      <c r="B1063" s="33">
        <v>1</v>
      </c>
      <c r="C1063" t="s">
        <v>57</v>
      </c>
      <c r="D1063" t="s">
        <v>75</v>
      </c>
      <c r="E1063">
        <v>12</v>
      </c>
      <c r="F1063" s="2">
        <v>3.8356164383561597E-2</v>
      </c>
      <c r="H1063" s="33">
        <v>1</v>
      </c>
      <c r="I1063" t="s">
        <v>57</v>
      </c>
      <c r="J1063" t="s">
        <v>75</v>
      </c>
      <c r="K1063">
        <v>12</v>
      </c>
      <c r="L1063" s="63">
        <v>4.6575342465753428E-2</v>
      </c>
      <c r="M1063">
        <v>18</v>
      </c>
    </row>
    <row r="1064" spans="2:13" x14ac:dyDescent="0.25">
      <c r="B1064" s="33">
        <v>1</v>
      </c>
      <c r="C1064" t="s">
        <v>0</v>
      </c>
      <c r="D1064" t="s">
        <v>78</v>
      </c>
      <c r="E1064">
        <v>1</v>
      </c>
      <c r="F1064" s="2">
        <v>2.7397260273972599E-3</v>
      </c>
      <c r="H1064" s="33">
        <v>1</v>
      </c>
      <c r="I1064" t="s">
        <v>0</v>
      </c>
      <c r="J1064" t="s">
        <v>78</v>
      </c>
      <c r="K1064">
        <v>1</v>
      </c>
      <c r="L1064" s="63">
        <v>8.21917808219178E-3</v>
      </c>
      <c r="M1064">
        <v>3</v>
      </c>
    </row>
    <row r="1065" spans="2:13" x14ac:dyDescent="0.25">
      <c r="B1065" s="33">
        <v>1</v>
      </c>
      <c r="C1065" t="s">
        <v>307</v>
      </c>
      <c r="D1065" t="s">
        <v>393</v>
      </c>
      <c r="E1065">
        <v>12</v>
      </c>
      <c r="F1065" s="2">
        <v>5.2054794520547898E-2</v>
      </c>
      <c r="H1065" s="33">
        <v>1</v>
      </c>
      <c r="I1065" t="s">
        <v>307</v>
      </c>
      <c r="J1065" t="s">
        <v>393</v>
      </c>
      <c r="K1065">
        <v>12</v>
      </c>
      <c r="L1065" s="63">
        <v>4.9315068493150684E-2</v>
      </c>
      <c r="M1065">
        <v>19</v>
      </c>
    </row>
    <row r="1066" spans="2:13" x14ac:dyDescent="0.25">
      <c r="B1066" s="33">
        <v>1</v>
      </c>
      <c r="C1066" t="s">
        <v>307</v>
      </c>
      <c r="D1066" t="s">
        <v>309</v>
      </c>
      <c r="E1066">
        <v>13</v>
      </c>
      <c r="F1066" s="2">
        <v>4.65753424657534E-2</v>
      </c>
      <c r="H1066" s="33">
        <v>1</v>
      </c>
      <c r="I1066" t="s">
        <v>307</v>
      </c>
      <c r="J1066" t="s">
        <v>309</v>
      </c>
      <c r="K1066">
        <v>13</v>
      </c>
      <c r="L1066" s="63">
        <v>3.8356164383561646E-2</v>
      </c>
      <c r="M1066">
        <v>17</v>
      </c>
    </row>
    <row r="1067" spans="2:13" x14ac:dyDescent="0.25">
      <c r="B1067" s="33">
        <v>1</v>
      </c>
      <c r="C1067" t="s">
        <v>276</v>
      </c>
      <c r="D1067" t="s">
        <v>288</v>
      </c>
      <c r="E1067">
        <v>23</v>
      </c>
      <c r="F1067" s="2">
        <v>2.7397260273972599E-3</v>
      </c>
      <c r="H1067" s="33">
        <v>1</v>
      </c>
      <c r="I1067" t="s">
        <v>276</v>
      </c>
      <c r="J1067" t="s">
        <v>288</v>
      </c>
      <c r="K1067">
        <v>23</v>
      </c>
      <c r="L1067" s="63">
        <v>2.7397260273972603E-3</v>
      </c>
      <c r="M1067">
        <v>1</v>
      </c>
    </row>
    <row r="1068" spans="2:13" x14ac:dyDescent="0.25">
      <c r="B1068" s="33">
        <v>1</v>
      </c>
      <c r="C1068" t="s">
        <v>0</v>
      </c>
      <c r="D1068" t="s">
        <v>64</v>
      </c>
      <c r="E1068">
        <v>0</v>
      </c>
      <c r="F1068" s="2">
        <v>8.21917808219178E-3</v>
      </c>
      <c r="H1068" s="33">
        <v>1</v>
      </c>
      <c r="I1068" t="s">
        <v>0</v>
      </c>
      <c r="J1068" t="s">
        <v>64</v>
      </c>
      <c r="K1068">
        <v>0</v>
      </c>
      <c r="L1068" s="63">
        <v>2.1917808219178082E-2</v>
      </c>
      <c r="M1068">
        <v>9</v>
      </c>
    </row>
    <row r="1069" spans="2:13" x14ac:dyDescent="0.25">
      <c r="B1069" s="33">
        <v>1</v>
      </c>
      <c r="C1069" t="s">
        <v>2</v>
      </c>
      <c r="D1069" t="s">
        <v>316</v>
      </c>
      <c r="E1069">
        <v>4</v>
      </c>
      <c r="F1069" s="2">
        <v>1.3698630136986301E-2</v>
      </c>
      <c r="H1069" s="33">
        <v>1</v>
      </c>
      <c r="I1069" t="s">
        <v>2</v>
      </c>
      <c r="J1069" t="s">
        <v>316</v>
      </c>
      <c r="K1069">
        <v>4</v>
      </c>
      <c r="L1069" s="63">
        <v>1.3698630136986301E-2</v>
      </c>
      <c r="M1069">
        <v>5</v>
      </c>
    </row>
    <row r="1070" spans="2:13" x14ac:dyDescent="0.25">
      <c r="B1070" s="33">
        <v>1</v>
      </c>
      <c r="C1070" t="s">
        <v>231</v>
      </c>
      <c r="D1070" t="s">
        <v>189</v>
      </c>
      <c r="E1070">
        <v>13</v>
      </c>
      <c r="F1070" s="2">
        <v>5.75342465753425E-2</v>
      </c>
      <c r="H1070" s="33">
        <v>1</v>
      </c>
      <c r="I1070" t="s">
        <v>231</v>
      </c>
      <c r="J1070" t="s">
        <v>189</v>
      </c>
      <c r="K1070">
        <v>13</v>
      </c>
      <c r="L1070" s="63">
        <v>6.0273972602739728E-2</v>
      </c>
      <c r="M1070">
        <v>28</v>
      </c>
    </row>
    <row r="1071" spans="2:13" x14ac:dyDescent="0.25">
      <c r="B1071" s="33">
        <v>1</v>
      </c>
      <c r="C1071" t="s">
        <v>276</v>
      </c>
      <c r="D1071" t="s">
        <v>290</v>
      </c>
      <c r="E1071">
        <v>16</v>
      </c>
      <c r="F1071" s="2">
        <v>2.19178082191781E-2</v>
      </c>
      <c r="H1071" s="33">
        <v>1</v>
      </c>
      <c r="I1071" t="s">
        <v>276</v>
      </c>
      <c r="J1071" t="s">
        <v>290</v>
      </c>
      <c r="K1071">
        <v>16</v>
      </c>
      <c r="L1071" s="63">
        <v>1.9178082191780823E-2</v>
      </c>
      <c r="M1071">
        <v>8</v>
      </c>
    </row>
    <row r="1072" spans="2:13" x14ac:dyDescent="0.25">
      <c r="B1072" s="33">
        <v>1</v>
      </c>
      <c r="C1072" t="s">
        <v>2</v>
      </c>
      <c r="D1072" t="s">
        <v>28</v>
      </c>
      <c r="E1072">
        <v>21</v>
      </c>
      <c r="F1072" s="2">
        <v>1.9178082191780799E-2</v>
      </c>
      <c r="H1072" s="33">
        <v>1</v>
      </c>
      <c r="I1072" t="s">
        <v>2</v>
      </c>
      <c r="J1072" t="s">
        <v>28</v>
      </c>
      <c r="K1072">
        <v>21</v>
      </c>
      <c r="L1072" s="63">
        <v>5.4794520547945202E-2</v>
      </c>
      <c r="M1072">
        <v>20</v>
      </c>
    </row>
    <row r="1073" spans="2:13" x14ac:dyDescent="0.25">
      <c r="B1073" s="33">
        <v>1</v>
      </c>
      <c r="C1073" t="s">
        <v>2</v>
      </c>
      <c r="D1073" t="s">
        <v>32</v>
      </c>
      <c r="E1073">
        <v>23</v>
      </c>
      <c r="F1073" s="2">
        <v>8.21917808219178E-3</v>
      </c>
      <c r="H1073" s="33">
        <v>1</v>
      </c>
      <c r="I1073" t="s">
        <v>2</v>
      </c>
      <c r="J1073" t="s">
        <v>32</v>
      </c>
      <c r="K1073">
        <v>23</v>
      </c>
      <c r="L1073" s="63">
        <v>1.3698630136986301E-2</v>
      </c>
      <c r="M1073">
        <v>5</v>
      </c>
    </row>
    <row r="1074" spans="2:13" x14ac:dyDescent="0.25">
      <c r="B1074" s="33">
        <v>1</v>
      </c>
      <c r="C1074" t="s">
        <v>307</v>
      </c>
      <c r="D1074" t="s">
        <v>309</v>
      </c>
      <c r="E1074">
        <v>23</v>
      </c>
      <c r="F1074" s="2">
        <v>1.0958904109589E-2</v>
      </c>
      <c r="H1074" s="33">
        <v>1</v>
      </c>
      <c r="I1074" t="s">
        <v>307</v>
      </c>
      <c r="J1074" t="s">
        <v>309</v>
      </c>
      <c r="K1074">
        <v>23</v>
      </c>
      <c r="L1074" s="63">
        <v>1.0958904109589041E-2</v>
      </c>
      <c r="M1074">
        <v>4</v>
      </c>
    </row>
    <row r="1075" spans="2:13" x14ac:dyDescent="0.25">
      <c r="B1075" s="33">
        <v>1</v>
      </c>
      <c r="C1075" t="s">
        <v>231</v>
      </c>
      <c r="D1075" t="s">
        <v>190</v>
      </c>
      <c r="E1075">
        <v>1</v>
      </c>
      <c r="F1075" s="2">
        <v>5.4794520547945197E-3</v>
      </c>
      <c r="H1075" s="33">
        <v>1</v>
      </c>
      <c r="I1075" t="s">
        <v>231</v>
      </c>
      <c r="J1075" t="s">
        <v>190</v>
      </c>
      <c r="K1075">
        <v>1</v>
      </c>
      <c r="L1075" s="63">
        <v>1.9178082191780823E-2</v>
      </c>
      <c r="M1075">
        <v>8</v>
      </c>
    </row>
    <row r="1076" spans="2:13" x14ac:dyDescent="0.25">
      <c r="B1076" s="33">
        <v>1</v>
      </c>
      <c r="C1076" t="s">
        <v>276</v>
      </c>
      <c r="D1076" t="s">
        <v>289</v>
      </c>
      <c r="E1076">
        <v>1</v>
      </c>
      <c r="F1076" s="2">
        <v>1.3698630136986301E-2</v>
      </c>
      <c r="H1076" s="33">
        <v>1</v>
      </c>
      <c r="I1076" t="s">
        <v>276</v>
      </c>
      <c r="J1076" t="s">
        <v>289</v>
      </c>
      <c r="K1076">
        <v>1</v>
      </c>
      <c r="L1076" s="63">
        <v>1.3698630136986301E-2</v>
      </c>
      <c r="M1076">
        <v>5</v>
      </c>
    </row>
    <row r="1077" spans="2:13" x14ac:dyDescent="0.25">
      <c r="B1077" s="33">
        <v>1</v>
      </c>
      <c r="C1077" t="s">
        <v>292</v>
      </c>
      <c r="D1077" t="s">
        <v>320</v>
      </c>
      <c r="E1077">
        <v>2</v>
      </c>
      <c r="F1077" s="2">
        <v>2.7397260273972599E-3</v>
      </c>
      <c r="H1077" s="33">
        <v>1</v>
      </c>
      <c r="I1077" t="s">
        <v>292</v>
      </c>
      <c r="J1077" t="s">
        <v>320</v>
      </c>
      <c r="K1077">
        <v>2</v>
      </c>
      <c r="L1077" s="63">
        <v>2.7397260273972603E-3</v>
      </c>
      <c r="M1077">
        <v>1</v>
      </c>
    </row>
    <row r="1078" spans="2:13" x14ac:dyDescent="0.25">
      <c r="B1078" s="33">
        <v>1</v>
      </c>
      <c r="C1078" t="s">
        <v>59</v>
      </c>
      <c r="D1078" t="s">
        <v>76</v>
      </c>
      <c r="E1078">
        <v>2</v>
      </c>
      <c r="F1078" s="2">
        <v>5.4794520547945197E-3</v>
      </c>
      <c r="H1078" s="33">
        <v>1</v>
      </c>
      <c r="I1078" t="s">
        <v>59</v>
      </c>
      <c r="J1078" t="s">
        <v>76</v>
      </c>
      <c r="K1078">
        <v>2</v>
      </c>
      <c r="L1078" s="63">
        <v>5.4794520547945206E-3</v>
      </c>
      <c r="M1078">
        <v>2</v>
      </c>
    </row>
    <row r="1079" spans="2:13" x14ac:dyDescent="0.25">
      <c r="B1079" s="33">
        <v>1</v>
      </c>
      <c r="C1079" t="s">
        <v>2</v>
      </c>
      <c r="D1079" t="s">
        <v>21</v>
      </c>
      <c r="E1079">
        <v>3</v>
      </c>
      <c r="F1079" s="2">
        <v>2.7397260273972599E-3</v>
      </c>
      <c r="H1079" s="33">
        <v>1</v>
      </c>
      <c r="I1079" t="s">
        <v>2</v>
      </c>
      <c r="J1079" t="s">
        <v>21</v>
      </c>
      <c r="K1079">
        <v>3</v>
      </c>
      <c r="L1079" s="63">
        <v>2.7397260273972603E-3</v>
      </c>
      <c r="M1079">
        <v>1</v>
      </c>
    </row>
    <row r="1080" spans="2:13" x14ac:dyDescent="0.25">
      <c r="B1080" s="33">
        <v>1</v>
      </c>
      <c r="C1080" t="s">
        <v>2</v>
      </c>
      <c r="D1080" t="s">
        <v>28</v>
      </c>
      <c r="E1080">
        <v>4</v>
      </c>
      <c r="F1080" s="2">
        <v>5.4794520547945197E-3</v>
      </c>
      <c r="H1080" s="33">
        <v>1</v>
      </c>
      <c r="I1080" t="s">
        <v>2</v>
      </c>
      <c r="J1080" t="s">
        <v>28</v>
      </c>
      <c r="K1080">
        <v>4</v>
      </c>
      <c r="L1080" s="63">
        <v>2.1917808219178082E-2</v>
      </c>
      <c r="M1080">
        <v>8</v>
      </c>
    </row>
    <row r="1081" spans="2:13" x14ac:dyDescent="0.25">
      <c r="B1081" s="33">
        <v>1</v>
      </c>
      <c r="C1081" t="s">
        <v>2</v>
      </c>
      <c r="D1081" t="s">
        <v>19</v>
      </c>
      <c r="E1081">
        <v>5</v>
      </c>
      <c r="F1081" s="2">
        <v>1.0958904109589E-2</v>
      </c>
      <c r="H1081" s="33">
        <v>1</v>
      </c>
      <c r="I1081" t="s">
        <v>2</v>
      </c>
      <c r="J1081" t="s">
        <v>19</v>
      </c>
      <c r="K1081">
        <v>5</v>
      </c>
      <c r="L1081" s="63">
        <v>1.0958904109589041E-2</v>
      </c>
      <c r="M1081">
        <v>6</v>
      </c>
    </row>
    <row r="1082" spans="2:13" x14ac:dyDescent="0.25">
      <c r="B1082" s="33">
        <v>1</v>
      </c>
      <c r="C1082" t="s">
        <v>307</v>
      </c>
      <c r="D1082" t="s">
        <v>393</v>
      </c>
      <c r="E1082">
        <v>6</v>
      </c>
      <c r="F1082" s="2">
        <v>1.6438356164383602E-2</v>
      </c>
      <c r="H1082" s="33">
        <v>1</v>
      </c>
      <c r="I1082" t="s">
        <v>307</v>
      </c>
      <c r="J1082" t="s">
        <v>393</v>
      </c>
      <c r="K1082">
        <v>6</v>
      </c>
      <c r="L1082" s="63">
        <v>1.643835616438356E-2</v>
      </c>
      <c r="M1082">
        <v>6</v>
      </c>
    </row>
    <row r="1083" spans="2:13" x14ac:dyDescent="0.25">
      <c r="B1083" s="33">
        <v>1</v>
      </c>
      <c r="C1083" t="s">
        <v>276</v>
      </c>
      <c r="D1083" t="s">
        <v>286</v>
      </c>
      <c r="E1083">
        <v>13</v>
      </c>
      <c r="F1083" s="2">
        <v>2.7397260273972599E-3</v>
      </c>
      <c r="H1083" s="33">
        <v>1</v>
      </c>
      <c r="I1083" t="s">
        <v>276</v>
      </c>
      <c r="J1083" t="s">
        <v>286</v>
      </c>
      <c r="K1083">
        <v>13</v>
      </c>
      <c r="L1083" s="63">
        <v>2.7397260273972603E-3</v>
      </c>
      <c r="M1083">
        <v>1</v>
      </c>
    </row>
    <row r="1084" spans="2:13" x14ac:dyDescent="0.25">
      <c r="B1084" s="33">
        <v>1</v>
      </c>
      <c r="C1084" t="s">
        <v>276</v>
      </c>
      <c r="D1084" t="s">
        <v>289</v>
      </c>
      <c r="E1084">
        <v>16</v>
      </c>
      <c r="F1084" s="2">
        <v>1.0958904109589E-2</v>
      </c>
      <c r="H1084" s="33">
        <v>1</v>
      </c>
      <c r="I1084" t="s">
        <v>276</v>
      </c>
      <c r="J1084" t="s">
        <v>289</v>
      </c>
      <c r="K1084">
        <v>16</v>
      </c>
      <c r="L1084" s="63">
        <v>1.0958904109589041E-2</v>
      </c>
      <c r="M1084">
        <v>4</v>
      </c>
    </row>
    <row r="1085" spans="2:13" x14ac:dyDescent="0.25">
      <c r="B1085" s="33">
        <v>1</v>
      </c>
      <c r="C1085" t="s">
        <v>0</v>
      </c>
      <c r="D1085" t="s">
        <v>64</v>
      </c>
      <c r="E1085">
        <v>23</v>
      </c>
      <c r="F1085" s="2">
        <v>3.2876712328767099E-2</v>
      </c>
      <c r="H1085" s="33">
        <v>1</v>
      </c>
      <c r="I1085" t="s">
        <v>0</v>
      </c>
      <c r="J1085" t="s">
        <v>64</v>
      </c>
      <c r="K1085">
        <v>23</v>
      </c>
      <c r="L1085" s="63">
        <v>6.3013698630136991E-2</v>
      </c>
      <c r="M1085">
        <v>28</v>
      </c>
    </row>
    <row r="1086" spans="2:13" x14ac:dyDescent="0.25">
      <c r="B1086" s="33">
        <v>1</v>
      </c>
      <c r="C1086" t="s">
        <v>57</v>
      </c>
      <c r="D1086" t="s">
        <v>75</v>
      </c>
      <c r="E1086">
        <v>2</v>
      </c>
      <c r="F1086" s="2">
        <v>0</v>
      </c>
      <c r="H1086" s="33">
        <v>1</v>
      </c>
      <c r="I1086" t="s">
        <v>57</v>
      </c>
      <c r="J1086" t="s">
        <v>75</v>
      </c>
      <c r="K1086">
        <v>2</v>
      </c>
      <c r="L1086" s="63">
        <v>1.643835616438356E-2</v>
      </c>
      <c r="M1086">
        <v>6</v>
      </c>
    </row>
    <row r="1087" spans="2:13" x14ac:dyDescent="0.25">
      <c r="B1087" s="33">
        <v>1</v>
      </c>
      <c r="C1087" t="s">
        <v>59</v>
      </c>
      <c r="D1087" t="s">
        <v>60</v>
      </c>
      <c r="E1087">
        <v>4</v>
      </c>
      <c r="F1087" s="2">
        <v>1.6438356164383602E-2</v>
      </c>
      <c r="H1087" s="33">
        <v>1</v>
      </c>
      <c r="I1087" t="s">
        <v>59</v>
      </c>
      <c r="J1087" t="s">
        <v>60</v>
      </c>
      <c r="K1087">
        <v>4</v>
      </c>
      <c r="L1087" s="63">
        <v>2.1917808219178082E-2</v>
      </c>
      <c r="M1087">
        <v>11</v>
      </c>
    </row>
    <row r="1088" spans="2:13" x14ac:dyDescent="0.25">
      <c r="B1088" s="33">
        <v>1</v>
      </c>
      <c r="C1088" t="s">
        <v>59</v>
      </c>
      <c r="D1088" t="s">
        <v>63</v>
      </c>
      <c r="E1088">
        <v>5</v>
      </c>
      <c r="F1088" s="2">
        <v>1.0958904109589E-2</v>
      </c>
      <c r="H1088" s="33">
        <v>1</v>
      </c>
      <c r="I1088" t="s">
        <v>59</v>
      </c>
      <c r="J1088" t="s">
        <v>63</v>
      </c>
      <c r="K1088">
        <v>5</v>
      </c>
      <c r="L1088" s="63">
        <v>1.0958904109589041E-2</v>
      </c>
      <c r="M1088">
        <v>4</v>
      </c>
    </row>
    <row r="1089" spans="2:13" x14ac:dyDescent="0.25">
      <c r="B1089" s="33">
        <v>1</v>
      </c>
      <c r="C1089" t="s">
        <v>231</v>
      </c>
      <c r="D1089" t="s">
        <v>186</v>
      </c>
      <c r="E1089">
        <v>8</v>
      </c>
      <c r="F1089" s="2">
        <v>3.0136986301369899E-2</v>
      </c>
      <c r="H1089" s="33">
        <v>1</v>
      </c>
      <c r="I1089" t="s">
        <v>231</v>
      </c>
      <c r="J1089" t="s">
        <v>186</v>
      </c>
      <c r="K1089">
        <v>8</v>
      </c>
      <c r="L1089" s="63">
        <v>3.287671232876712E-2</v>
      </c>
      <c r="M1089">
        <v>12</v>
      </c>
    </row>
    <row r="1090" spans="2:13" x14ac:dyDescent="0.25">
      <c r="B1090" s="33">
        <v>1</v>
      </c>
      <c r="C1090" t="s">
        <v>307</v>
      </c>
      <c r="D1090" t="s">
        <v>310</v>
      </c>
      <c r="E1090">
        <v>21</v>
      </c>
      <c r="F1090" s="2">
        <v>8.21917808219178E-3</v>
      </c>
      <c r="H1090" s="33">
        <v>1</v>
      </c>
      <c r="I1090" t="s">
        <v>307</v>
      </c>
      <c r="J1090" t="s">
        <v>310</v>
      </c>
      <c r="K1090">
        <v>21</v>
      </c>
      <c r="L1090" s="63">
        <v>8.21917808219178E-3</v>
      </c>
      <c r="M1090">
        <v>3</v>
      </c>
    </row>
    <row r="1091" spans="2:13" x14ac:dyDescent="0.25">
      <c r="B1091" s="33">
        <v>1</v>
      </c>
      <c r="C1091" t="s">
        <v>231</v>
      </c>
      <c r="D1091" t="s">
        <v>186</v>
      </c>
      <c r="E1091">
        <v>4</v>
      </c>
      <c r="F1091" s="2">
        <v>0</v>
      </c>
      <c r="H1091" s="33">
        <v>1</v>
      </c>
      <c r="I1091" t="s">
        <v>231</v>
      </c>
      <c r="J1091" t="s">
        <v>186</v>
      </c>
      <c r="K1091">
        <v>4</v>
      </c>
      <c r="L1091" s="63">
        <v>8.21917808219178E-3</v>
      </c>
      <c r="M1091">
        <v>3</v>
      </c>
    </row>
    <row r="1092" spans="2:13" x14ac:dyDescent="0.25">
      <c r="B1092" s="33">
        <v>1</v>
      </c>
      <c r="C1092" t="s">
        <v>2</v>
      </c>
      <c r="D1092" t="s">
        <v>21</v>
      </c>
      <c r="E1092">
        <v>21</v>
      </c>
      <c r="F1092" s="2">
        <v>2.19178082191781E-2</v>
      </c>
      <c r="H1092" s="33">
        <v>1</v>
      </c>
      <c r="I1092" t="s">
        <v>2</v>
      </c>
      <c r="J1092" t="s">
        <v>21</v>
      </c>
      <c r="K1092">
        <v>21</v>
      </c>
      <c r="L1092" s="63">
        <v>2.1917808219178082E-2</v>
      </c>
      <c r="M1092">
        <v>9</v>
      </c>
    </row>
    <row r="1093" spans="2:13" x14ac:dyDescent="0.25">
      <c r="B1093" s="33">
        <v>1</v>
      </c>
      <c r="C1093" t="s">
        <v>231</v>
      </c>
      <c r="D1093" t="s">
        <v>187</v>
      </c>
      <c r="E1093">
        <v>7</v>
      </c>
      <c r="F1093" s="2">
        <v>4.9315068493150697E-2</v>
      </c>
      <c r="H1093" s="33">
        <v>1</v>
      </c>
      <c r="I1093" t="s">
        <v>231</v>
      </c>
      <c r="J1093" t="s">
        <v>187</v>
      </c>
      <c r="K1093">
        <v>7</v>
      </c>
      <c r="L1093" s="63">
        <v>7.9452054794520555E-2</v>
      </c>
      <c r="M1093">
        <v>30</v>
      </c>
    </row>
    <row r="1094" spans="2:13" x14ac:dyDescent="0.25">
      <c r="B1094" s="33">
        <v>1</v>
      </c>
      <c r="C1094" t="s">
        <v>307</v>
      </c>
      <c r="D1094" t="s">
        <v>309</v>
      </c>
      <c r="E1094">
        <v>9</v>
      </c>
      <c r="F1094" s="2">
        <v>3.5616438356164397E-2</v>
      </c>
      <c r="H1094" s="33">
        <v>1</v>
      </c>
      <c r="I1094" t="s">
        <v>307</v>
      </c>
      <c r="J1094" t="s">
        <v>309</v>
      </c>
      <c r="K1094">
        <v>9</v>
      </c>
      <c r="L1094" s="63">
        <v>3.287671232876712E-2</v>
      </c>
      <c r="M1094">
        <v>13</v>
      </c>
    </row>
    <row r="1095" spans="2:13" x14ac:dyDescent="0.25">
      <c r="B1095" s="33">
        <v>1</v>
      </c>
      <c r="C1095" t="s">
        <v>307</v>
      </c>
      <c r="D1095" t="s">
        <v>310</v>
      </c>
      <c r="E1095">
        <v>9</v>
      </c>
      <c r="F1095" s="2">
        <v>2.46575342465753E-2</v>
      </c>
      <c r="H1095" s="33">
        <v>1</v>
      </c>
      <c r="I1095" t="s">
        <v>307</v>
      </c>
      <c r="J1095" t="s">
        <v>310</v>
      </c>
      <c r="K1095">
        <v>9</v>
      </c>
      <c r="L1095" s="63">
        <v>2.4657534246575342E-2</v>
      </c>
      <c r="M1095">
        <v>9</v>
      </c>
    </row>
    <row r="1096" spans="2:13" x14ac:dyDescent="0.25">
      <c r="B1096" s="33">
        <v>1</v>
      </c>
      <c r="C1096" t="s">
        <v>307</v>
      </c>
      <c r="D1096" t="s">
        <v>394</v>
      </c>
      <c r="E1096">
        <v>15</v>
      </c>
      <c r="F1096" s="2">
        <v>2.7397260273972601E-2</v>
      </c>
      <c r="H1096" s="33">
        <v>1</v>
      </c>
      <c r="I1096" t="s">
        <v>307</v>
      </c>
      <c r="J1096" t="s">
        <v>314</v>
      </c>
      <c r="K1096">
        <v>15</v>
      </c>
      <c r="L1096" s="63">
        <v>2.7397260273972601E-2</v>
      </c>
      <c r="M1096">
        <v>10</v>
      </c>
    </row>
    <row r="1097" spans="2:13" x14ac:dyDescent="0.25">
      <c r="B1097" s="33">
        <v>1</v>
      </c>
      <c r="C1097" t="s">
        <v>292</v>
      </c>
      <c r="D1097" t="s">
        <v>321</v>
      </c>
      <c r="E1097">
        <v>15</v>
      </c>
      <c r="F1097" s="2">
        <v>2.46575342465753E-2</v>
      </c>
      <c r="H1097" s="33">
        <v>1</v>
      </c>
      <c r="I1097" t="s">
        <v>292</v>
      </c>
      <c r="J1097" t="s">
        <v>321</v>
      </c>
      <c r="K1097">
        <v>15</v>
      </c>
      <c r="L1097" s="63">
        <v>2.4657534246575342E-2</v>
      </c>
      <c r="M1097">
        <v>9</v>
      </c>
    </row>
    <row r="1098" spans="2:13" x14ac:dyDescent="0.25">
      <c r="B1098" s="33">
        <v>1</v>
      </c>
      <c r="C1098" t="s">
        <v>0</v>
      </c>
      <c r="D1098" t="s">
        <v>78</v>
      </c>
      <c r="E1098">
        <v>15</v>
      </c>
      <c r="F1098" s="2">
        <v>1.6438356164383602E-2</v>
      </c>
      <c r="H1098" s="33">
        <v>1</v>
      </c>
      <c r="I1098" t="s">
        <v>0</v>
      </c>
      <c r="J1098" t="s">
        <v>78</v>
      </c>
      <c r="K1098">
        <v>15</v>
      </c>
      <c r="L1098" s="63">
        <v>3.287671232876712E-2</v>
      </c>
      <c r="M1098">
        <v>13</v>
      </c>
    </row>
    <row r="1099" spans="2:13" x14ac:dyDescent="0.25">
      <c r="B1099" s="33">
        <v>1</v>
      </c>
      <c r="C1099" t="s">
        <v>2</v>
      </c>
      <c r="D1099" t="s">
        <v>37</v>
      </c>
      <c r="E1099">
        <v>22</v>
      </c>
      <c r="F1099" s="2">
        <v>1.3698630136986301E-2</v>
      </c>
      <c r="H1099" s="33">
        <v>1</v>
      </c>
      <c r="I1099" t="s">
        <v>2</v>
      </c>
      <c r="J1099" t="s">
        <v>37</v>
      </c>
      <c r="K1099">
        <v>22</v>
      </c>
      <c r="L1099" s="63">
        <v>1.3698630136986301E-2</v>
      </c>
      <c r="M1099">
        <v>5</v>
      </c>
    </row>
    <row r="1100" spans="2:13" x14ac:dyDescent="0.25">
      <c r="B1100" s="33">
        <v>1</v>
      </c>
      <c r="C1100" t="s">
        <v>2</v>
      </c>
      <c r="D1100" t="s">
        <v>19</v>
      </c>
      <c r="E1100">
        <v>0</v>
      </c>
      <c r="F1100" s="2">
        <v>2.46575342465753E-2</v>
      </c>
      <c r="H1100" s="33">
        <v>1</v>
      </c>
      <c r="I1100" t="s">
        <v>2</v>
      </c>
      <c r="J1100" t="s">
        <v>19</v>
      </c>
      <c r="K1100">
        <v>0</v>
      </c>
      <c r="L1100" s="63">
        <v>4.1095890410958902E-2</v>
      </c>
      <c r="M1100">
        <v>18</v>
      </c>
    </row>
    <row r="1101" spans="2:13" x14ac:dyDescent="0.25">
      <c r="B1101" s="33">
        <v>1</v>
      </c>
      <c r="C1101" t="s">
        <v>307</v>
      </c>
      <c r="D1101" t="s">
        <v>309</v>
      </c>
      <c r="E1101">
        <v>8</v>
      </c>
      <c r="F1101" s="2">
        <v>1.3698630136986301E-2</v>
      </c>
      <c r="H1101" s="33">
        <v>1</v>
      </c>
      <c r="I1101" t="s">
        <v>307</v>
      </c>
      <c r="J1101" t="s">
        <v>309</v>
      </c>
      <c r="K1101">
        <v>8</v>
      </c>
      <c r="L1101" s="63">
        <v>1.3698630136986301E-2</v>
      </c>
      <c r="M1101">
        <v>5</v>
      </c>
    </row>
    <row r="1102" spans="2:13" x14ac:dyDescent="0.25">
      <c r="B1102" s="33">
        <v>1</v>
      </c>
      <c r="C1102" t="s">
        <v>292</v>
      </c>
      <c r="D1102" t="s">
        <v>297</v>
      </c>
      <c r="E1102">
        <v>8</v>
      </c>
      <c r="F1102" s="2">
        <v>5.4794520547945197E-3</v>
      </c>
      <c r="H1102" s="33">
        <v>1</v>
      </c>
      <c r="I1102" t="s">
        <v>292</v>
      </c>
      <c r="J1102" t="s">
        <v>297</v>
      </c>
      <c r="K1102">
        <v>8</v>
      </c>
      <c r="L1102" s="63">
        <v>5.4794520547945206E-3</v>
      </c>
      <c r="M1102">
        <v>2</v>
      </c>
    </row>
    <row r="1103" spans="2:13" x14ac:dyDescent="0.25">
      <c r="B1103" s="33">
        <v>1</v>
      </c>
      <c r="C1103" t="s">
        <v>307</v>
      </c>
      <c r="D1103" t="s">
        <v>310</v>
      </c>
      <c r="E1103">
        <v>15</v>
      </c>
      <c r="F1103" s="2">
        <v>5.4794520547945202E-2</v>
      </c>
      <c r="H1103" s="33">
        <v>1</v>
      </c>
      <c r="I1103" t="s">
        <v>307</v>
      </c>
      <c r="J1103" t="s">
        <v>310</v>
      </c>
      <c r="K1103">
        <v>15</v>
      </c>
      <c r="L1103" s="63">
        <v>5.2054794520547946E-2</v>
      </c>
      <c r="M1103">
        <v>20</v>
      </c>
    </row>
    <row r="1104" spans="2:13" x14ac:dyDescent="0.25">
      <c r="B1104" s="33">
        <v>1</v>
      </c>
      <c r="C1104" t="s">
        <v>0</v>
      </c>
      <c r="D1104" t="s">
        <v>79</v>
      </c>
      <c r="E1104">
        <v>18</v>
      </c>
      <c r="F1104" s="2">
        <v>2.7397260273972599E-3</v>
      </c>
      <c r="H1104" s="33">
        <v>1</v>
      </c>
      <c r="I1104" t="s">
        <v>0</v>
      </c>
      <c r="J1104" t="s">
        <v>79</v>
      </c>
      <c r="K1104">
        <v>18</v>
      </c>
      <c r="L1104" s="63">
        <v>5.4794520547945206E-3</v>
      </c>
      <c r="M1104">
        <v>2</v>
      </c>
    </row>
    <row r="1105" spans="2:13" x14ac:dyDescent="0.25">
      <c r="B1105" s="33">
        <v>1</v>
      </c>
      <c r="C1105" t="s">
        <v>231</v>
      </c>
      <c r="D1105" t="s">
        <v>186</v>
      </c>
      <c r="E1105">
        <v>1</v>
      </c>
      <c r="F1105" s="2">
        <v>8.21917808219178E-3</v>
      </c>
      <c r="H1105" s="33">
        <v>1</v>
      </c>
      <c r="I1105" t="s">
        <v>231</v>
      </c>
      <c r="J1105" t="s">
        <v>186</v>
      </c>
      <c r="K1105">
        <v>1</v>
      </c>
      <c r="L1105" s="63">
        <v>1.9178082191780823E-2</v>
      </c>
      <c r="M1105">
        <v>7</v>
      </c>
    </row>
    <row r="1106" spans="2:13" x14ac:dyDescent="0.25">
      <c r="B1106" s="33">
        <v>1</v>
      </c>
      <c r="C1106" t="s">
        <v>57</v>
      </c>
      <c r="D1106" t="s">
        <v>67</v>
      </c>
      <c r="E1106">
        <v>3</v>
      </c>
      <c r="F1106" s="2">
        <v>8.21917808219178E-3</v>
      </c>
      <c r="H1106" s="33">
        <v>1</v>
      </c>
      <c r="I1106" t="s">
        <v>57</v>
      </c>
      <c r="J1106" t="s">
        <v>67</v>
      </c>
      <c r="K1106">
        <v>3</v>
      </c>
      <c r="L1106" s="63">
        <v>2.1917808219178082E-2</v>
      </c>
      <c r="M1106">
        <v>8</v>
      </c>
    </row>
    <row r="1107" spans="2:13" x14ac:dyDescent="0.25">
      <c r="B1107" s="33">
        <v>1</v>
      </c>
      <c r="C1107" t="s">
        <v>231</v>
      </c>
      <c r="D1107" t="s">
        <v>189</v>
      </c>
      <c r="E1107">
        <v>3</v>
      </c>
      <c r="F1107" s="2">
        <v>8.21917808219178E-3</v>
      </c>
      <c r="H1107" s="33">
        <v>1</v>
      </c>
      <c r="I1107" t="s">
        <v>231</v>
      </c>
      <c r="J1107" t="s">
        <v>189</v>
      </c>
      <c r="K1107">
        <v>3</v>
      </c>
      <c r="L1107" s="63">
        <v>1.643835616438356E-2</v>
      </c>
      <c r="M1107">
        <v>6</v>
      </c>
    </row>
    <row r="1108" spans="2:13" x14ac:dyDescent="0.25">
      <c r="B1108" s="33">
        <v>1</v>
      </c>
      <c r="C1108" t="s">
        <v>307</v>
      </c>
      <c r="D1108" t="s">
        <v>309</v>
      </c>
      <c r="E1108">
        <v>1</v>
      </c>
      <c r="F1108" s="2">
        <v>5.4794520547945197E-3</v>
      </c>
      <c r="H1108" s="33">
        <v>1</v>
      </c>
      <c r="I1108" t="s">
        <v>307</v>
      </c>
      <c r="J1108" t="s">
        <v>309</v>
      </c>
      <c r="K1108">
        <v>1</v>
      </c>
      <c r="L1108" s="63">
        <v>5.4794520547945206E-3</v>
      </c>
      <c r="M1108">
        <v>2</v>
      </c>
    </row>
    <row r="1109" spans="2:13" x14ac:dyDescent="0.25">
      <c r="B1109" s="33">
        <v>1</v>
      </c>
      <c r="C1109" t="s">
        <v>0</v>
      </c>
      <c r="D1109" t="s">
        <v>56</v>
      </c>
      <c r="E1109">
        <v>2</v>
      </c>
      <c r="F1109" s="2">
        <v>8.21917808219178E-3</v>
      </c>
      <c r="H1109" s="33">
        <v>1</v>
      </c>
      <c r="I1109" t="s">
        <v>0</v>
      </c>
      <c r="J1109" t="s">
        <v>56</v>
      </c>
      <c r="K1109">
        <v>2</v>
      </c>
      <c r="L1109" s="63">
        <v>3.8356164383561646E-2</v>
      </c>
      <c r="M1109">
        <v>16</v>
      </c>
    </row>
    <row r="1110" spans="2:13" x14ac:dyDescent="0.25">
      <c r="B1110" s="33">
        <v>1</v>
      </c>
      <c r="C1110" t="s">
        <v>2</v>
      </c>
      <c r="D1110" t="s">
        <v>28</v>
      </c>
      <c r="E1110">
        <v>7</v>
      </c>
      <c r="F1110" s="2">
        <v>3.8356164383561597E-2</v>
      </c>
      <c r="H1110" s="33">
        <v>1</v>
      </c>
      <c r="I1110" t="s">
        <v>2</v>
      </c>
      <c r="J1110" t="s">
        <v>28</v>
      </c>
      <c r="K1110">
        <v>7</v>
      </c>
      <c r="L1110" s="63">
        <v>8.2191780821917804E-2</v>
      </c>
      <c r="M1110">
        <v>31</v>
      </c>
    </row>
    <row r="1111" spans="2:13" x14ac:dyDescent="0.25">
      <c r="B1111" s="33">
        <v>1</v>
      </c>
      <c r="C1111" t="s">
        <v>307</v>
      </c>
      <c r="D1111" t="s">
        <v>309</v>
      </c>
      <c r="E1111">
        <v>18</v>
      </c>
      <c r="F1111" s="2">
        <v>4.3835616438356199E-2</v>
      </c>
      <c r="H1111" s="33">
        <v>1</v>
      </c>
      <c r="I1111" t="s">
        <v>307</v>
      </c>
      <c r="J1111" t="s">
        <v>309</v>
      </c>
      <c r="K1111">
        <v>18</v>
      </c>
      <c r="L1111" s="63">
        <v>4.3835616438356165E-2</v>
      </c>
      <c r="M1111">
        <v>16</v>
      </c>
    </row>
    <row r="1112" spans="2:13" x14ac:dyDescent="0.25">
      <c r="B1112" s="33">
        <v>1</v>
      </c>
      <c r="C1112" t="s">
        <v>2</v>
      </c>
      <c r="D1112" t="s">
        <v>28</v>
      </c>
      <c r="E1112">
        <v>20</v>
      </c>
      <c r="F1112" s="2">
        <v>3.5616438356164397E-2</v>
      </c>
      <c r="H1112" s="33">
        <v>1</v>
      </c>
      <c r="I1112" t="s">
        <v>2</v>
      </c>
      <c r="J1112" t="s">
        <v>28</v>
      </c>
      <c r="K1112">
        <v>20</v>
      </c>
      <c r="L1112" s="63">
        <v>7.6712328767123292E-2</v>
      </c>
      <c r="M1112">
        <v>29</v>
      </c>
    </row>
    <row r="1113" spans="2:13" x14ac:dyDescent="0.25">
      <c r="B1113" s="33">
        <v>1</v>
      </c>
      <c r="C1113" t="s">
        <v>231</v>
      </c>
      <c r="D1113" t="s">
        <v>184</v>
      </c>
      <c r="E1113">
        <v>4</v>
      </c>
      <c r="F1113" s="2">
        <v>8.21917808219178E-3</v>
      </c>
      <c r="H1113" s="33">
        <v>1</v>
      </c>
      <c r="I1113" t="s">
        <v>231</v>
      </c>
      <c r="J1113" t="s">
        <v>184</v>
      </c>
      <c r="K1113">
        <v>4</v>
      </c>
      <c r="L1113" s="63">
        <v>1.3698630136986301E-2</v>
      </c>
      <c r="M1113">
        <v>5</v>
      </c>
    </row>
    <row r="1114" spans="2:13" x14ac:dyDescent="0.25">
      <c r="B1114" s="33">
        <v>1</v>
      </c>
      <c r="C1114" t="s">
        <v>307</v>
      </c>
      <c r="D1114" t="s">
        <v>393</v>
      </c>
      <c r="E1114">
        <v>7</v>
      </c>
      <c r="F1114" s="2">
        <v>2.46575342465753E-2</v>
      </c>
      <c r="H1114" s="33">
        <v>1</v>
      </c>
      <c r="I1114" t="s">
        <v>307</v>
      </c>
      <c r="J1114" t="s">
        <v>393</v>
      </c>
      <c r="K1114">
        <v>7</v>
      </c>
      <c r="L1114" s="63">
        <v>2.4657534246575342E-2</v>
      </c>
      <c r="M1114">
        <v>9</v>
      </c>
    </row>
    <row r="1115" spans="2:13" x14ac:dyDescent="0.25">
      <c r="B1115" s="33">
        <v>1</v>
      </c>
      <c r="C1115" t="s">
        <v>292</v>
      </c>
      <c r="D1115" t="s">
        <v>297</v>
      </c>
      <c r="E1115">
        <v>15</v>
      </c>
      <c r="F1115" s="2">
        <v>1.6438356164383602E-2</v>
      </c>
      <c r="H1115" s="33">
        <v>1</v>
      </c>
      <c r="I1115" t="s">
        <v>292</v>
      </c>
      <c r="J1115" t="s">
        <v>297</v>
      </c>
      <c r="K1115">
        <v>15</v>
      </c>
      <c r="L1115" s="63">
        <v>1.643835616438356E-2</v>
      </c>
      <c r="M1115">
        <v>6</v>
      </c>
    </row>
    <row r="1116" spans="2:13" x14ac:dyDescent="0.25">
      <c r="B1116" s="33">
        <v>1</v>
      </c>
      <c r="C1116" t="s">
        <v>292</v>
      </c>
      <c r="D1116" t="s">
        <v>297</v>
      </c>
      <c r="E1116">
        <v>19</v>
      </c>
      <c r="F1116" s="2">
        <v>8.21917808219178E-3</v>
      </c>
      <c r="H1116" s="33">
        <v>1</v>
      </c>
      <c r="I1116" t="s">
        <v>292</v>
      </c>
      <c r="J1116" t="s">
        <v>297</v>
      </c>
      <c r="K1116">
        <v>19</v>
      </c>
      <c r="L1116" s="63">
        <v>8.21917808219178E-3</v>
      </c>
      <c r="M1116">
        <v>3</v>
      </c>
    </row>
    <row r="1117" spans="2:13" x14ac:dyDescent="0.25">
      <c r="B1117" s="33">
        <v>1</v>
      </c>
      <c r="C1117" t="s">
        <v>0</v>
      </c>
      <c r="D1117" t="s">
        <v>56</v>
      </c>
      <c r="E1117">
        <v>1</v>
      </c>
      <c r="F1117" s="2">
        <v>1.9178082191780799E-2</v>
      </c>
      <c r="H1117" s="33">
        <v>1</v>
      </c>
      <c r="I1117" t="s">
        <v>0</v>
      </c>
      <c r="J1117" t="s">
        <v>56</v>
      </c>
      <c r="K1117">
        <v>1</v>
      </c>
      <c r="L1117" s="63">
        <v>4.1095890410958902E-2</v>
      </c>
      <c r="M1117">
        <v>15</v>
      </c>
    </row>
    <row r="1118" spans="2:13" x14ac:dyDescent="0.25">
      <c r="B1118" s="33">
        <v>1</v>
      </c>
      <c r="C1118" t="s">
        <v>231</v>
      </c>
      <c r="D1118" t="s">
        <v>187</v>
      </c>
      <c r="E1118">
        <v>2</v>
      </c>
      <c r="F1118" s="2">
        <v>2.19178082191781E-2</v>
      </c>
      <c r="H1118" s="33">
        <v>1</v>
      </c>
      <c r="I1118" t="s">
        <v>231</v>
      </c>
      <c r="J1118" t="s">
        <v>187</v>
      </c>
      <c r="K1118">
        <v>2</v>
      </c>
      <c r="L1118" s="63">
        <v>3.8356164383561646E-2</v>
      </c>
      <c r="M1118">
        <v>14</v>
      </c>
    </row>
    <row r="1119" spans="2:13" x14ac:dyDescent="0.25">
      <c r="B1119" s="33">
        <v>1</v>
      </c>
      <c r="C1119" t="s">
        <v>292</v>
      </c>
      <c r="D1119" t="s">
        <v>320</v>
      </c>
      <c r="E1119">
        <v>7</v>
      </c>
      <c r="F1119" s="2">
        <v>2.46575342465753E-2</v>
      </c>
      <c r="H1119" s="33">
        <v>1</v>
      </c>
      <c r="I1119" t="s">
        <v>292</v>
      </c>
      <c r="J1119" t="s">
        <v>320</v>
      </c>
      <c r="K1119">
        <v>7</v>
      </c>
      <c r="L1119" s="63">
        <v>2.4657534246575342E-2</v>
      </c>
      <c r="M1119">
        <v>9</v>
      </c>
    </row>
    <row r="1120" spans="2:13" x14ac:dyDescent="0.25">
      <c r="B1120" s="33">
        <v>1</v>
      </c>
      <c r="C1120" t="s">
        <v>307</v>
      </c>
      <c r="D1120" t="s">
        <v>312</v>
      </c>
      <c r="E1120">
        <v>7</v>
      </c>
      <c r="F1120" s="2">
        <v>2.19178082191781E-2</v>
      </c>
      <c r="H1120" s="33">
        <v>1</v>
      </c>
      <c r="I1120" t="s">
        <v>307</v>
      </c>
      <c r="J1120" t="s">
        <v>312</v>
      </c>
      <c r="K1120">
        <v>7</v>
      </c>
      <c r="L1120" s="63">
        <v>1.9178082191780823E-2</v>
      </c>
      <c r="M1120">
        <v>8</v>
      </c>
    </row>
    <row r="1121" spans="2:13" x14ac:dyDescent="0.25">
      <c r="B1121" s="33">
        <v>1</v>
      </c>
      <c r="C1121" t="s">
        <v>276</v>
      </c>
      <c r="D1121" t="s">
        <v>319</v>
      </c>
      <c r="E1121">
        <v>20</v>
      </c>
      <c r="F1121" s="2">
        <v>2.7397260273972599E-3</v>
      </c>
      <c r="H1121" s="33">
        <v>1</v>
      </c>
      <c r="I1121" t="s">
        <v>276</v>
      </c>
      <c r="J1121" t="s">
        <v>319</v>
      </c>
      <c r="K1121">
        <v>20</v>
      </c>
      <c r="L1121" s="63">
        <v>2.7397260273972603E-3</v>
      </c>
      <c r="M1121">
        <v>1</v>
      </c>
    </row>
    <row r="1122" spans="2:13" x14ac:dyDescent="0.25">
      <c r="B1122" s="33">
        <v>1</v>
      </c>
      <c r="C1122" t="s">
        <v>231</v>
      </c>
      <c r="D1122" t="s">
        <v>190</v>
      </c>
      <c r="E1122">
        <v>13</v>
      </c>
      <c r="F1122" s="2">
        <v>3.5616438356164397E-2</v>
      </c>
      <c r="H1122" s="33">
        <v>1</v>
      </c>
      <c r="I1122" t="s">
        <v>231</v>
      </c>
      <c r="J1122" t="s">
        <v>190</v>
      </c>
      <c r="K1122">
        <v>13</v>
      </c>
      <c r="L1122" s="63">
        <v>3.8356164383561646E-2</v>
      </c>
      <c r="M1122">
        <v>15</v>
      </c>
    </row>
    <row r="1123" spans="2:13" x14ac:dyDescent="0.25">
      <c r="B1123" s="33">
        <v>1</v>
      </c>
      <c r="C1123" t="s">
        <v>57</v>
      </c>
      <c r="D1123" t="s">
        <v>77</v>
      </c>
      <c r="E1123">
        <v>0</v>
      </c>
      <c r="F1123" s="2">
        <v>2.7397260273972599E-3</v>
      </c>
      <c r="H1123" s="33">
        <v>1</v>
      </c>
      <c r="I1123" t="s">
        <v>57</v>
      </c>
      <c r="J1123" t="s">
        <v>77</v>
      </c>
      <c r="K1123">
        <v>0</v>
      </c>
      <c r="L1123" s="63">
        <v>2.4657534246575342E-2</v>
      </c>
      <c r="M1123">
        <v>11</v>
      </c>
    </row>
    <row r="1124" spans="2:13" x14ac:dyDescent="0.25">
      <c r="B1124" s="33">
        <v>1</v>
      </c>
      <c r="C1124" t="s">
        <v>0</v>
      </c>
      <c r="D1124" t="s">
        <v>79</v>
      </c>
      <c r="E1124">
        <v>5</v>
      </c>
      <c r="F1124" s="2">
        <v>2.7397260273972599E-3</v>
      </c>
      <c r="H1124" s="33">
        <v>1</v>
      </c>
      <c r="I1124" t="s">
        <v>0</v>
      </c>
      <c r="J1124" t="s">
        <v>79</v>
      </c>
      <c r="K1124">
        <v>5</v>
      </c>
      <c r="L1124" s="63">
        <v>5.4794520547945206E-3</v>
      </c>
      <c r="M1124">
        <v>2</v>
      </c>
    </row>
    <row r="1125" spans="2:13" x14ac:dyDescent="0.25">
      <c r="B1125" s="33">
        <v>1</v>
      </c>
      <c r="C1125" t="s">
        <v>231</v>
      </c>
      <c r="D1125" t="s">
        <v>186</v>
      </c>
      <c r="E1125">
        <v>7</v>
      </c>
      <c r="F1125" s="2">
        <v>1.0958904109589E-2</v>
      </c>
      <c r="H1125" s="33">
        <v>1</v>
      </c>
      <c r="I1125" t="s">
        <v>231</v>
      </c>
      <c r="J1125" t="s">
        <v>186</v>
      </c>
      <c r="K1125">
        <v>7</v>
      </c>
      <c r="L1125" s="63">
        <v>1.0958904109589041E-2</v>
      </c>
      <c r="M1125">
        <v>4</v>
      </c>
    </row>
    <row r="1126" spans="2:13" x14ac:dyDescent="0.25">
      <c r="B1126" s="33">
        <v>1</v>
      </c>
      <c r="C1126" t="s">
        <v>292</v>
      </c>
      <c r="D1126" t="s">
        <v>321</v>
      </c>
      <c r="E1126">
        <v>10</v>
      </c>
      <c r="F1126" s="2">
        <v>4.1095890410958902E-2</v>
      </c>
      <c r="H1126" s="33">
        <v>1</v>
      </c>
      <c r="I1126" t="s">
        <v>292</v>
      </c>
      <c r="J1126" t="s">
        <v>321</v>
      </c>
      <c r="K1126">
        <v>10</v>
      </c>
      <c r="L1126" s="63">
        <v>3.5616438356164383E-2</v>
      </c>
      <c r="M1126">
        <v>15</v>
      </c>
    </row>
    <row r="1127" spans="2:13" x14ac:dyDescent="0.25">
      <c r="B1127" s="33">
        <v>1</v>
      </c>
      <c r="C1127" t="s">
        <v>0</v>
      </c>
      <c r="D1127" t="s">
        <v>79</v>
      </c>
      <c r="E1127">
        <v>20</v>
      </c>
      <c r="F1127" s="2">
        <v>5.4794520547945197E-3</v>
      </c>
      <c r="H1127" s="33">
        <v>1</v>
      </c>
      <c r="I1127" t="s">
        <v>0</v>
      </c>
      <c r="J1127" t="s">
        <v>79</v>
      </c>
      <c r="K1127">
        <v>20</v>
      </c>
      <c r="L1127" s="63">
        <v>2.1917808219178082E-2</v>
      </c>
      <c r="M1127">
        <v>9</v>
      </c>
    </row>
    <row r="1128" spans="2:13" x14ac:dyDescent="0.25">
      <c r="B1128" s="33">
        <v>1</v>
      </c>
      <c r="C1128" t="s">
        <v>57</v>
      </c>
      <c r="D1128" t="s">
        <v>69</v>
      </c>
      <c r="E1128">
        <v>22</v>
      </c>
      <c r="F1128" s="2">
        <v>5.4794520547945197E-3</v>
      </c>
      <c r="H1128" s="33">
        <v>1</v>
      </c>
      <c r="I1128" t="s">
        <v>57</v>
      </c>
      <c r="J1128" t="s">
        <v>69</v>
      </c>
      <c r="K1128">
        <v>22</v>
      </c>
      <c r="L1128" s="63">
        <v>3.287671232876712E-2</v>
      </c>
      <c r="M1128">
        <v>15</v>
      </c>
    </row>
    <row r="1129" spans="2:13" x14ac:dyDescent="0.25">
      <c r="B1129" s="33">
        <v>1</v>
      </c>
      <c r="C1129" t="s">
        <v>2</v>
      </c>
      <c r="D1129" t="s">
        <v>36</v>
      </c>
      <c r="E1129">
        <v>23</v>
      </c>
      <c r="F1129" s="2">
        <v>1.9178082191780799E-2</v>
      </c>
      <c r="H1129" s="33">
        <v>1</v>
      </c>
      <c r="I1129" t="s">
        <v>2</v>
      </c>
      <c r="J1129" t="s">
        <v>36</v>
      </c>
      <c r="K1129">
        <v>23</v>
      </c>
      <c r="L1129" s="63">
        <v>2.1917808219178082E-2</v>
      </c>
      <c r="M1129">
        <v>9</v>
      </c>
    </row>
    <row r="1130" spans="2:13" x14ac:dyDescent="0.25">
      <c r="B1130" s="33">
        <v>1</v>
      </c>
      <c r="C1130" t="s">
        <v>307</v>
      </c>
      <c r="D1130" t="s">
        <v>394</v>
      </c>
      <c r="E1130">
        <v>23</v>
      </c>
      <c r="F1130" s="2">
        <v>5.4794520547945197E-3</v>
      </c>
      <c r="H1130" s="33">
        <v>1</v>
      </c>
      <c r="I1130" t="s">
        <v>307</v>
      </c>
      <c r="J1130" t="s">
        <v>314</v>
      </c>
      <c r="K1130">
        <v>23</v>
      </c>
      <c r="L1130" s="63">
        <v>5.4794520547945206E-3</v>
      </c>
      <c r="M1130">
        <v>2</v>
      </c>
    </row>
    <row r="1131" spans="2:13" x14ac:dyDescent="0.25">
      <c r="B1131" s="33">
        <v>1</v>
      </c>
      <c r="C1131" t="s">
        <v>231</v>
      </c>
      <c r="D1131" t="s">
        <v>186</v>
      </c>
      <c r="E1131">
        <v>2</v>
      </c>
      <c r="F1131" s="2">
        <v>2.7397260273972599E-3</v>
      </c>
      <c r="H1131" s="33">
        <v>1</v>
      </c>
      <c r="I1131" t="s">
        <v>231</v>
      </c>
      <c r="J1131" t="s">
        <v>186</v>
      </c>
      <c r="K1131">
        <v>2</v>
      </c>
      <c r="L1131" s="63">
        <v>8.21917808219178E-3</v>
      </c>
      <c r="M1131">
        <v>3</v>
      </c>
    </row>
    <row r="1132" spans="2:13" x14ac:dyDescent="0.25">
      <c r="B1132" s="33">
        <v>1</v>
      </c>
      <c r="C1132" t="s">
        <v>57</v>
      </c>
      <c r="D1132" t="s">
        <v>58</v>
      </c>
      <c r="E1132">
        <v>5</v>
      </c>
      <c r="F1132" s="2">
        <v>2.46575342465753E-2</v>
      </c>
      <c r="H1132" s="33">
        <v>1</v>
      </c>
      <c r="I1132" t="s">
        <v>57</v>
      </c>
      <c r="J1132" t="s">
        <v>58</v>
      </c>
      <c r="K1132">
        <v>5</v>
      </c>
      <c r="L1132" s="63">
        <v>2.4657534246575342E-2</v>
      </c>
      <c r="M1132">
        <v>10</v>
      </c>
    </row>
    <row r="1133" spans="2:13" x14ac:dyDescent="0.25">
      <c r="B1133" s="33">
        <v>1</v>
      </c>
      <c r="C1133" t="s">
        <v>2</v>
      </c>
      <c r="D1133" t="s">
        <v>26</v>
      </c>
      <c r="E1133">
        <v>6</v>
      </c>
      <c r="F1133" s="2">
        <v>1.0958904109589E-2</v>
      </c>
      <c r="H1133" s="33">
        <v>1</v>
      </c>
      <c r="I1133" t="s">
        <v>2</v>
      </c>
      <c r="J1133" t="s">
        <v>26</v>
      </c>
      <c r="K1133">
        <v>6</v>
      </c>
      <c r="L1133" s="63">
        <v>2.1917808219178082E-2</v>
      </c>
      <c r="M1133">
        <v>8</v>
      </c>
    </row>
    <row r="1134" spans="2:13" x14ac:dyDescent="0.25">
      <c r="B1134" s="33">
        <v>1</v>
      </c>
      <c r="C1134" t="s">
        <v>59</v>
      </c>
      <c r="D1134" t="s">
        <v>76</v>
      </c>
      <c r="E1134">
        <v>7</v>
      </c>
      <c r="F1134" s="2">
        <v>2.19178082191781E-2</v>
      </c>
      <c r="H1134" s="33">
        <v>1</v>
      </c>
      <c r="I1134" t="s">
        <v>59</v>
      </c>
      <c r="J1134" t="s">
        <v>76</v>
      </c>
      <c r="K1134">
        <v>7</v>
      </c>
      <c r="L1134" s="63">
        <v>2.1917808219178082E-2</v>
      </c>
      <c r="M1134">
        <v>9</v>
      </c>
    </row>
    <row r="1135" spans="2:13" x14ac:dyDescent="0.25">
      <c r="B1135" s="33">
        <v>1</v>
      </c>
      <c r="C1135" t="s">
        <v>276</v>
      </c>
      <c r="D1135" t="s">
        <v>318</v>
      </c>
      <c r="E1135">
        <v>7</v>
      </c>
      <c r="F1135" s="2">
        <v>1.6438356164383602E-2</v>
      </c>
      <c r="H1135" s="33">
        <v>1</v>
      </c>
      <c r="I1135" t="s">
        <v>276</v>
      </c>
      <c r="J1135" t="s">
        <v>318</v>
      </c>
      <c r="K1135">
        <v>7</v>
      </c>
      <c r="L1135" s="63">
        <v>1.0958904109589041E-2</v>
      </c>
      <c r="M1135">
        <v>6</v>
      </c>
    </row>
    <row r="1136" spans="2:13" x14ac:dyDescent="0.25">
      <c r="B1136" s="33">
        <v>1</v>
      </c>
      <c r="C1136" t="s">
        <v>57</v>
      </c>
      <c r="D1136" t="s">
        <v>77</v>
      </c>
      <c r="E1136">
        <v>7</v>
      </c>
      <c r="F1136" s="2">
        <v>1.6438356164383602E-2</v>
      </c>
      <c r="H1136" s="33">
        <v>1</v>
      </c>
      <c r="I1136" t="s">
        <v>57</v>
      </c>
      <c r="J1136" t="s">
        <v>77</v>
      </c>
      <c r="K1136">
        <v>7</v>
      </c>
      <c r="L1136" s="63">
        <v>2.1917808219178082E-2</v>
      </c>
      <c r="M1136">
        <v>8</v>
      </c>
    </row>
    <row r="1137" spans="2:13" x14ac:dyDescent="0.25">
      <c r="B1137" s="33">
        <v>1</v>
      </c>
      <c r="C1137" t="s">
        <v>276</v>
      </c>
      <c r="D1137" t="s">
        <v>318</v>
      </c>
      <c r="E1137">
        <v>18</v>
      </c>
      <c r="F1137" s="2">
        <v>5.4794520547945197E-3</v>
      </c>
      <c r="H1137" s="33">
        <v>1</v>
      </c>
      <c r="I1137" t="s">
        <v>276</v>
      </c>
      <c r="J1137" t="s">
        <v>318</v>
      </c>
      <c r="K1137">
        <v>18</v>
      </c>
      <c r="L1137" s="63">
        <v>5.4794520547945206E-3</v>
      </c>
      <c r="M1137">
        <v>2</v>
      </c>
    </row>
    <row r="1138" spans="2:13" x14ac:dyDescent="0.25">
      <c r="B1138" s="33">
        <v>1</v>
      </c>
      <c r="C1138" t="s">
        <v>59</v>
      </c>
      <c r="D1138" t="s">
        <v>68</v>
      </c>
      <c r="E1138">
        <v>2</v>
      </c>
      <c r="F1138" s="2">
        <v>1.6438356164383602E-2</v>
      </c>
      <c r="H1138" s="33">
        <v>1</v>
      </c>
      <c r="I1138" t="s">
        <v>59</v>
      </c>
      <c r="J1138" t="s">
        <v>68</v>
      </c>
      <c r="K1138">
        <v>2</v>
      </c>
      <c r="L1138" s="63">
        <v>2.4657534246575342E-2</v>
      </c>
      <c r="M1138">
        <v>9</v>
      </c>
    </row>
    <row r="1139" spans="2:13" x14ac:dyDescent="0.25">
      <c r="B1139" s="33">
        <v>1</v>
      </c>
      <c r="C1139" t="s">
        <v>0</v>
      </c>
      <c r="D1139" t="s">
        <v>79</v>
      </c>
      <c r="E1139">
        <v>4</v>
      </c>
      <c r="F1139" s="2">
        <v>5.4794520547945197E-3</v>
      </c>
      <c r="H1139" s="33">
        <v>1</v>
      </c>
      <c r="I1139" t="s">
        <v>0</v>
      </c>
      <c r="J1139" t="s">
        <v>79</v>
      </c>
      <c r="K1139">
        <v>4</v>
      </c>
      <c r="L1139" s="63">
        <v>8.21917808219178E-3</v>
      </c>
      <c r="M1139">
        <v>4</v>
      </c>
    </row>
    <row r="1140" spans="2:13" x14ac:dyDescent="0.25">
      <c r="B1140" s="33">
        <v>1</v>
      </c>
      <c r="C1140" t="s">
        <v>0</v>
      </c>
      <c r="D1140" t="s">
        <v>78</v>
      </c>
      <c r="E1140">
        <v>14</v>
      </c>
      <c r="F1140" s="2">
        <v>1.3698630136986301E-2</v>
      </c>
      <c r="H1140" s="33">
        <v>1</v>
      </c>
      <c r="I1140" t="s">
        <v>0</v>
      </c>
      <c r="J1140" t="s">
        <v>78</v>
      </c>
      <c r="K1140">
        <v>14</v>
      </c>
      <c r="L1140" s="63">
        <v>2.1917808219178082E-2</v>
      </c>
      <c r="M1140">
        <v>8</v>
      </c>
    </row>
    <row r="1141" spans="2:13" x14ac:dyDescent="0.25">
      <c r="B1141" s="33">
        <v>1</v>
      </c>
      <c r="C1141" t="s">
        <v>276</v>
      </c>
      <c r="D1141" t="s">
        <v>290</v>
      </c>
      <c r="E1141">
        <v>7</v>
      </c>
      <c r="F1141" s="2">
        <v>1.9178082191780799E-2</v>
      </c>
      <c r="H1141" s="33">
        <v>1</v>
      </c>
      <c r="I1141" t="s">
        <v>276</v>
      </c>
      <c r="J1141" t="s">
        <v>290</v>
      </c>
      <c r="K1141">
        <v>7</v>
      </c>
      <c r="L1141" s="63">
        <v>1.9178082191780823E-2</v>
      </c>
      <c r="M1141">
        <v>7</v>
      </c>
    </row>
    <row r="1142" spans="2:13" x14ac:dyDescent="0.25">
      <c r="B1142" s="33">
        <v>1</v>
      </c>
      <c r="C1142" t="s">
        <v>307</v>
      </c>
      <c r="D1142" t="s">
        <v>313</v>
      </c>
      <c r="E1142">
        <v>20</v>
      </c>
      <c r="F1142" s="2">
        <v>1.6438356164383602E-2</v>
      </c>
      <c r="H1142" s="33">
        <v>1</v>
      </c>
      <c r="I1142" t="s">
        <v>307</v>
      </c>
      <c r="J1142" t="s">
        <v>313</v>
      </c>
      <c r="K1142">
        <v>20</v>
      </c>
      <c r="L1142" s="63">
        <v>1.643835616438356E-2</v>
      </c>
      <c r="M1142">
        <v>6</v>
      </c>
    </row>
    <row r="1143" spans="2:13" x14ac:dyDescent="0.25">
      <c r="B1143" s="33">
        <v>1</v>
      </c>
      <c r="C1143" t="s">
        <v>2</v>
      </c>
      <c r="D1143" t="s">
        <v>26</v>
      </c>
      <c r="E1143">
        <v>2</v>
      </c>
      <c r="F1143" s="2">
        <v>2.46575342465753E-2</v>
      </c>
      <c r="H1143" s="33">
        <v>1</v>
      </c>
      <c r="I1143" t="s">
        <v>2</v>
      </c>
      <c r="J1143" t="s">
        <v>26</v>
      </c>
      <c r="K1143">
        <v>2</v>
      </c>
      <c r="L1143" s="63">
        <v>3.0136986301369864E-2</v>
      </c>
      <c r="M1143">
        <v>12</v>
      </c>
    </row>
    <row r="1144" spans="2:13" x14ac:dyDescent="0.25">
      <c r="B1144" s="33">
        <v>1</v>
      </c>
      <c r="C1144" t="s">
        <v>307</v>
      </c>
      <c r="D1144" t="s">
        <v>312</v>
      </c>
      <c r="E1144">
        <v>2</v>
      </c>
      <c r="F1144" s="2">
        <v>1.3698630136986301E-2</v>
      </c>
      <c r="H1144" s="33">
        <v>1</v>
      </c>
      <c r="I1144" t="s">
        <v>307</v>
      </c>
      <c r="J1144" t="s">
        <v>312</v>
      </c>
      <c r="K1144">
        <v>2</v>
      </c>
      <c r="L1144" s="63">
        <v>1.3698630136986301E-2</v>
      </c>
      <c r="M1144">
        <v>5</v>
      </c>
    </row>
    <row r="1145" spans="2:13" x14ac:dyDescent="0.25">
      <c r="B1145" s="33">
        <v>1</v>
      </c>
      <c r="C1145" t="s">
        <v>231</v>
      </c>
      <c r="D1145" t="s">
        <v>184</v>
      </c>
      <c r="E1145">
        <v>6</v>
      </c>
      <c r="F1145" s="2">
        <v>3.0136986301369899E-2</v>
      </c>
      <c r="H1145" s="33">
        <v>1</v>
      </c>
      <c r="I1145" t="s">
        <v>231</v>
      </c>
      <c r="J1145" t="s">
        <v>184</v>
      </c>
      <c r="K1145">
        <v>6</v>
      </c>
      <c r="L1145" s="63">
        <v>3.8356164383561646E-2</v>
      </c>
      <c r="M1145">
        <v>15</v>
      </c>
    </row>
    <row r="1146" spans="2:13" x14ac:dyDescent="0.25">
      <c r="B1146" s="33">
        <v>1</v>
      </c>
      <c r="C1146" t="s">
        <v>2</v>
      </c>
      <c r="D1146" t="s">
        <v>32</v>
      </c>
      <c r="E1146">
        <v>11</v>
      </c>
      <c r="F1146" s="2">
        <v>5.4794520547945197E-3</v>
      </c>
      <c r="H1146" s="33">
        <v>1</v>
      </c>
      <c r="I1146" t="s">
        <v>2</v>
      </c>
      <c r="J1146" t="s">
        <v>32</v>
      </c>
      <c r="K1146">
        <v>11</v>
      </c>
      <c r="L1146" s="63">
        <v>5.4794520547945206E-3</v>
      </c>
      <c r="M1146">
        <v>2</v>
      </c>
    </row>
    <row r="1147" spans="2:13" x14ac:dyDescent="0.25">
      <c r="B1147" s="33">
        <v>1</v>
      </c>
      <c r="C1147" t="s">
        <v>292</v>
      </c>
      <c r="D1147" t="s">
        <v>320</v>
      </c>
      <c r="E1147">
        <v>12</v>
      </c>
      <c r="F1147" s="2">
        <v>1.3698630136986301E-2</v>
      </c>
      <c r="H1147" s="33">
        <v>1</v>
      </c>
      <c r="I1147" t="s">
        <v>292</v>
      </c>
      <c r="J1147" t="s">
        <v>320</v>
      </c>
      <c r="K1147">
        <v>12</v>
      </c>
      <c r="L1147" s="63">
        <v>1.3698630136986301E-2</v>
      </c>
      <c r="M1147">
        <v>5</v>
      </c>
    </row>
    <row r="1148" spans="2:13" x14ac:dyDescent="0.25">
      <c r="B1148" s="33">
        <v>1</v>
      </c>
      <c r="C1148" t="s">
        <v>276</v>
      </c>
      <c r="D1148" t="s">
        <v>291</v>
      </c>
      <c r="E1148">
        <v>23</v>
      </c>
      <c r="F1148" s="2">
        <v>1.0958904109589E-2</v>
      </c>
      <c r="H1148" s="33">
        <v>1</v>
      </c>
      <c r="I1148" t="s">
        <v>276</v>
      </c>
      <c r="J1148" t="s">
        <v>291</v>
      </c>
      <c r="K1148">
        <v>23</v>
      </c>
      <c r="L1148" s="63">
        <v>1.0958904109589041E-2</v>
      </c>
      <c r="M1148">
        <v>4</v>
      </c>
    </row>
    <row r="1149" spans="2:13" x14ac:dyDescent="0.25">
      <c r="B1149" s="33">
        <v>1</v>
      </c>
      <c r="C1149" t="s">
        <v>307</v>
      </c>
      <c r="D1149" t="s">
        <v>313</v>
      </c>
      <c r="E1149">
        <v>2</v>
      </c>
      <c r="F1149" s="2">
        <v>1.0958904109589E-2</v>
      </c>
      <c r="H1149" s="33">
        <v>1</v>
      </c>
      <c r="I1149" t="s">
        <v>307</v>
      </c>
      <c r="J1149" t="s">
        <v>313</v>
      </c>
      <c r="K1149">
        <v>2</v>
      </c>
      <c r="L1149" s="63">
        <v>1.0958904109589041E-2</v>
      </c>
      <c r="M1149">
        <v>4</v>
      </c>
    </row>
    <row r="1150" spans="2:13" x14ac:dyDescent="0.25">
      <c r="B1150" s="33">
        <v>1</v>
      </c>
      <c r="C1150" t="s">
        <v>307</v>
      </c>
      <c r="D1150" t="s">
        <v>394</v>
      </c>
      <c r="E1150">
        <v>10</v>
      </c>
      <c r="F1150" s="2">
        <v>3.8356164383561597E-2</v>
      </c>
      <c r="H1150" s="33">
        <v>1</v>
      </c>
      <c r="I1150" t="s">
        <v>307</v>
      </c>
      <c r="J1150" t="s">
        <v>314</v>
      </c>
      <c r="K1150">
        <v>10</v>
      </c>
      <c r="L1150" s="63">
        <v>3.287671232876712E-2</v>
      </c>
      <c r="M1150">
        <v>14</v>
      </c>
    </row>
    <row r="1151" spans="2:13" x14ac:dyDescent="0.25">
      <c r="B1151" s="33">
        <v>1</v>
      </c>
      <c r="C1151" t="s">
        <v>307</v>
      </c>
      <c r="D1151" t="s">
        <v>310</v>
      </c>
      <c r="E1151">
        <v>8</v>
      </c>
      <c r="F1151" s="2">
        <v>3.0136986301369899E-2</v>
      </c>
      <c r="H1151" s="33">
        <v>1</v>
      </c>
      <c r="I1151" t="s">
        <v>307</v>
      </c>
      <c r="J1151" t="s">
        <v>310</v>
      </c>
      <c r="K1151">
        <v>8</v>
      </c>
      <c r="L1151" s="63">
        <v>2.7397260273972601E-2</v>
      </c>
      <c r="M1151">
        <v>11</v>
      </c>
    </row>
    <row r="1152" spans="2:13" x14ac:dyDescent="0.25">
      <c r="B1152" s="33">
        <v>1</v>
      </c>
      <c r="C1152" t="s">
        <v>307</v>
      </c>
      <c r="D1152" t="s">
        <v>309</v>
      </c>
      <c r="E1152">
        <v>21</v>
      </c>
      <c r="F1152" s="2">
        <v>1.3698630136986301E-2</v>
      </c>
      <c r="H1152" s="33">
        <v>1</v>
      </c>
      <c r="I1152" t="s">
        <v>307</v>
      </c>
      <c r="J1152" t="s">
        <v>309</v>
      </c>
      <c r="K1152">
        <v>21</v>
      </c>
      <c r="L1152" s="63">
        <v>8.21917808219178E-3</v>
      </c>
      <c r="M1152">
        <v>5</v>
      </c>
    </row>
    <row r="1153" spans="2:13" x14ac:dyDescent="0.25">
      <c r="B1153" s="33">
        <v>1</v>
      </c>
      <c r="C1153" t="s">
        <v>276</v>
      </c>
      <c r="D1153" t="s">
        <v>291</v>
      </c>
      <c r="E1153">
        <v>21</v>
      </c>
      <c r="F1153" s="2">
        <v>1.0958904109589E-2</v>
      </c>
      <c r="H1153" s="33">
        <v>1</v>
      </c>
      <c r="I1153" t="s">
        <v>276</v>
      </c>
      <c r="J1153" t="s">
        <v>291</v>
      </c>
      <c r="K1153">
        <v>21</v>
      </c>
      <c r="L1153" s="63">
        <v>1.0958904109589041E-2</v>
      </c>
      <c r="M1153">
        <v>4</v>
      </c>
    </row>
    <row r="1154" spans="2:13" x14ac:dyDescent="0.25">
      <c r="B1154" s="33">
        <v>1</v>
      </c>
      <c r="C1154" t="s">
        <v>2</v>
      </c>
      <c r="D1154" t="s">
        <v>21</v>
      </c>
      <c r="E1154">
        <v>2</v>
      </c>
      <c r="F1154" s="2">
        <v>0</v>
      </c>
      <c r="H1154" s="33">
        <v>1</v>
      </c>
      <c r="I1154" t="s">
        <v>2</v>
      </c>
      <c r="J1154" t="s">
        <v>21</v>
      </c>
      <c r="K1154">
        <v>2</v>
      </c>
      <c r="L1154" s="63">
        <v>1.0958904109589041E-2</v>
      </c>
      <c r="M1154">
        <v>4</v>
      </c>
    </row>
    <row r="1155" spans="2:13" x14ac:dyDescent="0.25">
      <c r="B1155" s="33">
        <v>1</v>
      </c>
      <c r="C1155" t="s">
        <v>276</v>
      </c>
      <c r="D1155" t="s">
        <v>291</v>
      </c>
      <c r="E1155">
        <v>4</v>
      </c>
      <c r="F1155" s="2">
        <v>5.4794520547945197E-3</v>
      </c>
      <c r="H1155" s="33">
        <v>1</v>
      </c>
      <c r="I1155" t="s">
        <v>276</v>
      </c>
      <c r="J1155" t="s">
        <v>291</v>
      </c>
      <c r="K1155">
        <v>4</v>
      </c>
      <c r="L1155" s="63">
        <v>5.4794520547945206E-3</v>
      </c>
      <c r="M1155">
        <v>2</v>
      </c>
    </row>
    <row r="1156" spans="2:13" x14ac:dyDescent="0.25">
      <c r="B1156" s="33">
        <v>1</v>
      </c>
      <c r="C1156" t="s">
        <v>57</v>
      </c>
      <c r="D1156" t="s">
        <v>74</v>
      </c>
      <c r="E1156">
        <v>6</v>
      </c>
      <c r="F1156" s="2">
        <v>5.4794520547945197E-3</v>
      </c>
      <c r="H1156" s="33">
        <v>1</v>
      </c>
      <c r="I1156" t="s">
        <v>57</v>
      </c>
      <c r="J1156" t="s">
        <v>74</v>
      </c>
      <c r="K1156">
        <v>6</v>
      </c>
      <c r="L1156" s="63">
        <v>2.1917808219178082E-2</v>
      </c>
      <c r="M1156">
        <v>9</v>
      </c>
    </row>
    <row r="1157" spans="2:13" x14ac:dyDescent="0.25">
      <c r="B1157" s="33">
        <v>1</v>
      </c>
      <c r="C1157" t="s">
        <v>2</v>
      </c>
      <c r="D1157" t="s">
        <v>317</v>
      </c>
      <c r="E1157">
        <v>1</v>
      </c>
      <c r="F1157" s="2">
        <v>4.3835616438356199E-2</v>
      </c>
      <c r="H1157" s="33">
        <v>1</v>
      </c>
      <c r="I1157" t="s">
        <v>2</v>
      </c>
      <c r="J1157" t="s">
        <v>317</v>
      </c>
      <c r="K1157">
        <v>1</v>
      </c>
      <c r="L1157" s="63">
        <v>4.1095890410958902E-2</v>
      </c>
      <c r="M1157">
        <v>16</v>
      </c>
    </row>
    <row r="1158" spans="2:13" x14ac:dyDescent="0.25">
      <c r="B1158" s="33">
        <v>1</v>
      </c>
      <c r="C1158" t="s">
        <v>307</v>
      </c>
      <c r="D1158" t="s">
        <v>312</v>
      </c>
      <c r="E1158">
        <v>6</v>
      </c>
      <c r="F1158" s="2">
        <v>8.21917808219178E-3</v>
      </c>
      <c r="H1158" s="33">
        <v>1</v>
      </c>
      <c r="I1158" t="s">
        <v>307</v>
      </c>
      <c r="J1158" t="s">
        <v>312</v>
      </c>
      <c r="K1158">
        <v>6</v>
      </c>
      <c r="L1158" s="63">
        <v>8.21917808219178E-3</v>
      </c>
      <c r="M1158">
        <v>3</v>
      </c>
    </row>
    <row r="1159" spans="2:13" x14ac:dyDescent="0.25">
      <c r="B1159" s="33">
        <v>1</v>
      </c>
      <c r="C1159" t="s">
        <v>276</v>
      </c>
      <c r="D1159" t="s">
        <v>318</v>
      </c>
      <c r="E1159">
        <v>16</v>
      </c>
      <c r="F1159" s="2">
        <v>2.7397260273972601E-2</v>
      </c>
      <c r="H1159" s="33">
        <v>1</v>
      </c>
      <c r="I1159" t="s">
        <v>276</v>
      </c>
      <c r="J1159" t="s">
        <v>318</v>
      </c>
      <c r="K1159">
        <v>16</v>
      </c>
      <c r="L1159" s="63">
        <v>2.7397260273972601E-2</v>
      </c>
      <c r="M1159">
        <v>10</v>
      </c>
    </row>
    <row r="1160" spans="2:13" x14ac:dyDescent="0.25">
      <c r="B1160" s="33">
        <v>1</v>
      </c>
      <c r="C1160" t="s">
        <v>2</v>
      </c>
      <c r="D1160" t="s">
        <v>37</v>
      </c>
      <c r="E1160">
        <v>6</v>
      </c>
      <c r="F1160" s="2">
        <v>5.4794520547945197E-3</v>
      </c>
      <c r="H1160" s="33">
        <v>1</v>
      </c>
      <c r="I1160" t="s">
        <v>2</v>
      </c>
      <c r="J1160" t="s">
        <v>37</v>
      </c>
      <c r="K1160">
        <v>6</v>
      </c>
      <c r="L1160" s="63">
        <v>5.4794520547945206E-3</v>
      </c>
      <c r="M1160">
        <v>2</v>
      </c>
    </row>
    <row r="1161" spans="2:13" x14ac:dyDescent="0.25">
      <c r="B1161" s="33">
        <v>1</v>
      </c>
      <c r="C1161" t="s">
        <v>59</v>
      </c>
      <c r="D1161" t="s">
        <v>63</v>
      </c>
      <c r="E1161">
        <v>3</v>
      </c>
      <c r="F1161" s="2">
        <v>1.3698630136986301E-2</v>
      </c>
      <c r="H1161" s="33">
        <v>1</v>
      </c>
      <c r="I1161" t="s">
        <v>59</v>
      </c>
      <c r="J1161" t="s">
        <v>63</v>
      </c>
      <c r="K1161">
        <v>3</v>
      </c>
      <c r="L1161" s="63">
        <v>1.9178082191780823E-2</v>
      </c>
      <c r="M1161">
        <v>7</v>
      </c>
    </row>
    <row r="1162" spans="2:13" x14ac:dyDescent="0.25">
      <c r="B1162" s="33">
        <v>1</v>
      </c>
      <c r="C1162" t="s">
        <v>307</v>
      </c>
      <c r="D1162" t="s">
        <v>308</v>
      </c>
      <c r="E1162">
        <v>17</v>
      </c>
      <c r="F1162" s="2">
        <v>3.5616438356164397E-2</v>
      </c>
      <c r="H1162" s="33">
        <v>1</v>
      </c>
      <c r="I1162" t="s">
        <v>307</v>
      </c>
      <c r="J1162" t="s">
        <v>308</v>
      </c>
      <c r="K1162">
        <v>17</v>
      </c>
      <c r="L1162" s="63">
        <v>3.5616438356164383E-2</v>
      </c>
      <c r="M1162">
        <v>13</v>
      </c>
    </row>
    <row r="1163" spans="2:13" x14ac:dyDescent="0.25">
      <c r="B1163" s="33">
        <v>1</v>
      </c>
      <c r="C1163" t="s">
        <v>2</v>
      </c>
      <c r="D1163" t="s">
        <v>38</v>
      </c>
      <c r="E1163">
        <v>3</v>
      </c>
      <c r="F1163" s="2">
        <v>2.7397260273972599E-3</v>
      </c>
      <c r="H1163" s="33">
        <v>1</v>
      </c>
      <c r="I1163" t="s">
        <v>2</v>
      </c>
      <c r="J1163" t="s">
        <v>38</v>
      </c>
      <c r="K1163">
        <v>3</v>
      </c>
      <c r="L1163" s="63">
        <v>2.7397260273972603E-3</v>
      </c>
      <c r="M1163">
        <v>1</v>
      </c>
    </row>
    <row r="1164" spans="2:13" x14ac:dyDescent="0.25">
      <c r="B1164" s="33">
        <v>1</v>
      </c>
      <c r="C1164" t="s">
        <v>0</v>
      </c>
      <c r="D1164" t="s">
        <v>78</v>
      </c>
      <c r="E1164">
        <v>8</v>
      </c>
      <c r="F1164" s="2">
        <v>1.6438356164383602E-2</v>
      </c>
      <c r="H1164" s="33">
        <v>1</v>
      </c>
      <c r="I1164" t="s">
        <v>0</v>
      </c>
      <c r="J1164" t="s">
        <v>78</v>
      </c>
      <c r="K1164">
        <v>8</v>
      </c>
      <c r="L1164" s="63">
        <v>3.0136986301369864E-2</v>
      </c>
      <c r="M1164">
        <v>12</v>
      </c>
    </row>
    <row r="1165" spans="2:13" x14ac:dyDescent="0.25">
      <c r="B1165" s="33">
        <v>1</v>
      </c>
      <c r="C1165" t="s">
        <v>0</v>
      </c>
      <c r="D1165" t="s">
        <v>65</v>
      </c>
      <c r="E1165">
        <v>6</v>
      </c>
      <c r="F1165" s="2">
        <v>1.0958904109589E-2</v>
      </c>
      <c r="H1165" s="33">
        <v>1</v>
      </c>
      <c r="I1165" t="s">
        <v>0</v>
      </c>
      <c r="J1165" t="s">
        <v>65</v>
      </c>
      <c r="K1165">
        <v>6</v>
      </c>
      <c r="L1165" s="63">
        <v>1.9178082191780823E-2</v>
      </c>
      <c r="M1165">
        <v>7</v>
      </c>
    </row>
    <row r="1166" spans="2:13" x14ac:dyDescent="0.25">
      <c r="B1166" s="33">
        <v>1</v>
      </c>
      <c r="C1166" t="s">
        <v>57</v>
      </c>
      <c r="D1166" t="s">
        <v>75</v>
      </c>
      <c r="E1166">
        <v>21</v>
      </c>
      <c r="F1166" s="2">
        <v>1.9178082191780799E-2</v>
      </c>
      <c r="H1166" s="33">
        <v>1</v>
      </c>
      <c r="I1166" t="s">
        <v>57</v>
      </c>
      <c r="J1166" t="s">
        <v>75</v>
      </c>
      <c r="K1166">
        <v>21</v>
      </c>
      <c r="L1166" s="63">
        <v>4.1095890410958902E-2</v>
      </c>
      <c r="M1166">
        <v>16</v>
      </c>
    </row>
    <row r="1167" spans="2:13" x14ac:dyDescent="0.25">
      <c r="B1167" s="33">
        <v>1</v>
      </c>
      <c r="C1167" t="s">
        <v>0</v>
      </c>
      <c r="D1167" t="s">
        <v>73</v>
      </c>
      <c r="E1167">
        <v>1</v>
      </c>
      <c r="F1167" s="2">
        <v>1.3698630136986301E-2</v>
      </c>
      <c r="H1167" s="33">
        <v>1</v>
      </c>
      <c r="I1167" t="s">
        <v>0</v>
      </c>
      <c r="J1167" t="s">
        <v>73</v>
      </c>
      <c r="K1167">
        <v>1</v>
      </c>
      <c r="L1167" s="63">
        <v>2.1917808219178082E-2</v>
      </c>
      <c r="M1167">
        <v>9</v>
      </c>
    </row>
    <row r="1168" spans="2:13" x14ac:dyDescent="0.25">
      <c r="B1168" s="33">
        <v>1</v>
      </c>
      <c r="C1168" t="s">
        <v>0</v>
      </c>
      <c r="D1168" t="s">
        <v>64</v>
      </c>
      <c r="E1168">
        <v>2</v>
      </c>
      <c r="F1168" s="2">
        <v>5.4794520547945197E-3</v>
      </c>
      <c r="H1168" s="33">
        <v>1</v>
      </c>
      <c r="I1168" t="s">
        <v>0</v>
      </c>
      <c r="J1168" t="s">
        <v>64</v>
      </c>
      <c r="K1168">
        <v>2</v>
      </c>
      <c r="L1168" s="63">
        <v>2.1917808219178082E-2</v>
      </c>
      <c r="M1168">
        <v>9</v>
      </c>
    </row>
    <row r="1169" spans="2:13" x14ac:dyDescent="0.25">
      <c r="B1169" s="33">
        <v>1</v>
      </c>
      <c r="C1169" t="s">
        <v>292</v>
      </c>
      <c r="D1169" t="s">
        <v>296</v>
      </c>
      <c r="E1169">
        <v>20</v>
      </c>
      <c r="F1169" s="2">
        <v>1.6438356164383602E-2</v>
      </c>
      <c r="H1169" s="33">
        <v>1</v>
      </c>
      <c r="I1169" t="s">
        <v>292</v>
      </c>
      <c r="J1169" t="s">
        <v>296</v>
      </c>
      <c r="K1169">
        <v>20</v>
      </c>
      <c r="L1169" s="63">
        <v>1.643835616438356E-2</v>
      </c>
      <c r="M1169">
        <v>6</v>
      </c>
    </row>
    <row r="1170" spans="2:13" x14ac:dyDescent="0.25">
      <c r="B1170" s="33">
        <v>1</v>
      </c>
      <c r="C1170" t="s">
        <v>57</v>
      </c>
      <c r="D1170" t="s">
        <v>74</v>
      </c>
      <c r="E1170">
        <v>23</v>
      </c>
      <c r="F1170" s="2">
        <v>1.0958904109589E-2</v>
      </c>
      <c r="H1170" s="33">
        <v>1</v>
      </c>
      <c r="I1170" t="s">
        <v>57</v>
      </c>
      <c r="J1170" t="s">
        <v>74</v>
      </c>
      <c r="K1170">
        <v>23</v>
      </c>
      <c r="L1170" s="63">
        <v>2.1917808219178082E-2</v>
      </c>
      <c r="M1170">
        <v>8</v>
      </c>
    </row>
    <row r="1171" spans="2:13" x14ac:dyDescent="0.25">
      <c r="B1171" s="33">
        <v>1</v>
      </c>
      <c r="C1171" t="s">
        <v>307</v>
      </c>
      <c r="D1171" t="s">
        <v>308</v>
      </c>
      <c r="E1171">
        <v>0</v>
      </c>
      <c r="F1171" s="2">
        <v>8.21917808219178E-3</v>
      </c>
      <c r="H1171" s="33">
        <v>1</v>
      </c>
      <c r="I1171" t="s">
        <v>307</v>
      </c>
      <c r="J1171" t="s">
        <v>308</v>
      </c>
      <c r="K1171">
        <v>0</v>
      </c>
      <c r="L1171" s="63">
        <v>8.21917808219178E-3</v>
      </c>
      <c r="M1171">
        <v>3</v>
      </c>
    </row>
    <row r="1172" spans="2:13" x14ac:dyDescent="0.25">
      <c r="B1172" s="33">
        <v>1</v>
      </c>
      <c r="C1172" t="s">
        <v>2</v>
      </c>
      <c r="D1172" t="s">
        <v>36</v>
      </c>
      <c r="E1172">
        <v>3</v>
      </c>
      <c r="F1172" s="2">
        <v>0</v>
      </c>
      <c r="H1172" s="33">
        <v>1</v>
      </c>
      <c r="I1172" t="s">
        <v>2</v>
      </c>
      <c r="J1172" t="s">
        <v>36</v>
      </c>
      <c r="K1172">
        <v>3</v>
      </c>
      <c r="L1172" s="63">
        <v>2.7397260273972603E-3</v>
      </c>
      <c r="M1172">
        <v>1</v>
      </c>
    </row>
    <row r="1173" spans="2:13" x14ac:dyDescent="0.25">
      <c r="B1173" s="33">
        <v>1</v>
      </c>
      <c r="C1173" t="s">
        <v>57</v>
      </c>
      <c r="D1173" t="s">
        <v>69</v>
      </c>
      <c r="E1173">
        <v>3</v>
      </c>
      <c r="F1173" s="2">
        <v>0</v>
      </c>
      <c r="H1173" s="33">
        <v>1</v>
      </c>
      <c r="I1173" t="s">
        <v>57</v>
      </c>
      <c r="J1173" t="s">
        <v>69</v>
      </c>
      <c r="K1173">
        <v>3</v>
      </c>
      <c r="L1173" s="63">
        <v>1.3698630136986301E-2</v>
      </c>
      <c r="M1173">
        <v>6</v>
      </c>
    </row>
    <row r="1174" spans="2:13" x14ac:dyDescent="0.25">
      <c r="B1174" s="33">
        <v>1</v>
      </c>
      <c r="C1174" t="s">
        <v>2</v>
      </c>
      <c r="D1174" t="s">
        <v>28</v>
      </c>
      <c r="E1174">
        <v>5</v>
      </c>
      <c r="F1174" s="2">
        <v>5.4794520547945197E-3</v>
      </c>
      <c r="H1174" s="33">
        <v>1</v>
      </c>
      <c r="I1174" t="s">
        <v>2</v>
      </c>
      <c r="J1174" t="s">
        <v>28</v>
      </c>
      <c r="K1174">
        <v>5</v>
      </c>
      <c r="L1174" s="63">
        <v>8.21917808219178E-3</v>
      </c>
      <c r="M1174">
        <v>5</v>
      </c>
    </row>
    <row r="1175" spans="2:13" x14ac:dyDescent="0.25">
      <c r="B1175" s="33">
        <v>1</v>
      </c>
      <c r="C1175" t="s">
        <v>292</v>
      </c>
      <c r="D1175" t="s">
        <v>320</v>
      </c>
      <c r="E1175">
        <v>6</v>
      </c>
      <c r="F1175" s="2">
        <v>2.7397260273972599E-3</v>
      </c>
      <c r="H1175" s="33">
        <v>1</v>
      </c>
      <c r="I1175" t="s">
        <v>292</v>
      </c>
      <c r="J1175" t="s">
        <v>320</v>
      </c>
      <c r="K1175">
        <v>6</v>
      </c>
      <c r="L1175" s="63">
        <v>2.7397260273972603E-3</v>
      </c>
      <c r="M1175">
        <v>1</v>
      </c>
    </row>
    <row r="1176" spans="2:13" x14ac:dyDescent="0.25">
      <c r="B1176" s="33">
        <v>1</v>
      </c>
      <c r="C1176" t="s">
        <v>276</v>
      </c>
      <c r="D1176" t="s">
        <v>287</v>
      </c>
      <c r="E1176">
        <v>7</v>
      </c>
      <c r="F1176" s="2">
        <v>2.7397260273972599E-3</v>
      </c>
      <c r="H1176" s="33">
        <v>1</v>
      </c>
      <c r="I1176" t="s">
        <v>276</v>
      </c>
      <c r="J1176" t="s">
        <v>287</v>
      </c>
      <c r="K1176">
        <v>7</v>
      </c>
      <c r="L1176" s="63">
        <v>2.7397260273972603E-3</v>
      </c>
      <c r="M1176">
        <v>1</v>
      </c>
    </row>
    <row r="1177" spans="2:13" x14ac:dyDescent="0.25">
      <c r="B1177" s="33">
        <v>1</v>
      </c>
      <c r="C1177" t="s">
        <v>276</v>
      </c>
      <c r="D1177" t="s">
        <v>318</v>
      </c>
      <c r="E1177">
        <v>13</v>
      </c>
      <c r="F1177" s="2">
        <v>8.21917808219178E-3</v>
      </c>
      <c r="H1177" s="33">
        <v>1</v>
      </c>
      <c r="I1177" t="s">
        <v>276</v>
      </c>
      <c r="J1177" t="s">
        <v>318</v>
      </c>
      <c r="K1177">
        <v>13</v>
      </c>
      <c r="L1177" s="63">
        <v>8.21917808219178E-3</v>
      </c>
      <c r="M1177">
        <v>3</v>
      </c>
    </row>
    <row r="1178" spans="2:13" x14ac:dyDescent="0.25">
      <c r="B1178" s="33">
        <v>1</v>
      </c>
      <c r="C1178" t="s">
        <v>307</v>
      </c>
      <c r="D1178" t="s">
        <v>313</v>
      </c>
      <c r="E1178">
        <v>1</v>
      </c>
      <c r="F1178" s="2">
        <v>1.0958904109589E-2</v>
      </c>
      <c r="H1178" s="33">
        <v>1</v>
      </c>
      <c r="I1178" t="s">
        <v>307</v>
      </c>
      <c r="J1178" t="s">
        <v>313</v>
      </c>
      <c r="K1178">
        <v>1</v>
      </c>
      <c r="L1178" s="63">
        <v>8.21917808219178E-3</v>
      </c>
      <c r="M1178">
        <v>4</v>
      </c>
    </row>
    <row r="1179" spans="2:13" x14ac:dyDescent="0.25">
      <c r="B1179" s="33">
        <v>1</v>
      </c>
      <c r="C1179" t="s">
        <v>307</v>
      </c>
      <c r="D1179" t="s">
        <v>394</v>
      </c>
      <c r="E1179">
        <v>21</v>
      </c>
      <c r="F1179" s="2">
        <v>3.0136986301369899E-2</v>
      </c>
      <c r="H1179" s="33">
        <v>1</v>
      </c>
      <c r="I1179" t="s">
        <v>307</v>
      </c>
      <c r="J1179" t="s">
        <v>314</v>
      </c>
      <c r="K1179">
        <v>21</v>
      </c>
      <c r="L1179" s="63">
        <v>3.0136986301369864E-2</v>
      </c>
      <c r="M1179">
        <v>11</v>
      </c>
    </row>
    <row r="1180" spans="2:13" x14ac:dyDescent="0.25">
      <c r="B1180" s="33">
        <v>1</v>
      </c>
      <c r="C1180" t="s">
        <v>2</v>
      </c>
      <c r="D1180" t="s">
        <v>28</v>
      </c>
      <c r="E1180">
        <v>1</v>
      </c>
      <c r="F1180" s="2">
        <v>8.21917808219178E-3</v>
      </c>
      <c r="H1180" s="33">
        <v>1</v>
      </c>
      <c r="I1180" t="s">
        <v>2</v>
      </c>
      <c r="J1180" t="s">
        <v>28</v>
      </c>
      <c r="K1180">
        <v>1</v>
      </c>
      <c r="L1180" s="63">
        <v>1.643835616438356E-2</v>
      </c>
      <c r="M1180">
        <v>6</v>
      </c>
    </row>
    <row r="1181" spans="2:13" x14ac:dyDescent="0.25">
      <c r="B1181" s="33">
        <v>1</v>
      </c>
      <c r="C1181" t="s">
        <v>2</v>
      </c>
      <c r="D1181" t="s">
        <v>17</v>
      </c>
      <c r="E1181">
        <v>5</v>
      </c>
      <c r="F1181" s="2">
        <v>5.4794520547945197E-3</v>
      </c>
      <c r="H1181" s="33">
        <v>1</v>
      </c>
      <c r="I1181" t="s">
        <v>2</v>
      </c>
      <c r="J1181" t="s">
        <v>17</v>
      </c>
      <c r="K1181">
        <v>5</v>
      </c>
      <c r="L1181" s="63">
        <v>5.4794520547945206E-3</v>
      </c>
      <c r="M1181">
        <v>2</v>
      </c>
    </row>
    <row r="1182" spans="2:13" x14ac:dyDescent="0.25">
      <c r="B1182" s="33">
        <v>1</v>
      </c>
      <c r="C1182" t="s">
        <v>2</v>
      </c>
      <c r="D1182" t="s">
        <v>21</v>
      </c>
      <c r="E1182">
        <v>20</v>
      </c>
      <c r="F1182" s="2">
        <v>2.19178082191781E-2</v>
      </c>
      <c r="H1182" s="33">
        <v>1</v>
      </c>
      <c r="I1182" t="s">
        <v>2</v>
      </c>
      <c r="J1182" t="s">
        <v>21</v>
      </c>
      <c r="K1182">
        <v>20</v>
      </c>
      <c r="L1182" s="63">
        <v>3.287671232876712E-2</v>
      </c>
      <c r="M1182">
        <v>14</v>
      </c>
    </row>
    <row r="1183" spans="2:13" x14ac:dyDescent="0.25">
      <c r="B1183" s="33">
        <v>1</v>
      </c>
      <c r="C1183" t="s">
        <v>276</v>
      </c>
      <c r="D1183" t="s">
        <v>289</v>
      </c>
      <c r="E1183">
        <v>10</v>
      </c>
      <c r="F1183" s="2">
        <v>8.21917808219178E-3</v>
      </c>
      <c r="H1183" s="33">
        <v>1</v>
      </c>
      <c r="I1183" t="s">
        <v>276</v>
      </c>
      <c r="J1183" t="s">
        <v>289</v>
      </c>
      <c r="K1183">
        <v>10</v>
      </c>
      <c r="L1183" s="63">
        <v>8.21917808219178E-3</v>
      </c>
      <c r="M1183">
        <v>3</v>
      </c>
    </row>
    <row r="1184" spans="2:13" x14ac:dyDescent="0.25">
      <c r="B1184" s="33">
        <v>1</v>
      </c>
      <c r="C1184" t="s">
        <v>292</v>
      </c>
      <c r="D1184" t="s">
        <v>321</v>
      </c>
      <c r="E1184">
        <v>20</v>
      </c>
      <c r="F1184" s="2">
        <v>2.19178082191781E-2</v>
      </c>
      <c r="H1184" s="33">
        <v>1</v>
      </c>
      <c r="I1184" t="s">
        <v>292</v>
      </c>
      <c r="J1184" t="s">
        <v>321</v>
      </c>
      <c r="K1184">
        <v>20</v>
      </c>
      <c r="L1184" s="63">
        <v>2.1917808219178082E-2</v>
      </c>
      <c r="M1184">
        <v>8</v>
      </c>
    </row>
    <row r="1185" spans="2:13" x14ac:dyDescent="0.25">
      <c r="B1185" s="33">
        <v>1</v>
      </c>
      <c r="C1185" t="s">
        <v>307</v>
      </c>
      <c r="D1185" t="s">
        <v>394</v>
      </c>
      <c r="E1185">
        <v>0</v>
      </c>
      <c r="F1185" s="2">
        <v>1.3698630136986301E-2</v>
      </c>
      <c r="H1185" s="33">
        <v>1</v>
      </c>
      <c r="I1185" t="s">
        <v>307</v>
      </c>
      <c r="J1185" t="s">
        <v>314</v>
      </c>
      <c r="K1185">
        <v>0</v>
      </c>
      <c r="L1185" s="63">
        <v>1.3698630136986301E-2</v>
      </c>
      <c r="M1185">
        <v>5</v>
      </c>
    </row>
    <row r="1186" spans="2:13" x14ac:dyDescent="0.25">
      <c r="B1186" s="33">
        <v>1</v>
      </c>
      <c r="C1186" t="s">
        <v>276</v>
      </c>
      <c r="D1186" t="s">
        <v>287</v>
      </c>
      <c r="E1186">
        <v>0</v>
      </c>
      <c r="F1186" s="2">
        <v>2.7397260273972599E-3</v>
      </c>
      <c r="H1186" s="33">
        <v>1</v>
      </c>
      <c r="I1186" t="s">
        <v>276</v>
      </c>
      <c r="J1186" t="s">
        <v>287</v>
      </c>
      <c r="K1186">
        <v>0</v>
      </c>
      <c r="L1186" s="63">
        <v>2.7397260273972603E-3</v>
      </c>
      <c r="M1186">
        <v>1</v>
      </c>
    </row>
    <row r="1187" spans="2:13" x14ac:dyDescent="0.25">
      <c r="B1187" s="33">
        <v>1</v>
      </c>
      <c r="C1187" t="s">
        <v>276</v>
      </c>
      <c r="D1187" t="s">
        <v>289</v>
      </c>
      <c r="E1187">
        <v>8</v>
      </c>
      <c r="F1187" s="2">
        <v>1.0958904109589E-2</v>
      </c>
      <c r="H1187" s="33">
        <v>1</v>
      </c>
      <c r="I1187" t="s">
        <v>276</v>
      </c>
      <c r="J1187" t="s">
        <v>289</v>
      </c>
      <c r="K1187">
        <v>8</v>
      </c>
      <c r="L1187" s="63">
        <v>1.0958904109589041E-2</v>
      </c>
      <c r="M1187">
        <v>4</v>
      </c>
    </row>
    <row r="1188" spans="2:13" x14ac:dyDescent="0.25">
      <c r="B1188" s="33">
        <v>1</v>
      </c>
      <c r="C1188" t="s">
        <v>292</v>
      </c>
      <c r="D1188" t="s">
        <v>296</v>
      </c>
      <c r="E1188">
        <v>12</v>
      </c>
      <c r="F1188" s="2">
        <v>1.9178082191780799E-2</v>
      </c>
      <c r="H1188" s="33">
        <v>1</v>
      </c>
      <c r="I1188" t="s">
        <v>292</v>
      </c>
      <c r="J1188" t="s">
        <v>296</v>
      </c>
      <c r="K1188">
        <v>12</v>
      </c>
      <c r="L1188" s="63">
        <v>1.643835616438356E-2</v>
      </c>
      <c r="M1188">
        <v>7</v>
      </c>
    </row>
    <row r="1189" spans="2:13" x14ac:dyDescent="0.25">
      <c r="B1189" s="33">
        <v>1</v>
      </c>
      <c r="C1189" t="s">
        <v>307</v>
      </c>
      <c r="D1189" t="s">
        <v>308</v>
      </c>
      <c r="E1189">
        <v>12</v>
      </c>
      <c r="F1189" s="2">
        <v>3.8356164383561597E-2</v>
      </c>
      <c r="H1189" s="33">
        <v>1</v>
      </c>
      <c r="I1189" t="s">
        <v>307</v>
      </c>
      <c r="J1189" t="s">
        <v>308</v>
      </c>
      <c r="K1189">
        <v>12</v>
      </c>
      <c r="L1189" s="63">
        <v>3.5616438356164383E-2</v>
      </c>
      <c r="M1189">
        <v>14</v>
      </c>
    </row>
    <row r="1190" spans="2:13" x14ac:dyDescent="0.25">
      <c r="B1190" s="33">
        <v>1</v>
      </c>
      <c r="C1190" t="s">
        <v>0</v>
      </c>
      <c r="D1190" t="s">
        <v>78</v>
      </c>
      <c r="E1190">
        <v>23</v>
      </c>
      <c r="F1190" s="2">
        <v>8.21917808219178E-3</v>
      </c>
      <c r="H1190" s="33">
        <v>1</v>
      </c>
      <c r="I1190" t="s">
        <v>0</v>
      </c>
      <c r="J1190" t="s">
        <v>78</v>
      </c>
      <c r="K1190">
        <v>23</v>
      </c>
      <c r="L1190" s="63">
        <v>1.0958904109589041E-2</v>
      </c>
      <c r="M1190">
        <v>4</v>
      </c>
    </row>
    <row r="1191" spans="2:13" x14ac:dyDescent="0.25">
      <c r="B1191" s="33">
        <v>1</v>
      </c>
      <c r="C1191" t="s">
        <v>307</v>
      </c>
      <c r="D1191" t="s">
        <v>310</v>
      </c>
      <c r="E1191">
        <v>1</v>
      </c>
      <c r="F1191" s="2">
        <v>2.7397260273972599E-3</v>
      </c>
      <c r="H1191" s="33">
        <v>1</v>
      </c>
      <c r="I1191" t="s">
        <v>307</v>
      </c>
      <c r="J1191" t="s">
        <v>310</v>
      </c>
      <c r="K1191">
        <v>1</v>
      </c>
      <c r="L1191" s="63">
        <v>2.7397260273972603E-3</v>
      </c>
      <c r="M1191">
        <v>1</v>
      </c>
    </row>
    <row r="1192" spans="2:13" x14ac:dyDescent="0.25">
      <c r="B1192" s="33">
        <v>1</v>
      </c>
      <c r="C1192" t="s">
        <v>276</v>
      </c>
      <c r="D1192" t="s">
        <v>286</v>
      </c>
      <c r="E1192">
        <v>7</v>
      </c>
      <c r="F1192" s="2">
        <v>5.4794520547945197E-3</v>
      </c>
      <c r="H1192" s="33">
        <v>1</v>
      </c>
      <c r="I1192" t="s">
        <v>276</v>
      </c>
      <c r="J1192" t="s">
        <v>286</v>
      </c>
      <c r="K1192">
        <v>7</v>
      </c>
      <c r="L1192" s="63">
        <v>5.4794520547945206E-3</v>
      </c>
      <c r="M1192">
        <v>2</v>
      </c>
    </row>
    <row r="1193" spans="2:13" x14ac:dyDescent="0.25">
      <c r="B1193" s="33">
        <v>1</v>
      </c>
      <c r="C1193" t="s">
        <v>59</v>
      </c>
      <c r="D1193" t="s">
        <v>76</v>
      </c>
      <c r="E1193">
        <v>4</v>
      </c>
      <c r="F1193" s="2">
        <v>2.7397260273972599E-3</v>
      </c>
      <c r="H1193" s="33">
        <v>1</v>
      </c>
      <c r="I1193" t="s">
        <v>59</v>
      </c>
      <c r="J1193" t="s">
        <v>76</v>
      </c>
      <c r="K1193">
        <v>4</v>
      </c>
      <c r="L1193" s="63">
        <v>5.4794520547945206E-3</v>
      </c>
      <c r="M1193">
        <v>2</v>
      </c>
    </row>
    <row r="1194" spans="2:13" x14ac:dyDescent="0.25">
      <c r="B1194" s="33">
        <v>1</v>
      </c>
      <c r="C1194" t="s">
        <v>276</v>
      </c>
      <c r="D1194" t="s">
        <v>289</v>
      </c>
      <c r="E1194">
        <v>23</v>
      </c>
      <c r="F1194" s="2">
        <v>8.21917808219178E-3</v>
      </c>
      <c r="H1194" s="33">
        <v>1</v>
      </c>
      <c r="I1194" t="s">
        <v>276</v>
      </c>
      <c r="J1194" t="s">
        <v>289</v>
      </c>
      <c r="K1194">
        <v>23</v>
      </c>
      <c r="L1194" s="63">
        <v>8.21917808219178E-3</v>
      </c>
      <c r="M1194">
        <v>3</v>
      </c>
    </row>
    <row r="1195" spans="2:13" x14ac:dyDescent="0.25">
      <c r="B1195" s="33">
        <v>1</v>
      </c>
      <c r="C1195" t="s">
        <v>276</v>
      </c>
      <c r="D1195" t="s">
        <v>289</v>
      </c>
      <c r="E1195">
        <v>0</v>
      </c>
      <c r="F1195" s="2">
        <v>8.21917808219178E-3</v>
      </c>
      <c r="H1195" s="33">
        <v>1</v>
      </c>
      <c r="I1195" t="s">
        <v>276</v>
      </c>
      <c r="J1195" t="s">
        <v>289</v>
      </c>
      <c r="K1195">
        <v>0</v>
      </c>
      <c r="L1195" s="63">
        <v>8.21917808219178E-3</v>
      </c>
      <c r="M1195">
        <v>3</v>
      </c>
    </row>
    <row r="1196" spans="2:13" x14ac:dyDescent="0.25">
      <c r="B1196" s="33">
        <v>1</v>
      </c>
      <c r="C1196" t="s">
        <v>307</v>
      </c>
      <c r="D1196" t="s">
        <v>310</v>
      </c>
      <c r="E1196">
        <v>20</v>
      </c>
      <c r="F1196" s="2">
        <v>1.9178082191780799E-2</v>
      </c>
      <c r="H1196" s="33">
        <v>1</v>
      </c>
      <c r="I1196" t="s">
        <v>307</v>
      </c>
      <c r="J1196" t="s">
        <v>310</v>
      </c>
      <c r="K1196">
        <v>20</v>
      </c>
      <c r="L1196" s="63">
        <v>1.9178082191780823E-2</v>
      </c>
      <c r="M1196">
        <v>7</v>
      </c>
    </row>
    <row r="1197" spans="2:13" x14ac:dyDescent="0.25">
      <c r="B1197" s="33">
        <v>1</v>
      </c>
      <c r="C1197" t="s">
        <v>292</v>
      </c>
      <c r="D1197" t="s">
        <v>297</v>
      </c>
      <c r="E1197">
        <v>22</v>
      </c>
      <c r="F1197" s="2">
        <v>5.4794520547945197E-3</v>
      </c>
      <c r="H1197" s="33">
        <v>1</v>
      </c>
      <c r="I1197" t="s">
        <v>292</v>
      </c>
      <c r="J1197" t="s">
        <v>297</v>
      </c>
      <c r="K1197">
        <v>22</v>
      </c>
      <c r="L1197" s="63">
        <v>5.4794520547945206E-3</v>
      </c>
      <c r="M1197">
        <v>2</v>
      </c>
    </row>
    <row r="1198" spans="2:13" x14ac:dyDescent="0.25">
      <c r="B1198" s="33">
        <v>1</v>
      </c>
      <c r="C1198" t="s">
        <v>231</v>
      </c>
      <c r="D1198" t="s">
        <v>187</v>
      </c>
      <c r="E1198">
        <v>1</v>
      </c>
      <c r="F1198" s="2">
        <v>1.9178082191780799E-2</v>
      </c>
      <c r="H1198" s="33">
        <v>1</v>
      </c>
      <c r="I1198" t="s">
        <v>231</v>
      </c>
      <c r="J1198" t="s">
        <v>187</v>
      </c>
      <c r="K1198">
        <v>1</v>
      </c>
      <c r="L1198" s="63">
        <v>2.7397260273972601E-2</v>
      </c>
      <c r="M1198">
        <v>10</v>
      </c>
    </row>
    <row r="1199" spans="2:13" x14ac:dyDescent="0.25">
      <c r="B1199" s="33">
        <v>1</v>
      </c>
      <c r="C1199" t="s">
        <v>0</v>
      </c>
      <c r="D1199" t="s">
        <v>71</v>
      </c>
      <c r="E1199">
        <v>5</v>
      </c>
      <c r="F1199" s="2">
        <v>2.7397260273972599E-3</v>
      </c>
      <c r="H1199" s="33">
        <v>1</v>
      </c>
      <c r="I1199" t="s">
        <v>0</v>
      </c>
      <c r="J1199" t="s">
        <v>71</v>
      </c>
      <c r="K1199">
        <v>5</v>
      </c>
      <c r="L1199" s="63">
        <v>8.21917808219178E-3</v>
      </c>
      <c r="M1199">
        <v>3</v>
      </c>
    </row>
    <row r="1200" spans="2:13" x14ac:dyDescent="0.25">
      <c r="B1200" s="33">
        <v>1</v>
      </c>
      <c r="C1200" t="s">
        <v>307</v>
      </c>
      <c r="D1200" t="s">
        <v>394</v>
      </c>
      <c r="E1200">
        <v>7</v>
      </c>
      <c r="F1200" s="2">
        <v>1.0958904109589E-2</v>
      </c>
      <c r="H1200" s="33">
        <v>1</v>
      </c>
      <c r="I1200" t="s">
        <v>307</v>
      </c>
      <c r="J1200" t="s">
        <v>314</v>
      </c>
      <c r="K1200">
        <v>7</v>
      </c>
      <c r="L1200" s="63">
        <v>1.0958904109589041E-2</v>
      </c>
      <c r="M1200">
        <v>4</v>
      </c>
    </row>
    <row r="1201" spans="2:13" x14ac:dyDescent="0.25">
      <c r="B1201" s="33">
        <v>1</v>
      </c>
      <c r="C1201" t="s">
        <v>307</v>
      </c>
      <c r="D1201" t="s">
        <v>310</v>
      </c>
      <c r="E1201">
        <v>22</v>
      </c>
      <c r="F1201" s="2">
        <v>1.0958904109589E-2</v>
      </c>
      <c r="H1201" s="33">
        <v>1</v>
      </c>
      <c r="I1201" t="s">
        <v>307</v>
      </c>
      <c r="J1201" t="s">
        <v>310</v>
      </c>
      <c r="K1201">
        <v>22</v>
      </c>
      <c r="L1201" s="63">
        <v>1.0958904109589041E-2</v>
      </c>
      <c r="M1201">
        <v>4</v>
      </c>
    </row>
    <row r="1202" spans="2:13" x14ac:dyDescent="0.25">
      <c r="B1202" s="33">
        <v>1</v>
      </c>
      <c r="C1202" t="s">
        <v>2</v>
      </c>
      <c r="D1202" t="s">
        <v>21</v>
      </c>
      <c r="E1202">
        <v>12</v>
      </c>
      <c r="F1202" s="2">
        <v>8.21917808219178E-3</v>
      </c>
      <c r="H1202" s="33">
        <v>1</v>
      </c>
      <c r="I1202" t="s">
        <v>2</v>
      </c>
      <c r="J1202" t="s">
        <v>21</v>
      </c>
      <c r="K1202">
        <v>12</v>
      </c>
      <c r="L1202" s="63">
        <v>1.3698630136986301E-2</v>
      </c>
      <c r="M1202">
        <v>5</v>
      </c>
    </row>
    <row r="1203" spans="2:13" x14ac:dyDescent="0.25">
      <c r="B1203" s="33">
        <v>1</v>
      </c>
      <c r="C1203" t="s">
        <v>276</v>
      </c>
      <c r="D1203" t="s">
        <v>290</v>
      </c>
      <c r="E1203">
        <v>0</v>
      </c>
      <c r="F1203" s="2">
        <v>8.21917808219178E-3</v>
      </c>
      <c r="H1203" s="33">
        <v>1</v>
      </c>
      <c r="I1203" t="s">
        <v>276</v>
      </c>
      <c r="J1203" t="s">
        <v>290</v>
      </c>
      <c r="K1203">
        <v>0</v>
      </c>
      <c r="L1203" s="63">
        <v>5.4794520547945206E-3</v>
      </c>
      <c r="M1203">
        <v>3</v>
      </c>
    </row>
    <row r="1204" spans="2:13" x14ac:dyDescent="0.25">
      <c r="B1204" s="33">
        <v>1</v>
      </c>
      <c r="C1204" t="s">
        <v>292</v>
      </c>
      <c r="D1204" t="s">
        <v>321</v>
      </c>
      <c r="E1204">
        <v>3</v>
      </c>
      <c r="F1204" s="2">
        <v>2.7397260273972599E-3</v>
      </c>
      <c r="H1204" s="33">
        <v>1</v>
      </c>
      <c r="I1204" t="s">
        <v>292</v>
      </c>
      <c r="J1204" t="s">
        <v>321</v>
      </c>
      <c r="K1204">
        <v>3</v>
      </c>
      <c r="L1204" s="63">
        <v>2.7397260273972603E-3</v>
      </c>
      <c r="M1204">
        <v>1</v>
      </c>
    </row>
    <row r="1205" spans="2:13" x14ac:dyDescent="0.25">
      <c r="B1205" s="33">
        <v>1</v>
      </c>
      <c r="C1205" t="s">
        <v>276</v>
      </c>
      <c r="D1205" t="s">
        <v>288</v>
      </c>
      <c r="E1205">
        <v>7</v>
      </c>
      <c r="F1205" s="2">
        <v>8.21917808219178E-3</v>
      </c>
      <c r="H1205" s="33">
        <v>1</v>
      </c>
      <c r="I1205" t="s">
        <v>276</v>
      </c>
      <c r="J1205" t="s">
        <v>288</v>
      </c>
      <c r="K1205">
        <v>7</v>
      </c>
      <c r="L1205" s="63">
        <v>8.21917808219178E-3</v>
      </c>
      <c r="M1205">
        <v>3</v>
      </c>
    </row>
    <row r="1206" spans="2:13" x14ac:dyDescent="0.25">
      <c r="B1206" s="33">
        <v>1</v>
      </c>
      <c r="C1206" t="s">
        <v>0</v>
      </c>
      <c r="D1206" t="s">
        <v>72</v>
      </c>
      <c r="E1206">
        <v>5</v>
      </c>
      <c r="F1206" s="2">
        <v>2.7397260273972599E-3</v>
      </c>
      <c r="H1206" s="33">
        <v>1</v>
      </c>
      <c r="I1206" t="s">
        <v>0</v>
      </c>
      <c r="J1206" t="s">
        <v>72</v>
      </c>
      <c r="K1206">
        <v>5</v>
      </c>
      <c r="L1206" s="63">
        <v>2.4657534246575342E-2</v>
      </c>
      <c r="M1206">
        <v>9</v>
      </c>
    </row>
    <row r="1207" spans="2:13" x14ac:dyDescent="0.25">
      <c r="B1207" s="33">
        <v>1</v>
      </c>
      <c r="C1207" t="s">
        <v>276</v>
      </c>
      <c r="D1207" t="s">
        <v>286</v>
      </c>
      <c r="E1207">
        <v>15</v>
      </c>
      <c r="F1207" s="2">
        <v>2.19178082191781E-2</v>
      </c>
      <c r="H1207" s="33">
        <v>1</v>
      </c>
      <c r="I1207" t="s">
        <v>276</v>
      </c>
      <c r="J1207" t="s">
        <v>286</v>
      </c>
      <c r="K1207">
        <v>15</v>
      </c>
      <c r="L1207" s="63">
        <v>1.9178082191780823E-2</v>
      </c>
      <c r="M1207">
        <v>8</v>
      </c>
    </row>
    <row r="1208" spans="2:13" x14ac:dyDescent="0.25">
      <c r="B1208" s="33">
        <v>1</v>
      </c>
      <c r="C1208" t="s">
        <v>276</v>
      </c>
      <c r="D1208" t="s">
        <v>286</v>
      </c>
      <c r="E1208">
        <v>16</v>
      </c>
      <c r="F1208" s="2">
        <v>1.3698630136986301E-2</v>
      </c>
      <c r="H1208" s="33">
        <v>1</v>
      </c>
      <c r="I1208" t="s">
        <v>276</v>
      </c>
      <c r="J1208" t="s">
        <v>286</v>
      </c>
      <c r="K1208">
        <v>16</v>
      </c>
      <c r="L1208" s="63">
        <v>1.3698630136986301E-2</v>
      </c>
      <c r="M1208">
        <v>5</v>
      </c>
    </row>
    <row r="1209" spans="2:13" x14ac:dyDescent="0.25">
      <c r="B1209" s="33">
        <v>1</v>
      </c>
      <c r="C1209" t="s">
        <v>231</v>
      </c>
      <c r="D1209" t="s">
        <v>187</v>
      </c>
      <c r="E1209">
        <v>4</v>
      </c>
      <c r="F1209" s="2">
        <v>1.6438356164383602E-2</v>
      </c>
      <c r="H1209" s="33">
        <v>1</v>
      </c>
      <c r="I1209" t="s">
        <v>231</v>
      </c>
      <c r="J1209" t="s">
        <v>187</v>
      </c>
      <c r="K1209">
        <v>4</v>
      </c>
      <c r="L1209" s="63">
        <v>2.7397260273972601E-2</v>
      </c>
      <c r="M1209">
        <v>12</v>
      </c>
    </row>
    <row r="1210" spans="2:13" x14ac:dyDescent="0.25">
      <c r="B1210" s="33">
        <v>1</v>
      </c>
      <c r="C1210" t="s">
        <v>2</v>
      </c>
      <c r="D1210" t="s">
        <v>32</v>
      </c>
      <c r="E1210">
        <v>16</v>
      </c>
      <c r="F1210" s="2">
        <v>1.3698630136986301E-2</v>
      </c>
      <c r="H1210" s="33">
        <v>1</v>
      </c>
      <c r="I1210" t="s">
        <v>2</v>
      </c>
      <c r="J1210" t="s">
        <v>32</v>
      </c>
      <c r="K1210">
        <v>16</v>
      </c>
      <c r="L1210" s="63">
        <v>1.643835616438356E-2</v>
      </c>
      <c r="M1210">
        <v>6</v>
      </c>
    </row>
    <row r="1211" spans="2:13" x14ac:dyDescent="0.25">
      <c r="B1211" s="33">
        <v>1</v>
      </c>
      <c r="C1211" t="s">
        <v>0</v>
      </c>
      <c r="D1211" t="s">
        <v>78</v>
      </c>
      <c r="E1211">
        <v>21</v>
      </c>
      <c r="F1211" s="2">
        <v>5.4794520547945197E-3</v>
      </c>
      <c r="H1211" s="33">
        <v>1</v>
      </c>
      <c r="I1211" t="s">
        <v>0</v>
      </c>
      <c r="J1211" t="s">
        <v>78</v>
      </c>
      <c r="K1211">
        <v>21</v>
      </c>
      <c r="L1211" s="63">
        <v>1.0958904109589041E-2</v>
      </c>
      <c r="M1211">
        <v>4</v>
      </c>
    </row>
    <row r="1212" spans="2:13" x14ac:dyDescent="0.25">
      <c r="B1212" s="33">
        <v>1</v>
      </c>
      <c r="C1212" t="s">
        <v>57</v>
      </c>
      <c r="D1212" t="s">
        <v>66</v>
      </c>
      <c r="E1212">
        <v>23</v>
      </c>
      <c r="F1212" s="2">
        <v>1.3698630136986301E-2</v>
      </c>
      <c r="H1212" s="33">
        <v>1</v>
      </c>
      <c r="I1212" t="s">
        <v>57</v>
      </c>
      <c r="J1212" t="s">
        <v>66</v>
      </c>
      <c r="K1212">
        <v>23</v>
      </c>
      <c r="L1212" s="63">
        <v>2.7397260273972601E-2</v>
      </c>
      <c r="M1212">
        <v>10</v>
      </c>
    </row>
    <row r="1213" spans="2:13" x14ac:dyDescent="0.25">
      <c r="B1213" s="33">
        <v>1</v>
      </c>
      <c r="C1213" t="s">
        <v>2</v>
      </c>
      <c r="D1213" t="s">
        <v>32</v>
      </c>
      <c r="E1213">
        <v>7</v>
      </c>
      <c r="F1213" s="2">
        <v>2.7397260273972599E-3</v>
      </c>
      <c r="H1213" s="33">
        <v>1</v>
      </c>
      <c r="I1213" t="s">
        <v>2</v>
      </c>
      <c r="J1213" t="s">
        <v>32</v>
      </c>
      <c r="K1213">
        <v>7</v>
      </c>
      <c r="L1213" s="63">
        <v>5.4794520547945206E-3</v>
      </c>
      <c r="M1213">
        <v>2</v>
      </c>
    </row>
    <row r="1214" spans="2:13" x14ac:dyDescent="0.25">
      <c r="B1214" s="33">
        <v>1</v>
      </c>
      <c r="C1214" t="s">
        <v>276</v>
      </c>
      <c r="D1214" t="s">
        <v>319</v>
      </c>
      <c r="E1214">
        <v>10</v>
      </c>
      <c r="F1214" s="2">
        <v>1.3698630136986301E-2</v>
      </c>
      <c r="H1214" s="33">
        <v>1</v>
      </c>
      <c r="I1214" t="s">
        <v>276</v>
      </c>
      <c r="J1214" t="s">
        <v>319</v>
      </c>
      <c r="K1214">
        <v>10</v>
      </c>
      <c r="L1214" s="63">
        <v>1.3698630136986301E-2</v>
      </c>
      <c r="M1214">
        <v>5</v>
      </c>
    </row>
    <row r="1215" spans="2:13" x14ac:dyDescent="0.25">
      <c r="B1215" s="33">
        <v>1</v>
      </c>
      <c r="C1215" t="s">
        <v>2</v>
      </c>
      <c r="D1215" t="s">
        <v>37</v>
      </c>
      <c r="E1215">
        <v>2</v>
      </c>
      <c r="F1215" s="2">
        <v>0</v>
      </c>
      <c r="H1215" s="33">
        <v>1</v>
      </c>
      <c r="I1215" t="s">
        <v>2</v>
      </c>
      <c r="J1215" t="s">
        <v>37</v>
      </c>
      <c r="K1215">
        <v>2</v>
      </c>
      <c r="L1215" s="63">
        <v>2.7397260273972603E-3</v>
      </c>
      <c r="M1215">
        <v>2</v>
      </c>
    </row>
    <row r="1216" spans="2:13" x14ac:dyDescent="0.25">
      <c r="B1216" s="33">
        <v>1</v>
      </c>
      <c r="C1216" t="s">
        <v>276</v>
      </c>
      <c r="D1216" t="s">
        <v>286</v>
      </c>
      <c r="E1216">
        <v>19</v>
      </c>
      <c r="F1216" s="2">
        <v>3.2876712328767099E-2</v>
      </c>
      <c r="H1216" s="33">
        <v>1</v>
      </c>
      <c r="I1216" t="s">
        <v>276</v>
      </c>
      <c r="J1216" t="s">
        <v>286</v>
      </c>
      <c r="K1216">
        <v>19</v>
      </c>
      <c r="L1216" s="63">
        <v>2.7397260273972601E-2</v>
      </c>
      <c r="M1216">
        <v>12</v>
      </c>
    </row>
    <row r="1217" spans="2:13" x14ac:dyDescent="0.25">
      <c r="B1217" s="33">
        <v>1</v>
      </c>
      <c r="C1217" t="s">
        <v>0</v>
      </c>
      <c r="D1217" t="s">
        <v>65</v>
      </c>
      <c r="E1217">
        <v>2</v>
      </c>
      <c r="F1217" s="2">
        <v>8.21917808219178E-3</v>
      </c>
      <c r="H1217" s="33">
        <v>1</v>
      </c>
      <c r="I1217" t="s">
        <v>0</v>
      </c>
      <c r="J1217" t="s">
        <v>65</v>
      </c>
      <c r="K1217">
        <v>2</v>
      </c>
      <c r="L1217" s="63">
        <v>1.3698630136986301E-2</v>
      </c>
      <c r="M1217">
        <v>5</v>
      </c>
    </row>
    <row r="1218" spans="2:13" x14ac:dyDescent="0.25">
      <c r="B1218" s="33">
        <v>1</v>
      </c>
      <c r="C1218" t="s">
        <v>307</v>
      </c>
      <c r="D1218" t="s">
        <v>394</v>
      </c>
      <c r="E1218">
        <v>13</v>
      </c>
      <c r="F1218" s="2">
        <v>2.7397260273972601E-2</v>
      </c>
      <c r="H1218" s="33">
        <v>1</v>
      </c>
      <c r="I1218" t="s">
        <v>307</v>
      </c>
      <c r="J1218" t="s">
        <v>314</v>
      </c>
      <c r="K1218">
        <v>13</v>
      </c>
      <c r="L1218" s="63">
        <v>2.4657534246575342E-2</v>
      </c>
      <c r="M1218">
        <v>10</v>
      </c>
    </row>
    <row r="1219" spans="2:13" x14ac:dyDescent="0.25">
      <c r="B1219" s="33">
        <v>1</v>
      </c>
      <c r="C1219" t="s">
        <v>276</v>
      </c>
      <c r="D1219" t="s">
        <v>319</v>
      </c>
      <c r="E1219">
        <v>19</v>
      </c>
      <c r="F1219" s="2">
        <v>1.6438356164383602E-2</v>
      </c>
      <c r="H1219" s="33">
        <v>1</v>
      </c>
      <c r="I1219" t="s">
        <v>276</v>
      </c>
      <c r="J1219" t="s">
        <v>319</v>
      </c>
      <c r="K1219">
        <v>19</v>
      </c>
      <c r="L1219" s="63">
        <v>1.3698630136986301E-2</v>
      </c>
      <c r="M1219">
        <v>6</v>
      </c>
    </row>
    <row r="1220" spans="2:13" x14ac:dyDescent="0.25">
      <c r="B1220" s="33">
        <v>1</v>
      </c>
      <c r="C1220" t="s">
        <v>231</v>
      </c>
      <c r="D1220" t="s">
        <v>184</v>
      </c>
      <c r="E1220">
        <v>5</v>
      </c>
      <c r="F1220" s="2">
        <v>2.7397260273972599E-3</v>
      </c>
      <c r="H1220" s="33">
        <v>1</v>
      </c>
      <c r="I1220" t="s">
        <v>231</v>
      </c>
      <c r="J1220" t="s">
        <v>184</v>
      </c>
      <c r="K1220">
        <v>5</v>
      </c>
      <c r="L1220" s="63">
        <v>1.9178082191780823E-2</v>
      </c>
      <c r="M1220">
        <v>7</v>
      </c>
    </row>
    <row r="1221" spans="2:13" x14ac:dyDescent="0.25">
      <c r="B1221" s="33">
        <v>1</v>
      </c>
      <c r="C1221" t="s">
        <v>57</v>
      </c>
      <c r="D1221" t="s">
        <v>75</v>
      </c>
      <c r="E1221">
        <v>0</v>
      </c>
      <c r="F1221" s="2">
        <v>8.21917808219178E-3</v>
      </c>
      <c r="H1221" s="33">
        <v>1</v>
      </c>
      <c r="I1221" t="s">
        <v>57</v>
      </c>
      <c r="J1221" t="s">
        <v>75</v>
      </c>
      <c r="K1221">
        <v>0</v>
      </c>
      <c r="L1221" s="63">
        <v>1.9178082191780823E-2</v>
      </c>
      <c r="M1221">
        <v>7</v>
      </c>
    </row>
    <row r="1222" spans="2:13" x14ac:dyDescent="0.25">
      <c r="B1222" s="33">
        <v>1</v>
      </c>
      <c r="C1222" t="s">
        <v>0</v>
      </c>
      <c r="D1222" t="s">
        <v>72</v>
      </c>
      <c r="E1222">
        <v>12</v>
      </c>
      <c r="F1222" s="2">
        <v>2.7397260273972601E-2</v>
      </c>
      <c r="H1222" s="33">
        <v>1</v>
      </c>
      <c r="I1222" t="s">
        <v>0</v>
      </c>
      <c r="J1222" t="s">
        <v>72</v>
      </c>
      <c r="K1222">
        <v>12</v>
      </c>
      <c r="L1222" s="63">
        <v>2.4657534246575342E-2</v>
      </c>
      <c r="M1222">
        <v>10</v>
      </c>
    </row>
    <row r="1223" spans="2:13" x14ac:dyDescent="0.25">
      <c r="B1223" s="33">
        <v>1</v>
      </c>
      <c r="C1223" t="s">
        <v>0</v>
      </c>
      <c r="D1223" t="s">
        <v>79</v>
      </c>
      <c r="E1223">
        <v>7</v>
      </c>
      <c r="F1223" s="2">
        <v>1.0958904109589E-2</v>
      </c>
      <c r="H1223" s="33">
        <v>1</v>
      </c>
      <c r="I1223" t="s">
        <v>0</v>
      </c>
      <c r="J1223" t="s">
        <v>79</v>
      </c>
      <c r="K1223">
        <v>7</v>
      </c>
      <c r="L1223" s="63">
        <v>1.0958904109589041E-2</v>
      </c>
      <c r="M1223">
        <v>5</v>
      </c>
    </row>
    <row r="1224" spans="2:13" x14ac:dyDescent="0.25">
      <c r="B1224" s="33">
        <v>1</v>
      </c>
      <c r="C1224" t="s">
        <v>276</v>
      </c>
      <c r="D1224" t="s">
        <v>287</v>
      </c>
      <c r="E1224">
        <v>17</v>
      </c>
      <c r="F1224" s="2">
        <v>1.6438356164383602E-2</v>
      </c>
      <c r="H1224" s="33">
        <v>1</v>
      </c>
      <c r="I1224" t="s">
        <v>276</v>
      </c>
      <c r="J1224" t="s">
        <v>287</v>
      </c>
      <c r="K1224">
        <v>17</v>
      </c>
      <c r="L1224" s="63">
        <v>1.3698630136986301E-2</v>
      </c>
      <c r="M1224">
        <v>6</v>
      </c>
    </row>
    <row r="1225" spans="2:13" x14ac:dyDescent="0.25">
      <c r="B1225" s="33">
        <v>1</v>
      </c>
      <c r="C1225" t="s">
        <v>276</v>
      </c>
      <c r="D1225" t="s">
        <v>289</v>
      </c>
      <c r="E1225">
        <v>15</v>
      </c>
      <c r="F1225" s="2">
        <v>5.4794520547945197E-3</v>
      </c>
      <c r="H1225" s="33">
        <v>1</v>
      </c>
      <c r="I1225" t="s">
        <v>276</v>
      </c>
      <c r="J1225" t="s">
        <v>289</v>
      </c>
      <c r="K1225">
        <v>15</v>
      </c>
      <c r="L1225" s="63">
        <v>5.4794520547945206E-3</v>
      </c>
      <c r="M1225">
        <v>2</v>
      </c>
    </row>
    <row r="1226" spans="2:13" x14ac:dyDescent="0.25">
      <c r="B1226" s="33">
        <v>1</v>
      </c>
      <c r="C1226" t="s">
        <v>292</v>
      </c>
      <c r="D1226" t="s">
        <v>296</v>
      </c>
      <c r="E1226">
        <v>0</v>
      </c>
      <c r="F1226" s="2">
        <v>1.0958904109589E-2</v>
      </c>
      <c r="H1226" s="33">
        <v>1</v>
      </c>
      <c r="I1226" t="s">
        <v>292</v>
      </c>
      <c r="J1226" t="s">
        <v>296</v>
      </c>
      <c r="K1226">
        <v>0</v>
      </c>
      <c r="L1226" s="63">
        <v>1.0958904109589041E-2</v>
      </c>
      <c r="M1226">
        <v>4</v>
      </c>
    </row>
    <row r="1227" spans="2:13" x14ac:dyDescent="0.25">
      <c r="B1227" s="33">
        <v>1</v>
      </c>
      <c r="C1227" t="s">
        <v>2</v>
      </c>
      <c r="D1227" t="s">
        <v>28</v>
      </c>
      <c r="E1227">
        <v>2</v>
      </c>
      <c r="F1227" s="2">
        <v>8.21917808219178E-3</v>
      </c>
      <c r="H1227" s="33">
        <v>1</v>
      </c>
      <c r="I1227" t="s">
        <v>2</v>
      </c>
      <c r="J1227" t="s">
        <v>28</v>
      </c>
      <c r="K1227">
        <v>2</v>
      </c>
      <c r="L1227" s="63">
        <v>1.9178082191780823E-2</v>
      </c>
      <c r="M1227">
        <v>7</v>
      </c>
    </row>
    <row r="1228" spans="2:13" x14ac:dyDescent="0.25">
      <c r="B1228" s="33">
        <v>1</v>
      </c>
      <c r="C1228" t="s">
        <v>231</v>
      </c>
      <c r="D1228" t="s">
        <v>189</v>
      </c>
      <c r="E1228">
        <v>4</v>
      </c>
      <c r="F1228" s="2">
        <v>1.0958904109589E-2</v>
      </c>
      <c r="H1228" s="33">
        <v>1</v>
      </c>
      <c r="I1228" t="s">
        <v>231</v>
      </c>
      <c r="J1228" t="s">
        <v>189</v>
      </c>
      <c r="K1228">
        <v>4</v>
      </c>
      <c r="L1228" s="63">
        <v>2.1917808219178082E-2</v>
      </c>
      <c r="M1228">
        <v>9</v>
      </c>
    </row>
    <row r="1229" spans="2:13" x14ac:dyDescent="0.25">
      <c r="B1229" s="33">
        <v>1</v>
      </c>
      <c r="C1229" t="s">
        <v>2</v>
      </c>
      <c r="D1229" t="s">
        <v>19</v>
      </c>
      <c r="E1229">
        <v>22</v>
      </c>
      <c r="F1229" s="2">
        <v>2.7397260273972601E-2</v>
      </c>
      <c r="H1229" s="33">
        <v>1</v>
      </c>
      <c r="I1229" t="s">
        <v>2</v>
      </c>
      <c r="J1229" t="s">
        <v>19</v>
      </c>
      <c r="K1229">
        <v>22</v>
      </c>
      <c r="L1229" s="63">
        <v>5.4794520547945202E-2</v>
      </c>
      <c r="M1229">
        <v>28</v>
      </c>
    </row>
    <row r="1230" spans="2:13" x14ac:dyDescent="0.25">
      <c r="B1230" s="33">
        <v>1</v>
      </c>
      <c r="C1230" t="s">
        <v>276</v>
      </c>
      <c r="D1230" t="s">
        <v>288</v>
      </c>
      <c r="E1230">
        <v>10</v>
      </c>
      <c r="F1230" s="2">
        <v>2.19178082191781E-2</v>
      </c>
      <c r="H1230" s="33">
        <v>1</v>
      </c>
      <c r="I1230" t="s">
        <v>276</v>
      </c>
      <c r="J1230" t="s">
        <v>288</v>
      </c>
      <c r="K1230">
        <v>10</v>
      </c>
      <c r="L1230" s="63">
        <v>2.1917808219178082E-2</v>
      </c>
      <c r="M1230">
        <v>8</v>
      </c>
    </row>
    <row r="1231" spans="2:13" x14ac:dyDescent="0.25">
      <c r="B1231" s="33">
        <v>1</v>
      </c>
      <c r="C1231" t="s">
        <v>57</v>
      </c>
      <c r="D1231" t="s">
        <v>77</v>
      </c>
      <c r="E1231">
        <v>21</v>
      </c>
      <c r="F1231" s="2">
        <v>1.0958904109589E-2</v>
      </c>
      <c r="H1231" s="33">
        <v>1</v>
      </c>
      <c r="I1231" t="s">
        <v>57</v>
      </c>
      <c r="J1231" t="s">
        <v>77</v>
      </c>
      <c r="K1231">
        <v>21</v>
      </c>
      <c r="L1231" s="63">
        <v>1.9178082191780823E-2</v>
      </c>
      <c r="M1231">
        <v>8</v>
      </c>
    </row>
    <row r="1232" spans="2:13" x14ac:dyDescent="0.25">
      <c r="B1232" s="33">
        <v>1</v>
      </c>
      <c r="C1232" t="s">
        <v>2</v>
      </c>
      <c r="D1232" t="s">
        <v>19</v>
      </c>
      <c r="E1232">
        <v>1</v>
      </c>
      <c r="F1232" s="2">
        <v>5.4794520547945197E-3</v>
      </c>
      <c r="H1232" s="33">
        <v>1</v>
      </c>
      <c r="I1232" t="s">
        <v>2</v>
      </c>
      <c r="J1232" t="s">
        <v>19</v>
      </c>
      <c r="K1232">
        <v>1</v>
      </c>
      <c r="L1232" s="63">
        <v>1.3698630136986301E-2</v>
      </c>
      <c r="M1232">
        <v>5</v>
      </c>
    </row>
    <row r="1233" spans="2:13" x14ac:dyDescent="0.25">
      <c r="B1233" s="33">
        <v>1</v>
      </c>
      <c r="C1233" t="s">
        <v>292</v>
      </c>
      <c r="D1233" t="s">
        <v>297</v>
      </c>
      <c r="E1233">
        <v>11</v>
      </c>
      <c r="F1233" s="2">
        <v>8.21917808219178E-3</v>
      </c>
      <c r="H1233" s="33">
        <v>1</v>
      </c>
      <c r="I1233" t="s">
        <v>292</v>
      </c>
      <c r="J1233" t="s">
        <v>297</v>
      </c>
      <c r="K1233">
        <v>11</v>
      </c>
      <c r="L1233" s="63">
        <v>8.21917808219178E-3</v>
      </c>
      <c r="M1233">
        <v>3</v>
      </c>
    </row>
    <row r="1234" spans="2:13" x14ac:dyDescent="0.25">
      <c r="B1234" s="33">
        <v>1</v>
      </c>
      <c r="C1234" t="s">
        <v>2</v>
      </c>
      <c r="D1234" t="s">
        <v>37</v>
      </c>
      <c r="E1234">
        <v>4</v>
      </c>
      <c r="F1234" s="2">
        <v>0</v>
      </c>
      <c r="H1234" s="33">
        <v>1</v>
      </c>
      <c r="I1234" t="s">
        <v>2</v>
      </c>
      <c r="J1234" t="s">
        <v>37</v>
      </c>
      <c r="K1234">
        <v>4</v>
      </c>
      <c r="L1234" s="63">
        <v>5.4794520547945206E-3</v>
      </c>
      <c r="M1234">
        <v>2</v>
      </c>
    </row>
    <row r="1235" spans="2:13" x14ac:dyDescent="0.25">
      <c r="B1235" s="33">
        <v>1</v>
      </c>
      <c r="C1235" t="s">
        <v>0</v>
      </c>
      <c r="D1235" t="s">
        <v>72</v>
      </c>
      <c r="E1235">
        <v>4</v>
      </c>
      <c r="F1235" s="2">
        <v>2.7397260273972599E-3</v>
      </c>
      <c r="H1235" s="33">
        <v>1</v>
      </c>
      <c r="I1235" t="s">
        <v>0</v>
      </c>
      <c r="J1235" t="s">
        <v>72</v>
      </c>
      <c r="K1235">
        <v>4</v>
      </c>
      <c r="L1235" s="63">
        <v>2.7397260273972603E-3</v>
      </c>
      <c r="M1235">
        <v>1</v>
      </c>
    </row>
    <row r="1236" spans="2:13" x14ac:dyDescent="0.25">
      <c r="B1236" s="33">
        <v>1</v>
      </c>
      <c r="C1236" t="s">
        <v>292</v>
      </c>
      <c r="D1236" t="s">
        <v>321</v>
      </c>
      <c r="E1236">
        <v>7</v>
      </c>
      <c r="F1236" s="2">
        <v>8.21917808219178E-3</v>
      </c>
      <c r="H1236" s="33">
        <v>1</v>
      </c>
      <c r="I1236" t="s">
        <v>292</v>
      </c>
      <c r="J1236" t="s">
        <v>321</v>
      </c>
      <c r="K1236">
        <v>7</v>
      </c>
      <c r="L1236" s="63">
        <v>5.4794520547945206E-3</v>
      </c>
      <c r="M1236">
        <v>3</v>
      </c>
    </row>
    <row r="1237" spans="2:13" x14ac:dyDescent="0.25">
      <c r="B1237" s="33">
        <v>1</v>
      </c>
      <c r="C1237" t="s">
        <v>292</v>
      </c>
      <c r="D1237" t="s">
        <v>320</v>
      </c>
      <c r="E1237">
        <v>23</v>
      </c>
      <c r="F1237" s="2">
        <v>3.0136986301369899E-2</v>
      </c>
      <c r="H1237" s="33">
        <v>1</v>
      </c>
      <c r="I1237" t="s">
        <v>292</v>
      </c>
      <c r="J1237" t="s">
        <v>320</v>
      </c>
      <c r="K1237">
        <v>23</v>
      </c>
      <c r="L1237" s="63">
        <v>2.7397260273972601E-2</v>
      </c>
      <c r="M1237">
        <v>11</v>
      </c>
    </row>
    <row r="1238" spans="2:13" x14ac:dyDescent="0.25">
      <c r="B1238" s="33">
        <v>1</v>
      </c>
      <c r="C1238" t="s">
        <v>292</v>
      </c>
      <c r="D1238" t="s">
        <v>297</v>
      </c>
      <c r="E1238">
        <v>1</v>
      </c>
      <c r="F1238" s="2">
        <v>1.9178082191780799E-2</v>
      </c>
      <c r="H1238" s="33">
        <v>1</v>
      </c>
      <c r="I1238" t="s">
        <v>292</v>
      </c>
      <c r="J1238" t="s">
        <v>297</v>
      </c>
      <c r="K1238">
        <v>1</v>
      </c>
      <c r="L1238" s="63">
        <v>1.9178082191780823E-2</v>
      </c>
      <c r="M1238">
        <v>7</v>
      </c>
    </row>
    <row r="1239" spans="2:13" x14ac:dyDescent="0.25">
      <c r="B1239" s="33">
        <v>1</v>
      </c>
      <c r="C1239" t="s">
        <v>231</v>
      </c>
      <c r="D1239" t="s">
        <v>188</v>
      </c>
      <c r="E1239">
        <v>3</v>
      </c>
      <c r="F1239" s="2">
        <v>0</v>
      </c>
      <c r="H1239" s="33">
        <v>1</v>
      </c>
      <c r="I1239" t="s">
        <v>231</v>
      </c>
      <c r="J1239" t="s">
        <v>188</v>
      </c>
      <c r="K1239">
        <v>3</v>
      </c>
      <c r="L1239" s="63">
        <v>1.0958904109589041E-2</v>
      </c>
      <c r="M1239">
        <v>4</v>
      </c>
    </row>
    <row r="1240" spans="2:13" x14ac:dyDescent="0.25">
      <c r="B1240" s="33">
        <v>1</v>
      </c>
      <c r="C1240" t="s">
        <v>0</v>
      </c>
      <c r="D1240" t="s">
        <v>73</v>
      </c>
      <c r="E1240">
        <v>6</v>
      </c>
      <c r="F1240" s="2">
        <v>8.21917808219178E-3</v>
      </c>
      <c r="H1240" s="33">
        <v>1</v>
      </c>
      <c r="I1240" t="s">
        <v>0</v>
      </c>
      <c r="J1240" t="s">
        <v>73</v>
      </c>
      <c r="K1240">
        <v>6</v>
      </c>
      <c r="L1240" s="63">
        <v>3.287671232876712E-2</v>
      </c>
      <c r="M1240">
        <v>12</v>
      </c>
    </row>
    <row r="1241" spans="2:13" x14ac:dyDescent="0.25">
      <c r="B1241" s="33">
        <v>1</v>
      </c>
      <c r="C1241" t="s">
        <v>59</v>
      </c>
      <c r="D1241" t="s">
        <v>76</v>
      </c>
      <c r="E1241">
        <v>23</v>
      </c>
      <c r="F1241" s="2">
        <v>2.19178082191781E-2</v>
      </c>
      <c r="H1241" s="33">
        <v>1</v>
      </c>
      <c r="I1241" t="s">
        <v>59</v>
      </c>
      <c r="J1241" t="s">
        <v>76</v>
      </c>
      <c r="K1241">
        <v>23</v>
      </c>
      <c r="L1241" s="63">
        <v>2.1917808219178082E-2</v>
      </c>
      <c r="M1241">
        <v>8</v>
      </c>
    </row>
    <row r="1242" spans="2:13" x14ac:dyDescent="0.25">
      <c r="B1242" s="33">
        <v>1</v>
      </c>
      <c r="C1242" t="s">
        <v>307</v>
      </c>
      <c r="D1242" t="s">
        <v>309</v>
      </c>
      <c r="E1242">
        <v>3</v>
      </c>
      <c r="F1242" s="2">
        <v>2.7397260273972599E-3</v>
      </c>
      <c r="H1242" s="33">
        <v>1</v>
      </c>
      <c r="I1242" t="s">
        <v>307</v>
      </c>
      <c r="J1242" t="s">
        <v>309</v>
      </c>
      <c r="K1242">
        <v>3</v>
      </c>
      <c r="L1242" s="63">
        <v>2.7397260273972603E-3</v>
      </c>
      <c r="M1242">
        <v>1</v>
      </c>
    </row>
    <row r="1243" spans="2:13" x14ac:dyDescent="0.25">
      <c r="B1243" s="33">
        <v>1</v>
      </c>
      <c r="C1243" t="s">
        <v>2</v>
      </c>
      <c r="D1243" t="s">
        <v>38</v>
      </c>
      <c r="E1243">
        <v>13</v>
      </c>
      <c r="F1243" s="2">
        <v>5.4794520547945197E-3</v>
      </c>
      <c r="H1243" s="33">
        <v>1</v>
      </c>
      <c r="I1243" t="s">
        <v>2</v>
      </c>
      <c r="J1243" t="s">
        <v>38</v>
      </c>
      <c r="K1243">
        <v>13</v>
      </c>
      <c r="L1243" s="63">
        <v>1.3698630136986301E-2</v>
      </c>
      <c r="M1243">
        <v>5</v>
      </c>
    </row>
    <row r="1244" spans="2:13" x14ac:dyDescent="0.25">
      <c r="B1244" s="33">
        <v>1</v>
      </c>
      <c r="C1244" t="s">
        <v>276</v>
      </c>
      <c r="D1244" t="s">
        <v>288</v>
      </c>
      <c r="E1244">
        <v>21</v>
      </c>
      <c r="F1244" s="2">
        <v>1.3698630136986301E-2</v>
      </c>
      <c r="H1244" s="33">
        <v>1</v>
      </c>
      <c r="I1244" t="s">
        <v>276</v>
      </c>
      <c r="J1244" t="s">
        <v>288</v>
      </c>
      <c r="K1244">
        <v>21</v>
      </c>
      <c r="L1244" s="63">
        <v>1.3698630136986301E-2</v>
      </c>
      <c r="M1244">
        <v>5</v>
      </c>
    </row>
    <row r="1245" spans="2:13" x14ac:dyDescent="0.25">
      <c r="B1245" s="33">
        <v>1</v>
      </c>
      <c r="C1245" t="s">
        <v>307</v>
      </c>
      <c r="D1245" t="s">
        <v>313</v>
      </c>
      <c r="E1245">
        <v>22</v>
      </c>
      <c r="F1245" s="2">
        <v>8.21917808219178E-3</v>
      </c>
      <c r="H1245" s="33">
        <v>1</v>
      </c>
      <c r="I1245" t="s">
        <v>307</v>
      </c>
      <c r="J1245" t="s">
        <v>313</v>
      </c>
      <c r="K1245">
        <v>22</v>
      </c>
      <c r="L1245" s="63">
        <v>8.21917808219178E-3</v>
      </c>
      <c r="M1245">
        <v>3</v>
      </c>
    </row>
    <row r="1246" spans="2:13" x14ac:dyDescent="0.25">
      <c r="B1246" s="33">
        <v>1</v>
      </c>
      <c r="C1246" t="s">
        <v>276</v>
      </c>
      <c r="D1246" t="s">
        <v>288</v>
      </c>
      <c r="E1246">
        <v>1</v>
      </c>
      <c r="F1246" s="2">
        <v>1.0958904109589E-2</v>
      </c>
      <c r="H1246" s="33">
        <v>1</v>
      </c>
      <c r="I1246" t="s">
        <v>276</v>
      </c>
      <c r="J1246" t="s">
        <v>288</v>
      </c>
      <c r="K1246">
        <v>1</v>
      </c>
      <c r="L1246" s="63">
        <v>1.0958904109589041E-2</v>
      </c>
      <c r="M1246">
        <v>4</v>
      </c>
    </row>
    <row r="1247" spans="2:13" x14ac:dyDescent="0.25">
      <c r="B1247" s="33">
        <v>1</v>
      </c>
      <c r="C1247" t="s">
        <v>276</v>
      </c>
      <c r="D1247" t="s">
        <v>290</v>
      </c>
      <c r="E1247">
        <v>2</v>
      </c>
      <c r="F1247" s="2">
        <v>2.7397260273972599E-3</v>
      </c>
      <c r="H1247" s="33">
        <v>1</v>
      </c>
      <c r="I1247" t="s">
        <v>276</v>
      </c>
      <c r="J1247" t="s">
        <v>290</v>
      </c>
      <c r="K1247">
        <v>2</v>
      </c>
      <c r="L1247" s="63">
        <v>2.7397260273972603E-3</v>
      </c>
      <c r="M1247">
        <v>1</v>
      </c>
    </row>
    <row r="1248" spans="2:13" x14ac:dyDescent="0.25">
      <c r="B1248" s="33">
        <v>1</v>
      </c>
      <c r="C1248" t="s">
        <v>276</v>
      </c>
      <c r="D1248" t="s">
        <v>288</v>
      </c>
      <c r="E1248">
        <v>2</v>
      </c>
      <c r="F1248" s="2">
        <v>2.7397260273972599E-3</v>
      </c>
      <c r="H1248" s="33">
        <v>1</v>
      </c>
      <c r="I1248" t="s">
        <v>276</v>
      </c>
      <c r="J1248" t="s">
        <v>288</v>
      </c>
      <c r="K1248">
        <v>2</v>
      </c>
      <c r="L1248" s="63">
        <v>2.7397260273972603E-3</v>
      </c>
      <c r="M1248">
        <v>1</v>
      </c>
    </row>
    <row r="1249" spans="2:13" x14ac:dyDescent="0.25">
      <c r="B1249" s="33">
        <v>1</v>
      </c>
      <c r="C1249" t="s">
        <v>276</v>
      </c>
      <c r="D1249" t="s">
        <v>290</v>
      </c>
      <c r="E1249">
        <v>4</v>
      </c>
      <c r="F1249" s="2">
        <v>5.4794520547945197E-3</v>
      </c>
      <c r="H1249" s="33">
        <v>1</v>
      </c>
      <c r="I1249" t="s">
        <v>276</v>
      </c>
      <c r="J1249" t="s">
        <v>290</v>
      </c>
      <c r="K1249">
        <v>4</v>
      </c>
      <c r="L1249" s="63">
        <v>5.4794520547945206E-3</v>
      </c>
      <c r="M1249">
        <v>2</v>
      </c>
    </row>
    <row r="1250" spans="2:13" x14ac:dyDescent="0.25">
      <c r="B1250" s="33">
        <v>1</v>
      </c>
      <c r="C1250" t="s">
        <v>276</v>
      </c>
      <c r="D1250" t="s">
        <v>288</v>
      </c>
      <c r="E1250">
        <v>6</v>
      </c>
      <c r="F1250" s="2">
        <v>1.3698630136986301E-2</v>
      </c>
      <c r="H1250" s="33">
        <v>1</v>
      </c>
      <c r="I1250" t="s">
        <v>276</v>
      </c>
      <c r="J1250" t="s">
        <v>288</v>
      </c>
      <c r="K1250">
        <v>6</v>
      </c>
      <c r="L1250" s="63">
        <v>1.3698630136986301E-2</v>
      </c>
      <c r="M1250">
        <v>5</v>
      </c>
    </row>
    <row r="1251" spans="2:13" x14ac:dyDescent="0.25">
      <c r="B1251" s="33">
        <v>1</v>
      </c>
      <c r="C1251" t="s">
        <v>276</v>
      </c>
      <c r="D1251" t="s">
        <v>319</v>
      </c>
      <c r="E1251">
        <v>15</v>
      </c>
      <c r="F1251" s="2">
        <v>1.3698630136986301E-2</v>
      </c>
      <c r="H1251" s="33">
        <v>1</v>
      </c>
      <c r="I1251" t="s">
        <v>276</v>
      </c>
      <c r="J1251" t="s">
        <v>319</v>
      </c>
      <c r="K1251">
        <v>15</v>
      </c>
      <c r="L1251" s="63">
        <v>1.3698630136986301E-2</v>
      </c>
      <c r="M1251">
        <v>5</v>
      </c>
    </row>
    <row r="1252" spans="2:13" x14ac:dyDescent="0.25">
      <c r="B1252" s="33">
        <v>1</v>
      </c>
      <c r="C1252" t="s">
        <v>276</v>
      </c>
      <c r="D1252" t="s">
        <v>288</v>
      </c>
      <c r="E1252">
        <v>13</v>
      </c>
      <c r="F1252" s="2">
        <v>1.3698630136986301E-2</v>
      </c>
      <c r="H1252" s="33">
        <v>1</v>
      </c>
      <c r="I1252" t="s">
        <v>276</v>
      </c>
      <c r="J1252" t="s">
        <v>288</v>
      </c>
      <c r="K1252">
        <v>13</v>
      </c>
      <c r="L1252" s="63">
        <v>1.0958904109589041E-2</v>
      </c>
      <c r="M1252">
        <v>5</v>
      </c>
    </row>
    <row r="1253" spans="2:13" x14ac:dyDescent="0.25">
      <c r="B1253" s="33">
        <v>1</v>
      </c>
      <c r="C1253" t="s">
        <v>0</v>
      </c>
      <c r="D1253" t="s">
        <v>78</v>
      </c>
      <c r="E1253">
        <v>9</v>
      </c>
      <c r="F1253" s="2">
        <v>5.4794520547945197E-3</v>
      </c>
      <c r="H1253" s="33">
        <v>1</v>
      </c>
      <c r="I1253" t="s">
        <v>0</v>
      </c>
      <c r="J1253" t="s">
        <v>78</v>
      </c>
      <c r="K1253">
        <v>9</v>
      </c>
      <c r="L1253" s="63">
        <v>8.21917808219178E-3</v>
      </c>
      <c r="M1253">
        <v>3</v>
      </c>
    </row>
    <row r="1254" spans="2:13" x14ac:dyDescent="0.25">
      <c r="B1254" s="33">
        <v>1</v>
      </c>
      <c r="C1254" t="s">
        <v>276</v>
      </c>
      <c r="D1254" t="s">
        <v>289</v>
      </c>
      <c r="E1254">
        <v>18</v>
      </c>
      <c r="F1254" s="2">
        <v>5.4794520547945197E-3</v>
      </c>
      <c r="H1254" s="33">
        <v>1</v>
      </c>
      <c r="I1254" t="s">
        <v>276</v>
      </c>
      <c r="J1254" t="s">
        <v>289</v>
      </c>
      <c r="K1254">
        <v>18</v>
      </c>
      <c r="L1254" s="63">
        <v>5.4794520547945206E-3</v>
      </c>
      <c r="M1254">
        <v>2</v>
      </c>
    </row>
    <row r="1255" spans="2:13" x14ac:dyDescent="0.25">
      <c r="B1255" s="33">
        <v>1</v>
      </c>
      <c r="C1255" t="s">
        <v>307</v>
      </c>
      <c r="D1255" t="s">
        <v>312</v>
      </c>
      <c r="E1255">
        <v>4</v>
      </c>
      <c r="F1255" s="2">
        <v>1.0958904109589E-2</v>
      </c>
      <c r="H1255" s="33">
        <v>1</v>
      </c>
      <c r="I1255" t="s">
        <v>307</v>
      </c>
      <c r="J1255" t="s">
        <v>312</v>
      </c>
      <c r="K1255">
        <v>4</v>
      </c>
      <c r="L1255" s="63">
        <v>8.21917808219178E-3</v>
      </c>
      <c r="M1255">
        <v>4</v>
      </c>
    </row>
    <row r="1256" spans="2:13" x14ac:dyDescent="0.25">
      <c r="B1256" s="33">
        <v>1</v>
      </c>
      <c r="C1256" t="s">
        <v>276</v>
      </c>
      <c r="D1256" t="s">
        <v>286</v>
      </c>
      <c r="E1256">
        <v>8</v>
      </c>
      <c r="F1256" s="2">
        <v>5.4794520547945197E-3</v>
      </c>
      <c r="H1256" s="33">
        <v>1</v>
      </c>
      <c r="I1256" t="s">
        <v>276</v>
      </c>
      <c r="J1256" t="s">
        <v>286</v>
      </c>
      <c r="K1256">
        <v>8</v>
      </c>
      <c r="L1256" s="63">
        <v>5.4794520547945206E-3</v>
      </c>
      <c r="M1256">
        <v>2</v>
      </c>
    </row>
    <row r="1257" spans="2:13" x14ac:dyDescent="0.25">
      <c r="B1257" s="33">
        <v>1</v>
      </c>
      <c r="C1257" t="s">
        <v>307</v>
      </c>
      <c r="D1257" t="s">
        <v>309</v>
      </c>
      <c r="E1257">
        <v>12</v>
      </c>
      <c r="F1257" s="2">
        <v>8.21917808219178E-3</v>
      </c>
      <c r="H1257" s="33">
        <v>1</v>
      </c>
      <c r="I1257" t="s">
        <v>307</v>
      </c>
      <c r="J1257" t="s">
        <v>309</v>
      </c>
      <c r="K1257">
        <v>12</v>
      </c>
      <c r="L1257" s="63">
        <v>5.4794520547945206E-3</v>
      </c>
      <c r="M1257">
        <v>3</v>
      </c>
    </row>
    <row r="1258" spans="2:13" x14ac:dyDescent="0.25">
      <c r="B1258" s="33">
        <v>1</v>
      </c>
      <c r="C1258" t="s">
        <v>2</v>
      </c>
      <c r="D1258" t="s">
        <v>17</v>
      </c>
      <c r="E1258">
        <v>1</v>
      </c>
      <c r="F1258" s="2">
        <v>1.3698630136986301E-2</v>
      </c>
      <c r="H1258" s="33">
        <v>1</v>
      </c>
      <c r="I1258" t="s">
        <v>2</v>
      </c>
      <c r="J1258" t="s">
        <v>17</v>
      </c>
      <c r="K1258">
        <v>1</v>
      </c>
      <c r="L1258" s="63">
        <v>1.9178082191780823E-2</v>
      </c>
      <c r="M1258">
        <v>7</v>
      </c>
    </row>
    <row r="1259" spans="2:13" x14ac:dyDescent="0.25">
      <c r="B1259" s="33">
        <v>1</v>
      </c>
      <c r="C1259" t="s">
        <v>0</v>
      </c>
      <c r="D1259" t="s">
        <v>70</v>
      </c>
      <c r="E1259">
        <v>5</v>
      </c>
      <c r="F1259" s="2">
        <v>2.7397260273972599E-3</v>
      </c>
      <c r="H1259" s="33">
        <v>1</v>
      </c>
      <c r="I1259" t="s">
        <v>0</v>
      </c>
      <c r="J1259" t="s">
        <v>70</v>
      </c>
      <c r="K1259">
        <v>5</v>
      </c>
      <c r="L1259" s="63">
        <v>8.21917808219178E-3</v>
      </c>
      <c r="M1259">
        <v>3</v>
      </c>
    </row>
    <row r="1260" spans="2:13" x14ac:dyDescent="0.25">
      <c r="B1260" s="33">
        <v>1</v>
      </c>
      <c r="C1260" t="s">
        <v>276</v>
      </c>
      <c r="D1260" t="s">
        <v>286</v>
      </c>
      <c r="E1260">
        <v>18</v>
      </c>
      <c r="F1260" s="2">
        <v>8.21917808219178E-3</v>
      </c>
      <c r="H1260" s="33">
        <v>1</v>
      </c>
      <c r="I1260" t="s">
        <v>276</v>
      </c>
      <c r="J1260" t="s">
        <v>286</v>
      </c>
      <c r="K1260">
        <v>18</v>
      </c>
      <c r="L1260" s="63">
        <v>8.21917808219178E-3</v>
      </c>
      <c r="M1260">
        <v>3</v>
      </c>
    </row>
    <row r="1261" spans="2:13" x14ac:dyDescent="0.25">
      <c r="B1261" s="33">
        <v>1</v>
      </c>
      <c r="C1261" t="s">
        <v>231</v>
      </c>
      <c r="D1261" t="s">
        <v>189</v>
      </c>
      <c r="E1261">
        <v>2</v>
      </c>
      <c r="F1261" s="2">
        <v>5.4794520547945197E-3</v>
      </c>
      <c r="H1261" s="33">
        <v>1</v>
      </c>
      <c r="I1261" t="s">
        <v>231</v>
      </c>
      <c r="J1261" t="s">
        <v>189</v>
      </c>
      <c r="K1261">
        <v>2</v>
      </c>
      <c r="L1261" s="63">
        <v>5.4794520547945206E-3</v>
      </c>
      <c r="M1261">
        <v>3</v>
      </c>
    </row>
    <row r="1262" spans="2:13" x14ac:dyDescent="0.25">
      <c r="B1262" s="33">
        <v>1</v>
      </c>
      <c r="C1262" t="s">
        <v>2</v>
      </c>
      <c r="D1262" t="s">
        <v>32</v>
      </c>
      <c r="E1262">
        <v>20</v>
      </c>
      <c r="F1262" s="2">
        <v>5.4794520547945197E-3</v>
      </c>
      <c r="H1262" s="33">
        <v>1</v>
      </c>
      <c r="I1262" t="s">
        <v>2</v>
      </c>
      <c r="J1262" t="s">
        <v>32</v>
      </c>
      <c r="K1262">
        <v>20</v>
      </c>
      <c r="L1262" s="63">
        <v>8.21917808219178E-3</v>
      </c>
      <c r="M1262">
        <v>3</v>
      </c>
    </row>
    <row r="1263" spans="2:13" x14ac:dyDescent="0.25">
      <c r="B1263" s="33">
        <v>1</v>
      </c>
      <c r="C1263" t="s">
        <v>231</v>
      </c>
      <c r="D1263" t="s">
        <v>188</v>
      </c>
      <c r="E1263">
        <v>0</v>
      </c>
      <c r="F1263" s="2">
        <v>1.3698630136986301E-2</v>
      </c>
      <c r="H1263" s="33">
        <v>1</v>
      </c>
      <c r="I1263" t="s">
        <v>231</v>
      </c>
      <c r="J1263" t="s">
        <v>188</v>
      </c>
      <c r="K1263">
        <v>0</v>
      </c>
      <c r="L1263" s="63">
        <v>2.1917808219178082E-2</v>
      </c>
      <c r="M1263">
        <v>10</v>
      </c>
    </row>
    <row r="1264" spans="2:13" x14ac:dyDescent="0.25">
      <c r="B1264" s="33">
        <v>1</v>
      </c>
      <c r="C1264" t="s">
        <v>57</v>
      </c>
      <c r="D1264" t="s">
        <v>77</v>
      </c>
      <c r="E1264">
        <v>4</v>
      </c>
      <c r="F1264" s="2">
        <v>0</v>
      </c>
      <c r="H1264" s="33">
        <v>1</v>
      </c>
      <c r="I1264" t="s">
        <v>57</v>
      </c>
      <c r="J1264" t="s">
        <v>77</v>
      </c>
      <c r="K1264">
        <v>4</v>
      </c>
      <c r="L1264" s="63">
        <v>2.7397260273972603E-3</v>
      </c>
      <c r="M1264">
        <v>1</v>
      </c>
    </row>
    <row r="1265" spans="2:13" x14ac:dyDescent="0.25">
      <c r="B1265" s="33">
        <v>1</v>
      </c>
      <c r="C1265" t="s">
        <v>292</v>
      </c>
      <c r="D1265" t="s">
        <v>297</v>
      </c>
      <c r="E1265">
        <v>2</v>
      </c>
      <c r="F1265" s="2">
        <v>5.4794520547945197E-3</v>
      </c>
      <c r="H1265" s="33">
        <v>1</v>
      </c>
      <c r="I1265" t="s">
        <v>292</v>
      </c>
      <c r="J1265" t="s">
        <v>297</v>
      </c>
      <c r="K1265">
        <v>2</v>
      </c>
      <c r="L1265" s="63">
        <v>5.4794520547945206E-3</v>
      </c>
      <c r="M1265">
        <v>2</v>
      </c>
    </row>
    <row r="1266" spans="2:13" x14ac:dyDescent="0.25">
      <c r="B1266" s="33">
        <v>1</v>
      </c>
      <c r="C1266" t="s">
        <v>57</v>
      </c>
      <c r="D1266" t="s">
        <v>77</v>
      </c>
      <c r="E1266">
        <v>15</v>
      </c>
      <c r="F1266" s="2">
        <v>1.3698630136986301E-2</v>
      </c>
      <c r="H1266" s="33">
        <v>1</v>
      </c>
      <c r="I1266" t="s">
        <v>57</v>
      </c>
      <c r="J1266" t="s">
        <v>77</v>
      </c>
      <c r="K1266">
        <v>15</v>
      </c>
      <c r="L1266" s="63">
        <v>1.9178082191780823E-2</v>
      </c>
      <c r="M1266">
        <v>9</v>
      </c>
    </row>
    <row r="1267" spans="2:13" x14ac:dyDescent="0.25">
      <c r="B1267" s="33">
        <v>1</v>
      </c>
      <c r="C1267" t="s">
        <v>2</v>
      </c>
      <c r="D1267" t="s">
        <v>19</v>
      </c>
      <c r="E1267">
        <v>3</v>
      </c>
      <c r="F1267" s="2">
        <v>8.21917808219178E-3</v>
      </c>
      <c r="H1267" s="33">
        <v>1</v>
      </c>
      <c r="I1267" t="s">
        <v>2</v>
      </c>
      <c r="J1267" t="s">
        <v>19</v>
      </c>
      <c r="K1267">
        <v>3</v>
      </c>
      <c r="L1267" s="63">
        <v>1.0958904109589041E-2</v>
      </c>
      <c r="M1267">
        <v>4</v>
      </c>
    </row>
    <row r="1268" spans="2:13" x14ac:dyDescent="0.25">
      <c r="B1268" s="33">
        <v>1</v>
      </c>
      <c r="C1268" t="s">
        <v>2</v>
      </c>
      <c r="D1268" t="s">
        <v>38</v>
      </c>
      <c r="E1268">
        <v>19</v>
      </c>
      <c r="F1268" s="2">
        <v>2.7397260273972599E-3</v>
      </c>
      <c r="H1268" s="33">
        <v>1</v>
      </c>
      <c r="I1268" t="s">
        <v>2</v>
      </c>
      <c r="J1268" t="s">
        <v>38</v>
      </c>
      <c r="K1268">
        <v>19</v>
      </c>
      <c r="L1268" s="63">
        <v>2.7397260273972603E-3</v>
      </c>
      <c r="M1268">
        <v>1</v>
      </c>
    </row>
    <row r="1269" spans="2:13" x14ac:dyDescent="0.25">
      <c r="B1269" s="33">
        <v>1</v>
      </c>
      <c r="C1269" t="s">
        <v>292</v>
      </c>
      <c r="D1269" t="s">
        <v>297</v>
      </c>
      <c r="E1269">
        <v>20</v>
      </c>
      <c r="F1269" s="2">
        <v>1.0958904109589E-2</v>
      </c>
      <c r="H1269" s="33">
        <v>1</v>
      </c>
      <c r="I1269" t="s">
        <v>292</v>
      </c>
      <c r="J1269" t="s">
        <v>297</v>
      </c>
      <c r="K1269">
        <v>20</v>
      </c>
      <c r="L1269" s="63">
        <v>1.0958904109589041E-2</v>
      </c>
      <c r="M1269">
        <v>4</v>
      </c>
    </row>
    <row r="1270" spans="2:13" x14ac:dyDescent="0.25">
      <c r="B1270" s="33">
        <v>1</v>
      </c>
      <c r="C1270" t="s">
        <v>307</v>
      </c>
      <c r="D1270" t="s">
        <v>313</v>
      </c>
      <c r="E1270">
        <v>5</v>
      </c>
      <c r="F1270" s="2">
        <v>5.4794520547945197E-3</v>
      </c>
      <c r="H1270" s="33">
        <v>1</v>
      </c>
      <c r="I1270" t="s">
        <v>307</v>
      </c>
      <c r="J1270" t="s">
        <v>313</v>
      </c>
      <c r="K1270">
        <v>5</v>
      </c>
      <c r="L1270" s="63">
        <v>5.4794520547945206E-3</v>
      </c>
      <c r="M1270">
        <v>2</v>
      </c>
    </row>
    <row r="1271" spans="2:13" x14ac:dyDescent="0.25">
      <c r="B1271" s="33">
        <v>1</v>
      </c>
      <c r="C1271" t="s">
        <v>2</v>
      </c>
      <c r="D1271" t="s">
        <v>19</v>
      </c>
      <c r="E1271">
        <v>4</v>
      </c>
      <c r="F1271" s="2">
        <v>2.7397260273972599E-3</v>
      </c>
      <c r="H1271" s="33">
        <v>1</v>
      </c>
      <c r="I1271" t="s">
        <v>2</v>
      </c>
      <c r="J1271" t="s">
        <v>19</v>
      </c>
      <c r="K1271">
        <v>4</v>
      </c>
      <c r="L1271" s="63">
        <v>1.3698630136986301E-2</v>
      </c>
      <c r="M1271">
        <v>5</v>
      </c>
    </row>
    <row r="1272" spans="2:13" x14ac:dyDescent="0.25">
      <c r="B1272" s="33">
        <v>1</v>
      </c>
      <c r="C1272" t="s">
        <v>57</v>
      </c>
      <c r="D1272" t="s">
        <v>66</v>
      </c>
      <c r="E1272">
        <v>4</v>
      </c>
      <c r="F1272" s="2">
        <v>1.0958904109589E-2</v>
      </c>
      <c r="H1272" s="33">
        <v>1</v>
      </c>
      <c r="I1272" t="s">
        <v>57</v>
      </c>
      <c r="J1272" t="s">
        <v>66</v>
      </c>
      <c r="K1272">
        <v>4</v>
      </c>
      <c r="L1272" s="63">
        <v>1.0958904109589041E-2</v>
      </c>
      <c r="M1272">
        <v>4</v>
      </c>
    </row>
    <row r="1273" spans="2:13" x14ac:dyDescent="0.25">
      <c r="B1273" s="33">
        <v>1</v>
      </c>
      <c r="C1273" t="s">
        <v>0</v>
      </c>
      <c r="D1273" t="s">
        <v>73</v>
      </c>
      <c r="E1273">
        <v>3</v>
      </c>
      <c r="F1273" s="2">
        <v>2.7397260273972599E-3</v>
      </c>
      <c r="H1273" s="33">
        <v>1</v>
      </c>
      <c r="I1273" t="s">
        <v>0</v>
      </c>
      <c r="J1273" t="s">
        <v>73</v>
      </c>
      <c r="K1273">
        <v>3</v>
      </c>
      <c r="L1273" s="63">
        <v>5.4794520547945206E-3</v>
      </c>
      <c r="M1273">
        <v>2</v>
      </c>
    </row>
    <row r="1274" spans="2:13" x14ac:dyDescent="0.25">
      <c r="B1274" s="33">
        <v>1</v>
      </c>
      <c r="C1274" t="s">
        <v>276</v>
      </c>
      <c r="D1274" t="s">
        <v>291</v>
      </c>
      <c r="E1274">
        <v>1</v>
      </c>
      <c r="F1274" s="2">
        <v>1.3698630136986301E-2</v>
      </c>
      <c r="H1274" s="33">
        <v>1</v>
      </c>
      <c r="I1274" t="s">
        <v>276</v>
      </c>
      <c r="J1274" t="s">
        <v>291</v>
      </c>
      <c r="K1274">
        <v>1</v>
      </c>
      <c r="L1274" s="63">
        <v>1.3698630136986301E-2</v>
      </c>
      <c r="M1274">
        <v>5</v>
      </c>
    </row>
    <row r="1275" spans="2:13" x14ac:dyDescent="0.25">
      <c r="B1275" s="33">
        <v>1</v>
      </c>
      <c r="C1275" t="s">
        <v>59</v>
      </c>
      <c r="D1275" t="s">
        <v>76</v>
      </c>
      <c r="E1275">
        <v>15</v>
      </c>
      <c r="F1275" s="2">
        <v>2.46575342465753E-2</v>
      </c>
      <c r="H1275" s="33">
        <v>1</v>
      </c>
      <c r="I1275" t="s">
        <v>59</v>
      </c>
      <c r="J1275" t="s">
        <v>76</v>
      </c>
      <c r="K1275">
        <v>15</v>
      </c>
      <c r="L1275" s="63">
        <v>2.7397260273972601E-2</v>
      </c>
      <c r="M1275">
        <v>11</v>
      </c>
    </row>
    <row r="1276" spans="2:13" x14ac:dyDescent="0.25">
      <c r="B1276" s="33">
        <v>1</v>
      </c>
      <c r="C1276" t="s">
        <v>0</v>
      </c>
      <c r="D1276" t="s">
        <v>71</v>
      </c>
      <c r="E1276">
        <v>2</v>
      </c>
      <c r="F1276" s="2">
        <v>0</v>
      </c>
      <c r="H1276" s="33">
        <v>1</v>
      </c>
      <c r="I1276" t="s">
        <v>0</v>
      </c>
      <c r="J1276" t="s">
        <v>71</v>
      </c>
      <c r="K1276">
        <v>2</v>
      </c>
      <c r="L1276" s="63">
        <v>5.4794520547945206E-3</v>
      </c>
      <c r="M1276">
        <v>2</v>
      </c>
    </row>
    <row r="1277" spans="2:13" x14ac:dyDescent="0.25">
      <c r="B1277" s="33">
        <v>1</v>
      </c>
      <c r="C1277" t="s">
        <v>0</v>
      </c>
      <c r="D1277" t="s">
        <v>79</v>
      </c>
      <c r="E1277">
        <v>0</v>
      </c>
      <c r="F1277" s="2">
        <v>2.7397260273972599E-3</v>
      </c>
      <c r="H1277" s="33">
        <v>1</v>
      </c>
      <c r="I1277" t="s">
        <v>0</v>
      </c>
      <c r="J1277" t="s">
        <v>79</v>
      </c>
      <c r="K1277">
        <v>0</v>
      </c>
      <c r="L1277" s="63">
        <v>5.4794520547945206E-3</v>
      </c>
      <c r="M1277">
        <v>2</v>
      </c>
    </row>
    <row r="1278" spans="2:13" x14ac:dyDescent="0.25">
      <c r="B1278" s="33">
        <v>1</v>
      </c>
      <c r="C1278" t="s">
        <v>0</v>
      </c>
      <c r="D1278" t="s">
        <v>78</v>
      </c>
      <c r="E1278">
        <v>22</v>
      </c>
      <c r="F1278" s="2">
        <v>2.7397260273972599E-3</v>
      </c>
      <c r="H1278" s="33">
        <v>1</v>
      </c>
      <c r="I1278" t="s">
        <v>0</v>
      </c>
      <c r="J1278" t="s">
        <v>78</v>
      </c>
      <c r="K1278">
        <v>22</v>
      </c>
      <c r="L1278" s="63">
        <v>1.0958904109589041E-2</v>
      </c>
      <c r="M1278">
        <v>4</v>
      </c>
    </row>
    <row r="1279" spans="2:13" x14ac:dyDescent="0.25">
      <c r="B1279" s="33">
        <v>1</v>
      </c>
      <c r="C1279" t="s">
        <v>2</v>
      </c>
      <c r="D1279" t="s">
        <v>28</v>
      </c>
      <c r="E1279">
        <v>22</v>
      </c>
      <c r="F1279" s="2">
        <v>1.3698630136986301E-2</v>
      </c>
      <c r="H1279" s="33">
        <v>1</v>
      </c>
      <c r="I1279" t="s">
        <v>2</v>
      </c>
      <c r="J1279" t="s">
        <v>28</v>
      </c>
      <c r="K1279">
        <v>22</v>
      </c>
      <c r="L1279" s="63">
        <v>2.1917808219178082E-2</v>
      </c>
      <c r="M1279">
        <v>8</v>
      </c>
    </row>
    <row r="1280" spans="2:13" x14ac:dyDescent="0.25">
      <c r="B1280" s="33">
        <v>1</v>
      </c>
      <c r="C1280" t="s">
        <v>2</v>
      </c>
      <c r="D1280" t="s">
        <v>28</v>
      </c>
      <c r="E1280">
        <v>6</v>
      </c>
      <c r="F1280" s="2">
        <v>1.3698630136986301E-2</v>
      </c>
      <c r="H1280" s="33">
        <v>1</v>
      </c>
      <c r="I1280" t="s">
        <v>2</v>
      </c>
      <c r="J1280" t="s">
        <v>28</v>
      </c>
      <c r="K1280">
        <v>6</v>
      </c>
      <c r="L1280" s="63">
        <v>1.9178082191780823E-2</v>
      </c>
      <c r="M1280">
        <v>8</v>
      </c>
    </row>
    <row r="1281" spans="2:13" x14ac:dyDescent="0.25">
      <c r="B1281" s="33">
        <v>1</v>
      </c>
      <c r="C1281" t="s">
        <v>276</v>
      </c>
      <c r="D1281" t="s">
        <v>318</v>
      </c>
      <c r="E1281">
        <v>23</v>
      </c>
      <c r="F1281" s="2">
        <v>1.3698630136986301E-2</v>
      </c>
      <c r="H1281" s="33">
        <v>1</v>
      </c>
      <c r="I1281" t="s">
        <v>276</v>
      </c>
      <c r="J1281" t="s">
        <v>318</v>
      </c>
      <c r="K1281">
        <v>23</v>
      </c>
      <c r="L1281" s="63">
        <v>1.3698630136986301E-2</v>
      </c>
      <c r="M1281">
        <v>5</v>
      </c>
    </row>
    <row r="1282" spans="2:13" x14ac:dyDescent="0.25">
      <c r="B1282" s="33">
        <v>1</v>
      </c>
      <c r="C1282" t="s">
        <v>231</v>
      </c>
      <c r="D1282" t="s">
        <v>190</v>
      </c>
      <c r="E1282">
        <v>2</v>
      </c>
      <c r="F1282" s="2">
        <v>2.7397260273972599E-3</v>
      </c>
      <c r="H1282" s="33">
        <v>1</v>
      </c>
      <c r="I1282" t="s">
        <v>231</v>
      </c>
      <c r="J1282" t="s">
        <v>190</v>
      </c>
      <c r="K1282">
        <v>2</v>
      </c>
      <c r="L1282" s="63">
        <v>5.4794520547945206E-3</v>
      </c>
      <c r="M1282">
        <v>2</v>
      </c>
    </row>
    <row r="1283" spans="2:13" x14ac:dyDescent="0.25">
      <c r="B1283" s="33">
        <v>1</v>
      </c>
      <c r="C1283" t="s">
        <v>307</v>
      </c>
      <c r="D1283" t="s">
        <v>313</v>
      </c>
      <c r="E1283">
        <v>6</v>
      </c>
      <c r="F1283" s="2">
        <v>1.6438356164383602E-2</v>
      </c>
      <c r="H1283" s="33">
        <v>1</v>
      </c>
      <c r="I1283" t="s">
        <v>307</v>
      </c>
      <c r="J1283" t="s">
        <v>313</v>
      </c>
      <c r="K1283">
        <v>6</v>
      </c>
      <c r="L1283" s="63">
        <v>8.21917808219178E-3</v>
      </c>
      <c r="M1283">
        <v>6</v>
      </c>
    </row>
    <row r="1284" spans="2:13" x14ac:dyDescent="0.25">
      <c r="B1284" s="33">
        <v>1</v>
      </c>
      <c r="C1284" t="s">
        <v>276</v>
      </c>
      <c r="D1284" t="s">
        <v>287</v>
      </c>
      <c r="E1284">
        <v>10</v>
      </c>
      <c r="F1284" s="2">
        <v>2.7397260273972599E-3</v>
      </c>
      <c r="H1284" s="33">
        <v>1</v>
      </c>
      <c r="I1284" t="s">
        <v>276</v>
      </c>
      <c r="J1284" t="s">
        <v>287</v>
      </c>
      <c r="K1284">
        <v>10</v>
      </c>
      <c r="L1284" s="63">
        <v>2.7397260273972603E-3</v>
      </c>
      <c r="M1284">
        <v>1</v>
      </c>
    </row>
    <row r="1285" spans="2:13" x14ac:dyDescent="0.25">
      <c r="B1285" s="33">
        <v>1</v>
      </c>
      <c r="C1285" t="s">
        <v>292</v>
      </c>
      <c r="D1285" t="s">
        <v>321</v>
      </c>
      <c r="E1285">
        <v>21</v>
      </c>
      <c r="F1285" s="2">
        <v>1.9178082191780799E-2</v>
      </c>
      <c r="H1285" s="33">
        <v>1</v>
      </c>
      <c r="I1285" t="s">
        <v>292</v>
      </c>
      <c r="J1285" t="s">
        <v>321</v>
      </c>
      <c r="K1285">
        <v>21</v>
      </c>
      <c r="L1285" s="63">
        <v>1.9178082191780823E-2</v>
      </c>
      <c r="M1285">
        <v>7</v>
      </c>
    </row>
    <row r="1286" spans="2:13" x14ac:dyDescent="0.25">
      <c r="B1286" s="33">
        <v>1</v>
      </c>
      <c r="C1286" t="s">
        <v>307</v>
      </c>
      <c r="D1286" t="s">
        <v>310</v>
      </c>
      <c r="E1286">
        <v>0</v>
      </c>
      <c r="F1286" s="2">
        <v>1.3698630136986301E-2</v>
      </c>
      <c r="H1286" s="33">
        <v>1</v>
      </c>
      <c r="I1286" t="s">
        <v>307</v>
      </c>
      <c r="J1286" t="s">
        <v>310</v>
      </c>
      <c r="K1286">
        <v>0</v>
      </c>
      <c r="L1286" s="63">
        <v>1.3698630136986301E-2</v>
      </c>
      <c r="M1286">
        <v>5</v>
      </c>
    </row>
    <row r="1287" spans="2:13" x14ac:dyDescent="0.25">
      <c r="B1287" s="33">
        <v>1</v>
      </c>
      <c r="C1287" t="s">
        <v>276</v>
      </c>
      <c r="D1287" t="s">
        <v>291</v>
      </c>
      <c r="E1287">
        <v>10</v>
      </c>
      <c r="F1287" s="2">
        <v>1.3698630136986301E-2</v>
      </c>
      <c r="H1287" s="33">
        <v>1</v>
      </c>
      <c r="I1287" t="s">
        <v>276</v>
      </c>
      <c r="J1287" t="s">
        <v>291</v>
      </c>
      <c r="K1287">
        <v>10</v>
      </c>
      <c r="L1287" s="63">
        <v>1.3698630136986301E-2</v>
      </c>
      <c r="M1287">
        <v>5</v>
      </c>
    </row>
    <row r="1288" spans="2:13" x14ac:dyDescent="0.25">
      <c r="B1288" s="33">
        <v>1</v>
      </c>
      <c r="C1288" t="s">
        <v>307</v>
      </c>
      <c r="D1288" t="s">
        <v>313</v>
      </c>
      <c r="E1288">
        <v>3</v>
      </c>
      <c r="F1288" s="2">
        <v>5.4794520547945197E-3</v>
      </c>
      <c r="H1288" s="33">
        <v>1</v>
      </c>
      <c r="I1288" t="s">
        <v>307</v>
      </c>
      <c r="J1288" t="s">
        <v>313</v>
      </c>
      <c r="K1288">
        <v>3</v>
      </c>
      <c r="L1288" s="63">
        <v>5.4794520547945206E-3</v>
      </c>
      <c r="M1288">
        <v>2</v>
      </c>
    </row>
    <row r="1289" spans="2:13" x14ac:dyDescent="0.25">
      <c r="B1289" s="33">
        <v>1</v>
      </c>
      <c r="C1289" t="s">
        <v>231</v>
      </c>
      <c r="D1289" t="s">
        <v>186</v>
      </c>
      <c r="E1289">
        <v>23</v>
      </c>
      <c r="F1289" s="2">
        <v>0</v>
      </c>
      <c r="H1289" s="33">
        <v>1</v>
      </c>
      <c r="I1289" t="s">
        <v>231</v>
      </c>
      <c r="J1289" t="s">
        <v>186</v>
      </c>
      <c r="K1289">
        <v>23</v>
      </c>
      <c r="L1289" s="63">
        <v>2.7397260273972603E-3</v>
      </c>
      <c r="M1289">
        <v>1</v>
      </c>
    </row>
    <row r="1290" spans="2:13" x14ac:dyDescent="0.25">
      <c r="B1290" s="33">
        <v>1</v>
      </c>
      <c r="C1290" t="s">
        <v>307</v>
      </c>
      <c r="D1290" t="s">
        <v>394</v>
      </c>
      <c r="E1290">
        <v>1</v>
      </c>
      <c r="F1290" s="2">
        <v>1.0958904109589E-2</v>
      </c>
      <c r="H1290" s="33">
        <v>1</v>
      </c>
      <c r="I1290" t="s">
        <v>307</v>
      </c>
      <c r="J1290" t="s">
        <v>314</v>
      </c>
      <c r="K1290">
        <v>1</v>
      </c>
      <c r="L1290" s="63">
        <v>1.0958904109589041E-2</v>
      </c>
      <c r="M1290">
        <v>4</v>
      </c>
    </row>
    <row r="1291" spans="2:13" x14ac:dyDescent="0.25">
      <c r="B1291" s="33">
        <v>1</v>
      </c>
      <c r="C1291" t="s">
        <v>292</v>
      </c>
      <c r="D1291" t="s">
        <v>297</v>
      </c>
      <c r="E1291">
        <v>4</v>
      </c>
      <c r="F1291" s="2">
        <v>2.7397260273972599E-3</v>
      </c>
      <c r="H1291" s="33">
        <v>1</v>
      </c>
      <c r="I1291" t="s">
        <v>292</v>
      </c>
      <c r="J1291" t="s">
        <v>297</v>
      </c>
      <c r="K1291">
        <v>4</v>
      </c>
      <c r="L1291" s="63">
        <v>2.7397260273972603E-3</v>
      </c>
      <c r="M1291">
        <v>1</v>
      </c>
    </row>
    <row r="1292" spans="2:13" x14ac:dyDescent="0.25">
      <c r="B1292" s="33">
        <v>1</v>
      </c>
      <c r="C1292" t="s">
        <v>276</v>
      </c>
      <c r="D1292" t="s">
        <v>290</v>
      </c>
      <c r="E1292">
        <v>20</v>
      </c>
      <c r="F1292" s="2">
        <v>2.19178082191781E-2</v>
      </c>
      <c r="H1292" s="33">
        <v>1</v>
      </c>
      <c r="I1292" t="s">
        <v>276</v>
      </c>
      <c r="J1292" t="s">
        <v>290</v>
      </c>
      <c r="K1292">
        <v>20</v>
      </c>
      <c r="L1292" s="63">
        <v>2.1917808219178082E-2</v>
      </c>
      <c r="M1292">
        <v>8</v>
      </c>
    </row>
    <row r="1293" spans="2:13" x14ac:dyDescent="0.25">
      <c r="B1293" s="33">
        <v>1</v>
      </c>
      <c r="C1293" t="s">
        <v>276</v>
      </c>
      <c r="D1293" t="s">
        <v>290</v>
      </c>
      <c r="E1293">
        <v>19</v>
      </c>
      <c r="F1293" s="2">
        <v>2.19178082191781E-2</v>
      </c>
      <c r="H1293" s="33">
        <v>1</v>
      </c>
      <c r="I1293" t="s">
        <v>276</v>
      </c>
      <c r="J1293" t="s">
        <v>290</v>
      </c>
      <c r="K1293">
        <v>19</v>
      </c>
      <c r="L1293" s="63">
        <v>1.9178082191780823E-2</v>
      </c>
      <c r="M1293">
        <v>8</v>
      </c>
    </row>
    <row r="1294" spans="2:13" x14ac:dyDescent="0.25">
      <c r="B1294" s="33">
        <v>1</v>
      </c>
      <c r="C1294" t="s">
        <v>0</v>
      </c>
      <c r="D1294" t="s">
        <v>70</v>
      </c>
      <c r="E1294">
        <v>4</v>
      </c>
      <c r="F1294" s="2">
        <v>2.7397260273972599E-3</v>
      </c>
      <c r="H1294" s="33">
        <v>1</v>
      </c>
      <c r="I1294" t="s">
        <v>0</v>
      </c>
      <c r="J1294" t="s">
        <v>70</v>
      </c>
      <c r="K1294">
        <v>4</v>
      </c>
      <c r="L1294" s="63">
        <v>5.4794520547945206E-3</v>
      </c>
      <c r="M1294">
        <v>2</v>
      </c>
    </row>
    <row r="1295" spans="2:13" x14ac:dyDescent="0.25">
      <c r="B1295" s="33">
        <v>1</v>
      </c>
      <c r="C1295" t="s">
        <v>231</v>
      </c>
      <c r="D1295" t="s">
        <v>190</v>
      </c>
      <c r="E1295">
        <v>14</v>
      </c>
      <c r="F1295" s="2">
        <v>1.6438356164383602E-2</v>
      </c>
      <c r="H1295" s="33">
        <v>1</v>
      </c>
      <c r="I1295" t="s">
        <v>231</v>
      </c>
      <c r="J1295" t="s">
        <v>190</v>
      </c>
      <c r="K1295">
        <v>14</v>
      </c>
      <c r="L1295" s="63">
        <v>1.643835616438356E-2</v>
      </c>
      <c r="M1295">
        <v>7</v>
      </c>
    </row>
    <row r="1296" spans="2:13" x14ac:dyDescent="0.25">
      <c r="B1296" s="33">
        <v>1</v>
      </c>
      <c r="C1296" t="s">
        <v>276</v>
      </c>
      <c r="D1296" t="s">
        <v>318</v>
      </c>
      <c r="E1296">
        <v>0</v>
      </c>
      <c r="F1296" s="2">
        <v>2.7397260273972599E-3</v>
      </c>
      <c r="H1296" s="33">
        <v>1</v>
      </c>
      <c r="I1296" t="s">
        <v>276</v>
      </c>
      <c r="J1296" t="s">
        <v>318</v>
      </c>
      <c r="K1296">
        <v>0</v>
      </c>
      <c r="L1296" s="63">
        <v>2.7397260273972603E-3</v>
      </c>
      <c r="M1296">
        <v>1</v>
      </c>
    </row>
    <row r="1297" spans="2:13" x14ac:dyDescent="0.25">
      <c r="B1297" s="33">
        <v>1</v>
      </c>
      <c r="C1297" t="s">
        <v>276</v>
      </c>
      <c r="D1297" t="s">
        <v>286</v>
      </c>
      <c r="E1297">
        <v>4</v>
      </c>
      <c r="F1297" s="2">
        <v>5.4794520547945197E-3</v>
      </c>
      <c r="H1297" s="33">
        <v>1</v>
      </c>
      <c r="I1297" t="s">
        <v>276</v>
      </c>
      <c r="J1297" t="s">
        <v>286</v>
      </c>
      <c r="K1297">
        <v>4</v>
      </c>
      <c r="L1297" s="63">
        <v>2.7397260273972603E-3</v>
      </c>
      <c r="M1297">
        <v>2</v>
      </c>
    </row>
    <row r="1298" spans="2:13" x14ac:dyDescent="0.25">
      <c r="B1298" s="33">
        <v>1</v>
      </c>
      <c r="C1298" t="s">
        <v>276</v>
      </c>
      <c r="D1298" t="s">
        <v>319</v>
      </c>
      <c r="E1298">
        <v>6</v>
      </c>
      <c r="F1298" s="2">
        <v>2.7397260273972599E-3</v>
      </c>
      <c r="H1298" s="33">
        <v>1</v>
      </c>
      <c r="I1298" t="s">
        <v>276</v>
      </c>
      <c r="J1298" t="s">
        <v>319</v>
      </c>
      <c r="K1298">
        <v>6</v>
      </c>
      <c r="L1298" s="63">
        <v>2.7397260273972603E-3</v>
      </c>
      <c r="M1298">
        <v>1</v>
      </c>
    </row>
    <row r="1299" spans="2:13" x14ac:dyDescent="0.25">
      <c r="B1299" s="33">
        <v>1</v>
      </c>
      <c r="C1299" t="s">
        <v>292</v>
      </c>
      <c r="D1299" t="s">
        <v>320</v>
      </c>
      <c r="E1299">
        <v>0</v>
      </c>
      <c r="F1299" s="2">
        <v>5.4794520547945197E-3</v>
      </c>
      <c r="H1299" s="33">
        <v>1</v>
      </c>
      <c r="I1299" t="s">
        <v>292</v>
      </c>
      <c r="J1299" t="s">
        <v>320</v>
      </c>
      <c r="K1299">
        <v>0</v>
      </c>
      <c r="L1299" s="63">
        <v>5.4794520547945206E-3</v>
      </c>
      <c r="M1299">
        <v>2</v>
      </c>
    </row>
    <row r="1300" spans="2:13" x14ac:dyDescent="0.25">
      <c r="B1300" s="33">
        <v>1</v>
      </c>
      <c r="C1300" t="s">
        <v>0</v>
      </c>
      <c r="D1300" t="s">
        <v>64</v>
      </c>
      <c r="E1300">
        <v>1</v>
      </c>
      <c r="F1300" s="2">
        <v>1.3698630136986301E-2</v>
      </c>
      <c r="H1300" s="33">
        <v>1</v>
      </c>
      <c r="I1300" t="s">
        <v>0</v>
      </c>
      <c r="J1300" t="s">
        <v>64</v>
      </c>
      <c r="K1300">
        <v>1</v>
      </c>
      <c r="L1300" s="63">
        <v>1.3698630136986301E-2</v>
      </c>
      <c r="M1300">
        <v>6</v>
      </c>
    </row>
    <row r="1301" spans="2:13" x14ac:dyDescent="0.25">
      <c r="B1301" s="33">
        <v>1</v>
      </c>
      <c r="C1301" t="s">
        <v>276</v>
      </c>
      <c r="D1301" t="s">
        <v>291</v>
      </c>
      <c r="E1301">
        <v>3</v>
      </c>
      <c r="F1301" s="2">
        <v>2.7397260273972599E-3</v>
      </c>
      <c r="H1301" s="33">
        <v>1</v>
      </c>
      <c r="I1301" t="s">
        <v>276</v>
      </c>
      <c r="J1301" t="s">
        <v>291</v>
      </c>
      <c r="K1301">
        <v>3</v>
      </c>
      <c r="L1301" s="63">
        <v>2.7397260273972603E-3</v>
      </c>
      <c r="M1301">
        <v>1</v>
      </c>
    </row>
    <row r="1302" spans="2:13" x14ac:dyDescent="0.25">
      <c r="B1302" s="33">
        <v>1</v>
      </c>
      <c r="C1302" t="s">
        <v>292</v>
      </c>
      <c r="D1302" t="s">
        <v>321</v>
      </c>
      <c r="E1302">
        <v>6</v>
      </c>
      <c r="F1302" s="2">
        <v>2.7397260273972599E-3</v>
      </c>
      <c r="H1302" s="33">
        <v>1</v>
      </c>
      <c r="I1302" t="s">
        <v>292</v>
      </c>
      <c r="J1302" t="s">
        <v>321</v>
      </c>
      <c r="K1302">
        <v>6</v>
      </c>
      <c r="L1302" s="63">
        <v>2.7397260273972603E-3</v>
      </c>
      <c r="M1302">
        <v>1</v>
      </c>
    </row>
    <row r="1303" spans="2:13" x14ac:dyDescent="0.25">
      <c r="B1303" s="33">
        <v>1</v>
      </c>
      <c r="C1303" t="s">
        <v>292</v>
      </c>
      <c r="D1303" t="s">
        <v>297</v>
      </c>
      <c r="E1303">
        <v>7</v>
      </c>
      <c r="F1303" s="2">
        <v>8.21917808219178E-3</v>
      </c>
      <c r="H1303" s="33">
        <v>1</v>
      </c>
      <c r="I1303" t="s">
        <v>292</v>
      </c>
      <c r="J1303" t="s">
        <v>297</v>
      </c>
      <c r="K1303">
        <v>7</v>
      </c>
      <c r="L1303" s="63">
        <v>8.21917808219178E-3</v>
      </c>
      <c r="M1303">
        <v>3</v>
      </c>
    </row>
    <row r="1304" spans="2:13" x14ac:dyDescent="0.25">
      <c r="B1304" s="33">
        <v>1</v>
      </c>
      <c r="C1304" t="s">
        <v>57</v>
      </c>
      <c r="D1304" t="s">
        <v>67</v>
      </c>
      <c r="E1304">
        <v>2</v>
      </c>
      <c r="F1304" s="2">
        <v>1.6438356164383602E-2</v>
      </c>
      <c r="H1304" s="33">
        <v>1</v>
      </c>
      <c r="I1304" t="s">
        <v>57</v>
      </c>
      <c r="J1304" t="s">
        <v>67</v>
      </c>
      <c r="K1304">
        <v>2</v>
      </c>
      <c r="L1304" s="63">
        <v>1.643835616438356E-2</v>
      </c>
      <c r="M1304">
        <v>6</v>
      </c>
    </row>
    <row r="1305" spans="2:13" x14ac:dyDescent="0.25">
      <c r="B1305" s="33">
        <v>1</v>
      </c>
      <c r="C1305" t="s">
        <v>2</v>
      </c>
      <c r="D1305" t="s">
        <v>38</v>
      </c>
      <c r="E1305">
        <v>20</v>
      </c>
      <c r="F1305" s="2">
        <v>2.7397260273972599E-3</v>
      </c>
      <c r="H1305" s="33">
        <v>1</v>
      </c>
      <c r="I1305" t="s">
        <v>2</v>
      </c>
      <c r="J1305" t="s">
        <v>38</v>
      </c>
      <c r="K1305">
        <v>20</v>
      </c>
      <c r="L1305" s="63">
        <v>2.7397260273972603E-3</v>
      </c>
      <c r="M1305">
        <v>1</v>
      </c>
    </row>
    <row r="1306" spans="2:13" x14ac:dyDescent="0.25">
      <c r="B1306" s="33">
        <v>1</v>
      </c>
      <c r="C1306" t="s">
        <v>276</v>
      </c>
      <c r="D1306" t="s">
        <v>287</v>
      </c>
      <c r="E1306">
        <v>14</v>
      </c>
      <c r="F1306" s="2">
        <v>5.4794520547945197E-3</v>
      </c>
      <c r="H1306" s="33">
        <v>1</v>
      </c>
      <c r="I1306" t="s">
        <v>276</v>
      </c>
      <c r="J1306" t="s">
        <v>287</v>
      </c>
      <c r="K1306">
        <v>14</v>
      </c>
      <c r="L1306" s="63">
        <v>5.4794520547945206E-3</v>
      </c>
      <c r="M1306">
        <v>2</v>
      </c>
    </row>
    <row r="1307" spans="2:13" x14ac:dyDescent="0.25">
      <c r="B1307" s="33">
        <v>1</v>
      </c>
      <c r="C1307" t="s">
        <v>276</v>
      </c>
      <c r="D1307" t="s">
        <v>290</v>
      </c>
      <c r="E1307">
        <v>21</v>
      </c>
      <c r="F1307" s="2">
        <v>8.21917808219178E-3</v>
      </c>
      <c r="H1307" s="33">
        <v>1</v>
      </c>
      <c r="I1307" t="s">
        <v>276</v>
      </c>
      <c r="J1307" t="s">
        <v>290</v>
      </c>
      <c r="K1307">
        <v>21</v>
      </c>
      <c r="L1307" s="63">
        <v>8.21917808219178E-3</v>
      </c>
      <c r="M1307">
        <v>3</v>
      </c>
    </row>
    <row r="1308" spans="2:13" x14ac:dyDescent="0.25">
      <c r="B1308" s="33">
        <v>1</v>
      </c>
      <c r="C1308" t="s">
        <v>276</v>
      </c>
      <c r="D1308" t="s">
        <v>289</v>
      </c>
      <c r="E1308">
        <v>13</v>
      </c>
      <c r="F1308" s="2">
        <v>5.4794520547945197E-3</v>
      </c>
      <c r="H1308" s="33">
        <v>1</v>
      </c>
      <c r="I1308" t="s">
        <v>276</v>
      </c>
      <c r="J1308" t="s">
        <v>289</v>
      </c>
      <c r="K1308">
        <v>13</v>
      </c>
      <c r="L1308" s="63">
        <v>5.4794520547945206E-3</v>
      </c>
      <c r="M1308">
        <v>2</v>
      </c>
    </row>
    <row r="1309" spans="2:13" x14ac:dyDescent="0.25">
      <c r="B1309" s="33">
        <v>1</v>
      </c>
      <c r="C1309" t="s">
        <v>292</v>
      </c>
      <c r="D1309" t="s">
        <v>321</v>
      </c>
      <c r="E1309">
        <v>4</v>
      </c>
      <c r="F1309" s="2">
        <v>2.7397260273972599E-3</v>
      </c>
      <c r="H1309" s="33">
        <v>1</v>
      </c>
      <c r="I1309" t="s">
        <v>292</v>
      </c>
      <c r="J1309" t="s">
        <v>321</v>
      </c>
      <c r="K1309">
        <v>4</v>
      </c>
      <c r="L1309" s="63">
        <v>2.7397260273972603E-3</v>
      </c>
      <c r="M1309">
        <v>1</v>
      </c>
    </row>
    <row r="1310" spans="2:13" x14ac:dyDescent="0.25">
      <c r="B1310" s="33">
        <v>1</v>
      </c>
      <c r="C1310" t="s">
        <v>0</v>
      </c>
      <c r="D1310" t="s">
        <v>73</v>
      </c>
      <c r="E1310">
        <v>2</v>
      </c>
      <c r="F1310" s="2">
        <v>0</v>
      </c>
      <c r="H1310" s="33">
        <v>1</v>
      </c>
      <c r="I1310" t="s">
        <v>0</v>
      </c>
      <c r="J1310" t="s">
        <v>73</v>
      </c>
      <c r="K1310">
        <v>2</v>
      </c>
      <c r="L1310" s="63">
        <v>2.7397260273972603E-3</v>
      </c>
      <c r="M1310">
        <v>1</v>
      </c>
    </row>
    <row r="1311" spans="2:13" x14ac:dyDescent="0.25">
      <c r="B1311" s="33">
        <v>1</v>
      </c>
      <c r="C1311" t="s">
        <v>307</v>
      </c>
      <c r="D1311" t="s">
        <v>394</v>
      </c>
      <c r="E1311">
        <v>3</v>
      </c>
      <c r="F1311" s="2">
        <v>2.7397260273972599E-3</v>
      </c>
      <c r="H1311" s="33">
        <v>1</v>
      </c>
      <c r="I1311" t="s">
        <v>307</v>
      </c>
      <c r="J1311" t="s">
        <v>314</v>
      </c>
      <c r="K1311">
        <v>3</v>
      </c>
      <c r="L1311" s="63">
        <v>2.7397260273972603E-3</v>
      </c>
      <c r="M1311">
        <v>1</v>
      </c>
    </row>
    <row r="1312" spans="2:13" x14ac:dyDescent="0.25">
      <c r="B1312" s="33">
        <v>1</v>
      </c>
      <c r="C1312" t="s">
        <v>57</v>
      </c>
      <c r="D1312" t="s">
        <v>77</v>
      </c>
      <c r="E1312">
        <v>23</v>
      </c>
      <c r="F1312" s="2">
        <v>2.7397260273972599E-3</v>
      </c>
      <c r="H1312" s="33">
        <v>1</v>
      </c>
      <c r="I1312" t="s">
        <v>57</v>
      </c>
      <c r="J1312" t="s">
        <v>77</v>
      </c>
      <c r="K1312">
        <v>23</v>
      </c>
      <c r="L1312" s="63">
        <v>5.4794520547945206E-3</v>
      </c>
      <c r="M1312">
        <v>2</v>
      </c>
    </row>
    <row r="1313" spans="2:13" x14ac:dyDescent="0.25">
      <c r="B1313" s="33">
        <v>1</v>
      </c>
      <c r="C1313" t="s">
        <v>276</v>
      </c>
      <c r="D1313" t="s">
        <v>288</v>
      </c>
      <c r="E1313">
        <v>4</v>
      </c>
      <c r="F1313" s="2">
        <v>8.21917808219178E-3</v>
      </c>
      <c r="H1313" s="33">
        <v>1</v>
      </c>
      <c r="I1313" t="s">
        <v>276</v>
      </c>
      <c r="J1313" t="s">
        <v>288</v>
      </c>
      <c r="K1313">
        <v>4</v>
      </c>
      <c r="L1313" s="63">
        <v>8.21917808219178E-3</v>
      </c>
      <c r="M1313">
        <v>3</v>
      </c>
    </row>
    <row r="1314" spans="2:13" x14ac:dyDescent="0.25">
      <c r="B1314" s="33">
        <v>1</v>
      </c>
      <c r="C1314" t="s">
        <v>307</v>
      </c>
      <c r="D1314" t="s">
        <v>312</v>
      </c>
      <c r="E1314">
        <v>5</v>
      </c>
      <c r="F1314" s="2">
        <v>1.0958904109589E-2</v>
      </c>
      <c r="H1314" s="33">
        <v>1</v>
      </c>
      <c r="I1314" t="s">
        <v>307</v>
      </c>
      <c r="J1314" t="s">
        <v>312</v>
      </c>
      <c r="K1314">
        <v>5</v>
      </c>
      <c r="L1314" s="63">
        <v>1.0958904109589041E-2</v>
      </c>
      <c r="M1314">
        <v>4</v>
      </c>
    </row>
    <row r="1315" spans="2:13" x14ac:dyDescent="0.25">
      <c r="B1315" s="33">
        <v>1</v>
      </c>
      <c r="C1315" t="s">
        <v>307</v>
      </c>
      <c r="D1315" t="s">
        <v>308</v>
      </c>
      <c r="E1315">
        <v>2</v>
      </c>
      <c r="F1315" s="2">
        <v>2.7397260273972599E-3</v>
      </c>
      <c r="H1315" s="33">
        <v>1</v>
      </c>
      <c r="I1315" t="s">
        <v>307</v>
      </c>
      <c r="J1315" t="s">
        <v>308</v>
      </c>
      <c r="K1315">
        <v>2</v>
      </c>
      <c r="L1315" s="63">
        <v>2.7397260273972603E-3</v>
      </c>
      <c r="M1315">
        <v>1</v>
      </c>
    </row>
    <row r="1316" spans="2:13" x14ac:dyDescent="0.25">
      <c r="B1316" s="33">
        <v>1</v>
      </c>
      <c r="C1316" t="s">
        <v>307</v>
      </c>
      <c r="D1316" t="s">
        <v>308</v>
      </c>
      <c r="E1316">
        <v>3</v>
      </c>
      <c r="F1316" s="2">
        <v>8.21917808219178E-3</v>
      </c>
      <c r="H1316" s="33">
        <v>1</v>
      </c>
      <c r="I1316" t="s">
        <v>307</v>
      </c>
      <c r="J1316" t="s">
        <v>308</v>
      </c>
      <c r="K1316">
        <v>3</v>
      </c>
      <c r="L1316" s="63">
        <v>8.21917808219178E-3</v>
      </c>
      <c r="M1316">
        <v>3</v>
      </c>
    </row>
    <row r="1317" spans="2:13" x14ac:dyDescent="0.25">
      <c r="B1317" s="33">
        <v>1</v>
      </c>
      <c r="C1317" t="s">
        <v>231</v>
      </c>
      <c r="D1317" t="s">
        <v>188</v>
      </c>
      <c r="E1317">
        <v>4</v>
      </c>
      <c r="F1317" s="2">
        <v>5.4794520547945197E-3</v>
      </c>
      <c r="H1317" s="33">
        <v>1</v>
      </c>
      <c r="I1317" t="s">
        <v>231</v>
      </c>
      <c r="J1317" t="s">
        <v>188</v>
      </c>
      <c r="K1317">
        <v>4</v>
      </c>
      <c r="L1317" s="63">
        <v>8.21917808219178E-3</v>
      </c>
      <c r="M1317">
        <v>3</v>
      </c>
    </row>
    <row r="1318" spans="2:13" x14ac:dyDescent="0.25">
      <c r="B1318" s="33">
        <v>1</v>
      </c>
      <c r="C1318" t="s">
        <v>307</v>
      </c>
      <c r="D1318" t="s">
        <v>310</v>
      </c>
      <c r="E1318">
        <v>3</v>
      </c>
      <c r="F1318" s="2">
        <v>2.7397260273972599E-3</v>
      </c>
      <c r="H1318" s="33">
        <v>1</v>
      </c>
      <c r="I1318" t="s">
        <v>307</v>
      </c>
      <c r="J1318" t="s">
        <v>310</v>
      </c>
      <c r="K1318">
        <v>3</v>
      </c>
      <c r="L1318" s="63">
        <v>2.7397260273972603E-3</v>
      </c>
      <c r="M1318">
        <v>1</v>
      </c>
    </row>
    <row r="1319" spans="2:13" x14ac:dyDescent="0.25">
      <c r="B1319" s="33">
        <v>1</v>
      </c>
      <c r="C1319" t="s">
        <v>2</v>
      </c>
      <c r="D1319" t="s">
        <v>32</v>
      </c>
      <c r="E1319">
        <v>2</v>
      </c>
      <c r="F1319" s="2">
        <v>2.7397260273972599E-3</v>
      </c>
      <c r="H1319" s="33">
        <v>1</v>
      </c>
      <c r="I1319" t="s">
        <v>2</v>
      </c>
      <c r="J1319" t="s">
        <v>32</v>
      </c>
      <c r="K1319">
        <v>2</v>
      </c>
      <c r="L1319" s="63">
        <v>5.4794520547945206E-3</v>
      </c>
      <c r="M1319">
        <v>2</v>
      </c>
    </row>
    <row r="1320" spans="2:13" x14ac:dyDescent="0.25">
      <c r="B1320" s="33">
        <v>1</v>
      </c>
      <c r="C1320" t="s">
        <v>0</v>
      </c>
      <c r="D1320" t="s">
        <v>73</v>
      </c>
      <c r="E1320">
        <v>4</v>
      </c>
      <c r="F1320" s="2">
        <v>5.4794520547945197E-3</v>
      </c>
      <c r="H1320" s="33">
        <v>1</v>
      </c>
      <c r="I1320" t="s">
        <v>0</v>
      </c>
      <c r="J1320" t="s">
        <v>73</v>
      </c>
      <c r="K1320">
        <v>4</v>
      </c>
      <c r="L1320" s="63">
        <v>5.4794520547945206E-3</v>
      </c>
      <c r="M1320">
        <v>2</v>
      </c>
    </row>
    <row r="1321" spans="2:13" x14ac:dyDescent="0.25">
      <c r="B1321" s="33">
        <v>1</v>
      </c>
      <c r="C1321" t="s">
        <v>0</v>
      </c>
      <c r="D1321" t="s">
        <v>79</v>
      </c>
      <c r="E1321">
        <v>14</v>
      </c>
      <c r="F1321" s="2">
        <v>1.0958904109589E-2</v>
      </c>
      <c r="H1321" s="33">
        <v>1</v>
      </c>
      <c r="I1321" t="s">
        <v>0</v>
      </c>
      <c r="J1321" t="s">
        <v>79</v>
      </c>
      <c r="K1321">
        <v>14</v>
      </c>
      <c r="L1321" s="63">
        <v>1.643835616438356E-2</v>
      </c>
      <c r="M1321">
        <v>7</v>
      </c>
    </row>
    <row r="1322" spans="2:13" x14ac:dyDescent="0.25">
      <c r="B1322" s="33">
        <v>1</v>
      </c>
      <c r="C1322" t="s">
        <v>0</v>
      </c>
      <c r="D1322" t="s">
        <v>79</v>
      </c>
      <c r="E1322">
        <v>15</v>
      </c>
      <c r="F1322" s="2">
        <v>5.4794520547945197E-3</v>
      </c>
      <c r="H1322" s="33">
        <v>1</v>
      </c>
      <c r="I1322" t="s">
        <v>0</v>
      </c>
      <c r="J1322" t="s">
        <v>79</v>
      </c>
      <c r="K1322">
        <v>15</v>
      </c>
      <c r="L1322" s="63">
        <v>1.3698630136986301E-2</v>
      </c>
      <c r="M1322">
        <v>5</v>
      </c>
    </row>
    <row r="1323" spans="2:13" x14ac:dyDescent="0.25">
      <c r="B1323" s="33">
        <v>1</v>
      </c>
      <c r="C1323" t="s">
        <v>292</v>
      </c>
      <c r="D1323" t="s">
        <v>320</v>
      </c>
      <c r="E1323">
        <v>22</v>
      </c>
      <c r="F1323" s="2">
        <v>2.7397260273972599E-3</v>
      </c>
      <c r="H1323" s="33">
        <v>1</v>
      </c>
      <c r="I1323" t="s">
        <v>292</v>
      </c>
      <c r="J1323" t="s">
        <v>320</v>
      </c>
      <c r="K1323">
        <v>22</v>
      </c>
      <c r="L1323" s="63">
        <v>2.7397260273972603E-3</v>
      </c>
      <c r="M1323">
        <v>1</v>
      </c>
    </row>
    <row r="1324" spans="2:13" x14ac:dyDescent="0.25">
      <c r="B1324" s="33">
        <v>1</v>
      </c>
      <c r="C1324" t="s">
        <v>276</v>
      </c>
      <c r="D1324" t="s">
        <v>291</v>
      </c>
      <c r="E1324">
        <v>6</v>
      </c>
      <c r="F1324" s="2">
        <v>5.4794520547945197E-3</v>
      </c>
      <c r="H1324" s="33">
        <v>1</v>
      </c>
      <c r="I1324" t="s">
        <v>276</v>
      </c>
      <c r="J1324" t="s">
        <v>291</v>
      </c>
      <c r="K1324">
        <v>6</v>
      </c>
      <c r="L1324" s="63">
        <v>5.4794520547945206E-3</v>
      </c>
      <c r="M1324">
        <v>2</v>
      </c>
    </row>
    <row r="1325" spans="2:13" x14ac:dyDescent="0.25">
      <c r="B1325" s="33">
        <v>1</v>
      </c>
      <c r="C1325" t="s">
        <v>2</v>
      </c>
      <c r="D1325" t="s">
        <v>19</v>
      </c>
      <c r="E1325">
        <v>6</v>
      </c>
      <c r="F1325" s="2">
        <v>5.4794520547945197E-3</v>
      </c>
      <c r="H1325" s="33">
        <v>1</v>
      </c>
      <c r="I1325" t="s">
        <v>2</v>
      </c>
      <c r="J1325" t="s">
        <v>19</v>
      </c>
      <c r="K1325">
        <v>6</v>
      </c>
      <c r="L1325" s="63">
        <v>1.0958904109589041E-2</v>
      </c>
      <c r="M1325">
        <v>7</v>
      </c>
    </row>
    <row r="1326" spans="2:13" x14ac:dyDescent="0.25">
      <c r="B1326" s="33">
        <v>1</v>
      </c>
      <c r="C1326" t="s">
        <v>307</v>
      </c>
      <c r="D1326" t="s">
        <v>313</v>
      </c>
      <c r="E1326">
        <v>7</v>
      </c>
      <c r="F1326" s="2">
        <v>5.4794520547945197E-3</v>
      </c>
      <c r="H1326" s="33">
        <v>1</v>
      </c>
      <c r="I1326" t="s">
        <v>307</v>
      </c>
      <c r="J1326" t="s">
        <v>313</v>
      </c>
      <c r="K1326">
        <v>7</v>
      </c>
      <c r="L1326" s="63">
        <v>5.4794520547945206E-3</v>
      </c>
      <c r="M1326">
        <v>2</v>
      </c>
    </row>
    <row r="1327" spans="2:13" x14ac:dyDescent="0.25">
      <c r="B1327" s="33">
        <v>1</v>
      </c>
      <c r="C1327" t="s">
        <v>276</v>
      </c>
      <c r="D1327" t="s">
        <v>287</v>
      </c>
      <c r="E1327">
        <v>18</v>
      </c>
      <c r="F1327" s="2">
        <v>5.4794520547945197E-3</v>
      </c>
      <c r="H1327" s="33">
        <v>1</v>
      </c>
      <c r="I1327" t="s">
        <v>276</v>
      </c>
      <c r="J1327" t="s">
        <v>287</v>
      </c>
      <c r="K1327">
        <v>18</v>
      </c>
      <c r="L1327" s="63">
        <v>5.4794520547945206E-3</v>
      </c>
      <c r="M1327">
        <v>2</v>
      </c>
    </row>
    <row r="1328" spans="2:13" x14ac:dyDescent="0.25">
      <c r="B1328" s="33">
        <v>1</v>
      </c>
      <c r="C1328" t="s">
        <v>2</v>
      </c>
      <c r="D1328" t="s">
        <v>21</v>
      </c>
      <c r="E1328">
        <v>6</v>
      </c>
      <c r="F1328" s="2">
        <v>0</v>
      </c>
      <c r="H1328" s="33">
        <v>1</v>
      </c>
      <c r="I1328" t="s">
        <v>2</v>
      </c>
      <c r="J1328" t="s">
        <v>21</v>
      </c>
      <c r="K1328">
        <v>6</v>
      </c>
      <c r="L1328" s="63">
        <v>2.7397260273972603E-3</v>
      </c>
      <c r="M1328">
        <v>1</v>
      </c>
    </row>
    <row r="1329" spans="2:13" x14ac:dyDescent="0.25">
      <c r="B1329" s="33">
        <v>1</v>
      </c>
      <c r="C1329" t="s">
        <v>276</v>
      </c>
      <c r="D1329" t="s">
        <v>290</v>
      </c>
      <c r="E1329">
        <v>3</v>
      </c>
      <c r="F1329" s="2">
        <v>2.7397260273972599E-3</v>
      </c>
      <c r="H1329" s="33">
        <v>1</v>
      </c>
      <c r="I1329" t="s">
        <v>276</v>
      </c>
      <c r="J1329" t="s">
        <v>290</v>
      </c>
      <c r="K1329">
        <v>3</v>
      </c>
      <c r="L1329" s="63">
        <v>2.7397260273972603E-3</v>
      </c>
      <c r="M1329">
        <v>1</v>
      </c>
    </row>
    <row r="1330" spans="2:13" x14ac:dyDescent="0.25">
      <c r="B1330" s="33">
        <v>1</v>
      </c>
      <c r="C1330" t="s">
        <v>57</v>
      </c>
      <c r="D1330" t="s">
        <v>77</v>
      </c>
      <c r="E1330">
        <v>1</v>
      </c>
      <c r="F1330" s="2">
        <v>0</v>
      </c>
      <c r="H1330" s="33">
        <v>1</v>
      </c>
      <c r="I1330" t="s">
        <v>57</v>
      </c>
      <c r="J1330" t="s">
        <v>77</v>
      </c>
      <c r="K1330">
        <v>1</v>
      </c>
      <c r="L1330" s="63">
        <v>2.7397260273972603E-3</v>
      </c>
      <c r="M1330">
        <v>1</v>
      </c>
    </row>
    <row r="1331" spans="2:13" x14ac:dyDescent="0.25">
      <c r="B1331" s="33">
        <v>1</v>
      </c>
      <c r="C1331" t="s">
        <v>276</v>
      </c>
      <c r="D1331" t="s">
        <v>287</v>
      </c>
      <c r="E1331">
        <v>1</v>
      </c>
      <c r="F1331" s="2">
        <v>5.4794520547945197E-3</v>
      </c>
      <c r="H1331" s="33">
        <v>1</v>
      </c>
      <c r="I1331" t="s">
        <v>276</v>
      </c>
      <c r="J1331" t="s">
        <v>287</v>
      </c>
      <c r="K1331">
        <v>1</v>
      </c>
      <c r="L1331" s="63">
        <v>5.4794520547945206E-3</v>
      </c>
      <c r="M1331">
        <v>2</v>
      </c>
    </row>
    <row r="1332" spans="2:13" x14ac:dyDescent="0.25">
      <c r="B1332" s="33">
        <v>1</v>
      </c>
      <c r="C1332" t="s">
        <v>0</v>
      </c>
      <c r="D1332" t="s">
        <v>78</v>
      </c>
      <c r="E1332">
        <v>13</v>
      </c>
      <c r="F1332" s="2">
        <v>5.4794520547945197E-3</v>
      </c>
      <c r="H1332" s="33">
        <v>1</v>
      </c>
      <c r="I1332" t="s">
        <v>0</v>
      </c>
      <c r="J1332" t="s">
        <v>78</v>
      </c>
      <c r="K1332">
        <v>13</v>
      </c>
      <c r="L1332" s="63">
        <v>1.0958904109589041E-2</v>
      </c>
      <c r="M1332">
        <v>4</v>
      </c>
    </row>
    <row r="1333" spans="2:13" x14ac:dyDescent="0.25">
      <c r="B1333" s="33">
        <v>1</v>
      </c>
      <c r="C1333" t="s">
        <v>231</v>
      </c>
      <c r="D1333" t="s">
        <v>190</v>
      </c>
      <c r="E1333">
        <v>4</v>
      </c>
      <c r="F1333" s="2">
        <v>0</v>
      </c>
      <c r="H1333" s="33">
        <v>1</v>
      </c>
      <c r="I1333" t="s">
        <v>231</v>
      </c>
      <c r="J1333" t="s">
        <v>190</v>
      </c>
      <c r="K1333">
        <v>4</v>
      </c>
      <c r="L1333" s="63">
        <v>2.7397260273972603E-3</v>
      </c>
      <c r="M1333">
        <v>1</v>
      </c>
    </row>
    <row r="1334" spans="2:13" x14ac:dyDescent="0.25">
      <c r="B1334" s="33">
        <v>1</v>
      </c>
      <c r="C1334" t="s">
        <v>231</v>
      </c>
      <c r="D1334" t="s">
        <v>186</v>
      </c>
      <c r="E1334">
        <v>0</v>
      </c>
      <c r="F1334" s="2">
        <v>5.4794520547945197E-3</v>
      </c>
      <c r="H1334" s="33">
        <v>1</v>
      </c>
      <c r="I1334" t="s">
        <v>231</v>
      </c>
      <c r="J1334" t="s">
        <v>186</v>
      </c>
      <c r="K1334">
        <v>0</v>
      </c>
      <c r="L1334" s="63">
        <v>5.4794520547945206E-3</v>
      </c>
      <c r="M1334">
        <v>2</v>
      </c>
    </row>
    <row r="1335" spans="2:13" x14ac:dyDescent="0.25">
      <c r="B1335" s="33">
        <v>1</v>
      </c>
      <c r="C1335" t="s">
        <v>231</v>
      </c>
      <c r="D1335" t="s">
        <v>186</v>
      </c>
      <c r="E1335">
        <v>5</v>
      </c>
      <c r="F1335" s="2">
        <v>2.7397260273972599E-3</v>
      </c>
      <c r="H1335" s="33">
        <v>1</v>
      </c>
      <c r="I1335" t="s">
        <v>231</v>
      </c>
      <c r="J1335" t="s">
        <v>186</v>
      </c>
      <c r="K1335">
        <v>5</v>
      </c>
      <c r="L1335" s="63">
        <v>5.4794520547945206E-3</v>
      </c>
      <c r="M1335">
        <v>3</v>
      </c>
    </row>
    <row r="1336" spans="2:13" x14ac:dyDescent="0.25">
      <c r="B1336" s="33">
        <v>1</v>
      </c>
      <c r="C1336" t="s">
        <v>276</v>
      </c>
      <c r="D1336" t="s">
        <v>287</v>
      </c>
      <c r="E1336">
        <v>8</v>
      </c>
      <c r="F1336" s="2">
        <v>2.7397260273972599E-3</v>
      </c>
      <c r="H1336" s="33">
        <v>1</v>
      </c>
      <c r="I1336" t="s">
        <v>276</v>
      </c>
      <c r="J1336" t="s">
        <v>287</v>
      </c>
      <c r="K1336">
        <v>8</v>
      </c>
      <c r="L1336" s="63">
        <v>2.7397260273972603E-3</v>
      </c>
      <c r="M1336">
        <v>1</v>
      </c>
    </row>
    <row r="1337" spans="2:13" x14ac:dyDescent="0.25">
      <c r="B1337" s="33">
        <v>1</v>
      </c>
      <c r="C1337" t="s">
        <v>57</v>
      </c>
      <c r="D1337" t="s">
        <v>77</v>
      </c>
      <c r="E1337">
        <v>6</v>
      </c>
      <c r="F1337" s="2">
        <v>0</v>
      </c>
      <c r="H1337" s="33">
        <v>1</v>
      </c>
      <c r="I1337" t="s">
        <v>57</v>
      </c>
      <c r="J1337" t="s">
        <v>77</v>
      </c>
      <c r="K1337">
        <v>6</v>
      </c>
      <c r="L1337" s="63">
        <v>8.21917808219178E-3</v>
      </c>
      <c r="M1337">
        <v>3</v>
      </c>
    </row>
    <row r="1338" spans="2:13" x14ac:dyDescent="0.25">
      <c r="B1338" s="33">
        <v>1</v>
      </c>
      <c r="C1338" t="s">
        <v>276</v>
      </c>
      <c r="D1338" t="s">
        <v>319</v>
      </c>
      <c r="E1338">
        <v>13</v>
      </c>
      <c r="F1338" s="2">
        <v>5.4794520547945197E-3</v>
      </c>
      <c r="H1338" s="33">
        <v>1</v>
      </c>
      <c r="I1338" t="s">
        <v>276</v>
      </c>
      <c r="J1338" t="s">
        <v>319</v>
      </c>
      <c r="K1338">
        <v>13</v>
      </c>
      <c r="L1338" s="63">
        <v>5.4794520547945206E-3</v>
      </c>
      <c r="M1338">
        <v>2</v>
      </c>
    </row>
    <row r="1339" spans="2:13" x14ac:dyDescent="0.25">
      <c r="B1339" s="33">
        <v>1</v>
      </c>
      <c r="C1339" t="s">
        <v>307</v>
      </c>
      <c r="D1339" t="s">
        <v>393</v>
      </c>
      <c r="E1339">
        <v>1</v>
      </c>
      <c r="F1339" s="2">
        <v>1.0958904109589E-2</v>
      </c>
      <c r="H1339" s="33">
        <v>1</v>
      </c>
      <c r="I1339" t="s">
        <v>307</v>
      </c>
      <c r="J1339" t="s">
        <v>393</v>
      </c>
      <c r="K1339">
        <v>1</v>
      </c>
      <c r="L1339" s="63">
        <v>1.0958904109589041E-2</v>
      </c>
      <c r="M1339">
        <v>4</v>
      </c>
    </row>
    <row r="1340" spans="2:13" x14ac:dyDescent="0.25">
      <c r="B1340" s="33">
        <v>1</v>
      </c>
      <c r="C1340" t="s">
        <v>276</v>
      </c>
      <c r="D1340" t="s">
        <v>319</v>
      </c>
      <c r="E1340">
        <v>8</v>
      </c>
      <c r="F1340" s="2">
        <v>1.0958904109589E-2</v>
      </c>
      <c r="H1340" s="33">
        <v>1</v>
      </c>
      <c r="I1340" t="s">
        <v>276</v>
      </c>
      <c r="J1340" t="s">
        <v>319</v>
      </c>
      <c r="K1340">
        <v>8</v>
      </c>
      <c r="L1340" s="63">
        <v>1.0958904109589041E-2</v>
      </c>
      <c r="M1340">
        <v>4</v>
      </c>
    </row>
    <row r="1341" spans="2:13" x14ac:dyDescent="0.25">
      <c r="B1341" s="33">
        <v>1</v>
      </c>
      <c r="C1341" t="s">
        <v>2</v>
      </c>
      <c r="D1341" t="s">
        <v>21</v>
      </c>
      <c r="E1341">
        <v>5</v>
      </c>
      <c r="F1341" s="2">
        <v>5.4794520547945197E-3</v>
      </c>
      <c r="H1341" s="33">
        <v>1</v>
      </c>
      <c r="I1341" t="s">
        <v>2</v>
      </c>
      <c r="J1341" t="s">
        <v>21</v>
      </c>
      <c r="K1341">
        <v>5</v>
      </c>
      <c r="L1341" s="63">
        <v>5.4794520547945206E-3</v>
      </c>
      <c r="M1341">
        <v>2</v>
      </c>
    </row>
    <row r="1342" spans="2:13" x14ac:dyDescent="0.25">
      <c r="B1342" s="33">
        <v>1</v>
      </c>
      <c r="C1342" t="s">
        <v>2</v>
      </c>
      <c r="D1342" t="s">
        <v>32</v>
      </c>
      <c r="E1342">
        <v>4</v>
      </c>
      <c r="F1342" s="2">
        <v>0</v>
      </c>
      <c r="H1342" s="33">
        <v>1</v>
      </c>
      <c r="I1342" t="s">
        <v>2</v>
      </c>
      <c r="J1342" t="s">
        <v>32</v>
      </c>
      <c r="K1342">
        <v>4</v>
      </c>
      <c r="L1342" s="63">
        <v>5.4794520547945206E-3</v>
      </c>
      <c r="M1342">
        <v>2</v>
      </c>
    </row>
    <row r="1343" spans="2:13" x14ac:dyDescent="0.25">
      <c r="B1343" s="33">
        <v>1</v>
      </c>
      <c r="C1343" t="s">
        <v>307</v>
      </c>
      <c r="D1343" t="s">
        <v>310</v>
      </c>
      <c r="E1343">
        <v>5</v>
      </c>
      <c r="F1343" s="2">
        <v>5.4794520547945197E-3</v>
      </c>
      <c r="H1343" s="33">
        <v>1</v>
      </c>
      <c r="I1343" t="s">
        <v>307</v>
      </c>
      <c r="J1343" t="s">
        <v>310</v>
      </c>
      <c r="K1343">
        <v>5</v>
      </c>
      <c r="L1343" s="63">
        <v>2.7397260273972603E-3</v>
      </c>
      <c r="M1343">
        <v>2</v>
      </c>
    </row>
    <row r="1344" spans="2:13" x14ac:dyDescent="0.25">
      <c r="B1344" s="33">
        <v>1</v>
      </c>
      <c r="C1344" t="s">
        <v>276</v>
      </c>
      <c r="D1344" t="s">
        <v>318</v>
      </c>
      <c r="E1344">
        <v>22</v>
      </c>
      <c r="F1344" s="2">
        <v>5.4794520547945197E-3</v>
      </c>
      <c r="H1344" s="33">
        <v>1</v>
      </c>
      <c r="I1344" t="s">
        <v>276</v>
      </c>
      <c r="J1344" t="s">
        <v>318</v>
      </c>
      <c r="K1344">
        <v>22</v>
      </c>
      <c r="L1344" s="63">
        <v>5.4794520547945206E-3</v>
      </c>
      <c r="M1344">
        <v>2</v>
      </c>
    </row>
    <row r="1345" spans="2:13" x14ac:dyDescent="0.25">
      <c r="B1345" s="33">
        <v>1</v>
      </c>
      <c r="C1345" t="s">
        <v>307</v>
      </c>
      <c r="D1345" t="s">
        <v>310</v>
      </c>
      <c r="E1345">
        <v>23</v>
      </c>
      <c r="F1345" s="2">
        <v>1.3698630136986301E-2</v>
      </c>
      <c r="H1345" s="33">
        <v>1</v>
      </c>
      <c r="I1345" t="s">
        <v>307</v>
      </c>
      <c r="J1345" t="s">
        <v>310</v>
      </c>
      <c r="K1345">
        <v>23</v>
      </c>
      <c r="L1345" s="63">
        <v>1.3698630136986301E-2</v>
      </c>
      <c r="M1345">
        <v>5</v>
      </c>
    </row>
    <row r="1346" spans="2:13" x14ac:dyDescent="0.25">
      <c r="B1346" s="33">
        <v>1</v>
      </c>
      <c r="C1346" t="s">
        <v>307</v>
      </c>
      <c r="D1346" t="s">
        <v>308</v>
      </c>
      <c r="E1346">
        <v>5</v>
      </c>
      <c r="F1346" s="2">
        <v>2.7397260273972599E-3</v>
      </c>
      <c r="H1346" s="33">
        <v>1</v>
      </c>
      <c r="I1346" t="s">
        <v>307</v>
      </c>
      <c r="J1346" t="s">
        <v>308</v>
      </c>
      <c r="K1346">
        <v>5</v>
      </c>
      <c r="L1346" s="63">
        <v>2.7397260273972603E-3</v>
      </c>
      <c r="M1346">
        <v>1</v>
      </c>
    </row>
    <row r="1347" spans="2:13" x14ac:dyDescent="0.25">
      <c r="B1347" s="33">
        <v>1</v>
      </c>
      <c r="C1347" t="s">
        <v>276</v>
      </c>
      <c r="D1347" t="s">
        <v>319</v>
      </c>
      <c r="E1347">
        <v>12</v>
      </c>
      <c r="F1347" s="2">
        <v>8.21917808219178E-3</v>
      </c>
      <c r="H1347" s="33">
        <v>1</v>
      </c>
      <c r="I1347" t="s">
        <v>276</v>
      </c>
      <c r="J1347" t="s">
        <v>319</v>
      </c>
      <c r="K1347">
        <v>12</v>
      </c>
      <c r="L1347" s="63">
        <v>8.21917808219178E-3</v>
      </c>
      <c r="M1347">
        <v>3</v>
      </c>
    </row>
    <row r="1348" spans="2:13" x14ac:dyDescent="0.25">
      <c r="B1348" s="33">
        <v>1</v>
      </c>
      <c r="C1348" t="s">
        <v>307</v>
      </c>
      <c r="D1348" t="s">
        <v>310</v>
      </c>
      <c r="E1348">
        <v>2</v>
      </c>
      <c r="F1348" s="2">
        <v>5.4794520547945197E-3</v>
      </c>
      <c r="H1348" s="33">
        <v>1</v>
      </c>
      <c r="I1348" t="s">
        <v>307</v>
      </c>
      <c r="J1348" t="s">
        <v>310</v>
      </c>
      <c r="K1348">
        <v>2</v>
      </c>
      <c r="L1348" s="63">
        <v>5.4794520547945206E-3</v>
      </c>
      <c r="M1348">
        <v>2</v>
      </c>
    </row>
    <row r="1349" spans="2:13" x14ac:dyDescent="0.25">
      <c r="B1349" s="33">
        <v>1</v>
      </c>
      <c r="C1349" t="s">
        <v>0</v>
      </c>
      <c r="D1349" t="s">
        <v>79</v>
      </c>
      <c r="E1349">
        <v>6</v>
      </c>
      <c r="F1349" s="2">
        <v>8.21917808219178E-3</v>
      </c>
      <c r="H1349" s="33">
        <v>1</v>
      </c>
      <c r="I1349" t="s">
        <v>0</v>
      </c>
      <c r="J1349" t="s">
        <v>79</v>
      </c>
      <c r="K1349">
        <v>6</v>
      </c>
      <c r="L1349" s="63">
        <v>8.21917808219178E-3</v>
      </c>
      <c r="M1349">
        <v>3</v>
      </c>
    </row>
    <row r="1350" spans="2:13" x14ac:dyDescent="0.25">
      <c r="B1350" s="33">
        <v>1</v>
      </c>
      <c r="C1350" t="s">
        <v>2</v>
      </c>
      <c r="D1350" t="s">
        <v>21</v>
      </c>
      <c r="E1350">
        <v>1</v>
      </c>
      <c r="F1350" s="2">
        <v>0</v>
      </c>
      <c r="H1350" s="33">
        <v>1</v>
      </c>
      <c r="I1350" t="s">
        <v>2</v>
      </c>
      <c r="J1350" t="s">
        <v>21</v>
      </c>
      <c r="K1350">
        <v>1</v>
      </c>
      <c r="L1350" s="63">
        <v>5.4794520547945206E-3</v>
      </c>
      <c r="M1350">
        <v>3</v>
      </c>
    </row>
    <row r="1351" spans="2:13" x14ac:dyDescent="0.25">
      <c r="B1351" s="33">
        <v>1</v>
      </c>
      <c r="C1351" t="s">
        <v>57</v>
      </c>
      <c r="D1351" t="s">
        <v>77</v>
      </c>
      <c r="E1351">
        <v>3</v>
      </c>
      <c r="F1351" s="2">
        <v>0</v>
      </c>
      <c r="H1351" s="33">
        <v>1</v>
      </c>
      <c r="I1351" t="s">
        <v>57</v>
      </c>
      <c r="J1351" t="s">
        <v>77</v>
      </c>
      <c r="K1351">
        <v>3</v>
      </c>
      <c r="L1351" s="63">
        <v>2.7397260273972603E-3</v>
      </c>
      <c r="M1351">
        <v>1</v>
      </c>
    </row>
    <row r="1352" spans="2:13" x14ac:dyDescent="0.25">
      <c r="B1352" s="33">
        <v>1</v>
      </c>
      <c r="C1352" t="s">
        <v>2</v>
      </c>
      <c r="D1352" t="s">
        <v>32</v>
      </c>
      <c r="E1352">
        <v>3</v>
      </c>
      <c r="F1352" s="2">
        <v>2.7397260273972599E-3</v>
      </c>
      <c r="H1352" s="33">
        <v>1</v>
      </c>
      <c r="I1352" t="s">
        <v>2</v>
      </c>
      <c r="J1352" t="s">
        <v>32</v>
      </c>
      <c r="K1352">
        <v>3</v>
      </c>
      <c r="L1352" s="63">
        <v>2.7397260273972603E-3</v>
      </c>
      <c r="M1352">
        <v>1</v>
      </c>
    </row>
    <row r="1353" spans="2:13" x14ac:dyDescent="0.25">
      <c r="B1353" s="33">
        <v>1</v>
      </c>
      <c r="C1353" t="s">
        <v>307</v>
      </c>
      <c r="D1353" t="s">
        <v>309</v>
      </c>
      <c r="E1353">
        <v>2</v>
      </c>
      <c r="F1353" s="2">
        <v>2.7397260273972599E-3</v>
      </c>
      <c r="H1353" s="33">
        <v>1</v>
      </c>
      <c r="I1353" t="s">
        <v>307</v>
      </c>
      <c r="J1353" t="s">
        <v>309</v>
      </c>
      <c r="K1353">
        <v>2</v>
      </c>
      <c r="L1353" s="63">
        <v>2.7397260273972603E-3</v>
      </c>
      <c r="M1353">
        <v>1</v>
      </c>
    </row>
    <row r="1354" spans="2:13" x14ac:dyDescent="0.25">
      <c r="B1354" s="33">
        <v>1</v>
      </c>
      <c r="C1354" t="s">
        <v>307</v>
      </c>
      <c r="D1354" t="s">
        <v>393</v>
      </c>
      <c r="E1354">
        <v>2</v>
      </c>
      <c r="F1354" s="2">
        <v>5.4794520547945197E-3</v>
      </c>
      <c r="H1354" s="33">
        <v>1</v>
      </c>
      <c r="I1354" t="s">
        <v>307</v>
      </c>
      <c r="J1354" t="s">
        <v>393</v>
      </c>
      <c r="K1354">
        <v>2</v>
      </c>
      <c r="L1354" s="63">
        <v>5.4794520547945206E-3</v>
      </c>
      <c r="M1354">
        <v>2</v>
      </c>
    </row>
    <row r="1355" spans="2:13" x14ac:dyDescent="0.25">
      <c r="B1355" s="33">
        <v>1</v>
      </c>
      <c r="C1355" t="s">
        <v>276</v>
      </c>
      <c r="D1355" t="s">
        <v>318</v>
      </c>
      <c r="E1355">
        <v>14</v>
      </c>
      <c r="F1355" s="2">
        <v>1.0958904109589E-2</v>
      </c>
      <c r="H1355" s="33">
        <v>1</v>
      </c>
      <c r="I1355" t="s">
        <v>276</v>
      </c>
      <c r="J1355" t="s">
        <v>318</v>
      </c>
      <c r="K1355">
        <v>14</v>
      </c>
      <c r="L1355" s="63">
        <v>1.0958904109589041E-2</v>
      </c>
      <c r="M1355">
        <v>4</v>
      </c>
    </row>
    <row r="1356" spans="2:13" x14ac:dyDescent="0.25">
      <c r="B1356" s="33">
        <v>1</v>
      </c>
      <c r="C1356" t="s">
        <v>276</v>
      </c>
      <c r="D1356" t="s">
        <v>286</v>
      </c>
      <c r="E1356">
        <v>21</v>
      </c>
      <c r="F1356" s="2">
        <v>2.7397260273972599E-3</v>
      </c>
      <c r="H1356" s="33">
        <v>1</v>
      </c>
      <c r="I1356" t="s">
        <v>276</v>
      </c>
      <c r="J1356" t="s">
        <v>286</v>
      </c>
      <c r="K1356">
        <v>21</v>
      </c>
      <c r="L1356" s="63">
        <v>2.7397260273972603E-3</v>
      </c>
      <c r="M1356">
        <v>1</v>
      </c>
    </row>
    <row r="1357" spans="2:13" x14ac:dyDescent="0.25">
      <c r="B1357" s="33">
        <v>1</v>
      </c>
      <c r="C1357" t="s">
        <v>276</v>
      </c>
      <c r="D1357" t="s">
        <v>288</v>
      </c>
      <c r="E1357">
        <v>8</v>
      </c>
      <c r="F1357" s="2">
        <v>5.4794520547945197E-3</v>
      </c>
      <c r="H1357" s="33">
        <v>1</v>
      </c>
      <c r="I1357" t="s">
        <v>276</v>
      </c>
      <c r="J1357" t="s">
        <v>288</v>
      </c>
      <c r="K1357">
        <v>8</v>
      </c>
      <c r="L1357" s="63">
        <v>5.4794520547945206E-3</v>
      </c>
      <c r="M1357">
        <v>2</v>
      </c>
    </row>
    <row r="1358" spans="2:13" x14ac:dyDescent="0.25">
      <c r="B1358" s="33">
        <v>1</v>
      </c>
      <c r="C1358" t="s">
        <v>292</v>
      </c>
      <c r="D1358" t="s">
        <v>321</v>
      </c>
      <c r="E1358">
        <v>5</v>
      </c>
      <c r="F1358" s="2">
        <v>2.7397260273972599E-3</v>
      </c>
      <c r="H1358" s="33">
        <v>1</v>
      </c>
      <c r="I1358" t="s">
        <v>292</v>
      </c>
      <c r="J1358" t="s">
        <v>321</v>
      </c>
      <c r="K1358">
        <v>5</v>
      </c>
      <c r="L1358" s="63">
        <v>2.7397260273972603E-3</v>
      </c>
      <c r="M1358">
        <v>1</v>
      </c>
    </row>
    <row r="1359" spans="2:13" x14ac:dyDescent="0.25">
      <c r="B1359" s="33">
        <v>1</v>
      </c>
      <c r="C1359" t="s">
        <v>292</v>
      </c>
      <c r="D1359" t="s">
        <v>296</v>
      </c>
      <c r="E1359">
        <v>2</v>
      </c>
      <c r="F1359" s="2">
        <v>2.7397260273972599E-3</v>
      </c>
      <c r="H1359" s="33">
        <v>1</v>
      </c>
      <c r="I1359" t="s">
        <v>292</v>
      </c>
      <c r="J1359" t="s">
        <v>296</v>
      </c>
      <c r="K1359">
        <v>2</v>
      </c>
      <c r="L1359" s="63">
        <v>2.7397260273972603E-3</v>
      </c>
      <c r="M1359">
        <v>1</v>
      </c>
    </row>
    <row r="1360" spans="2:13" x14ac:dyDescent="0.25">
      <c r="B1360" s="33">
        <v>1</v>
      </c>
      <c r="C1360" t="s">
        <v>276</v>
      </c>
      <c r="D1360" t="s">
        <v>290</v>
      </c>
      <c r="E1360">
        <v>18</v>
      </c>
      <c r="F1360" s="2">
        <v>2.7397260273972599E-3</v>
      </c>
      <c r="H1360" s="33">
        <v>1</v>
      </c>
      <c r="I1360" t="s">
        <v>276</v>
      </c>
      <c r="J1360" t="s">
        <v>290</v>
      </c>
      <c r="K1360">
        <v>18</v>
      </c>
      <c r="L1360" s="63">
        <v>2.7397260273972603E-3</v>
      </c>
      <c r="M1360">
        <v>1</v>
      </c>
    </row>
    <row r="1361" spans="2:13" x14ac:dyDescent="0.25">
      <c r="B1361" s="33">
        <v>1</v>
      </c>
      <c r="C1361" t="s">
        <v>0</v>
      </c>
      <c r="D1361" t="s">
        <v>78</v>
      </c>
      <c r="E1361">
        <v>6</v>
      </c>
      <c r="F1361" s="2">
        <v>0</v>
      </c>
      <c r="H1361" s="33">
        <v>1</v>
      </c>
      <c r="I1361" t="s">
        <v>0</v>
      </c>
      <c r="J1361" t="s">
        <v>78</v>
      </c>
      <c r="K1361">
        <v>6</v>
      </c>
      <c r="L1361" s="63">
        <v>2.7397260273972603E-3</v>
      </c>
      <c r="M1361">
        <v>1</v>
      </c>
    </row>
    <row r="1362" spans="2:13" x14ac:dyDescent="0.25">
      <c r="B1362" s="33">
        <v>1</v>
      </c>
      <c r="C1362" t="s">
        <v>276</v>
      </c>
      <c r="D1362" t="s">
        <v>286</v>
      </c>
      <c r="E1362">
        <v>5</v>
      </c>
      <c r="F1362" s="2">
        <v>2.7397260273972599E-3</v>
      </c>
      <c r="H1362" s="33">
        <v>1</v>
      </c>
      <c r="I1362" t="s">
        <v>276</v>
      </c>
      <c r="J1362" t="s">
        <v>286</v>
      </c>
      <c r="K1362">
        <v>5</v>
      </c>
      <c r="L1362" s="63">
        <v>2.7397260273972603E-3</v>
      </c>
      <c r="M1362">
        <v>1</v>
      </c>
    </row>
    <row r="1363" spans="2:13" x14ac:dyDescent="0.25">
      <c r="B1363" s="33">
        <v>1</v>
      </c>
      <c r="C1363" t="s">
        <v>307</v>
      </c>
      <c r="D1363" t="s">
        <v>312</v>
      </c>
      <c r="E1363">
        <v>3</v>
      </c>
      <c r="F1363" s="2">
        <v>1.0958904109589E-2</v>
      </c>
      <c r="H1363" s="33">
        <v>1</v>
      </c>
      <c r="I1363" t="s">
        <v>307</v>
      </c>
      <c r="J1363" t="s">
        <v>312</v>
      </c>
      <c r="K1363">
        <v>3</v>
      </c>
      <c r="L1363" s="63">
        <v>1.0958904109589041E-2</v>
      </c>
      <c r="M1363">
        <v>4</v>
      </c>
    </row>
    <row r="1364" spans="2:13" x14ac:dyDescent="0.25">
      <c r="B1364" s="33">
        <v>1</v>
      </c>
      <c r="C1364" t="s">
        <v>0</v>
      </c>
      <c r="D1364" t="s">
        <v>79</v>
      </c>
      <c r="E1364">
        <v>3</v>
      </c>
      <c r="F1364" s="2">
        <v>2.7397260273972599E-3</v>
      </c>
      <c r="H1364" s="33">
        <v>1</v>
      </c>
      <c r="I1364" t="s">
        <v>0</v>
      </c>
      <c r="J1364" t="s">
        <v>79</v>
      </c>
      <c r="K1364">
        <v>3</v>
      </c>
      <c r="L1364" s="63">
        <v>2.7397260273972603E-3</v>
      </c>
      <c r="M1364">
        <v>1</v>
      </c>
    </row>
    <row r="1365" spans="2:13" x14ac:dyDescent="0.25">
      <c r="B1365" s="33">
        <v>1</v>
      </c>
      <c r="C1365" t="s">
        <v>276</v>
      </c>
      <c r="D1365" t="s">
        <v>319</v>
      </c>
      <c r="E1365">
        <v>7</v>
      </c>
      <c r="F1365" s="2">
        <v>2.7397260273972599E-3</v>
      </c>
      <c r="H1365" s="33">
        <v>1</v>
      </c>
      <c r="I1365" t="s">
        <v>276</v>
      </c>
      <c r="J1365" t="s">
        <v>319</v>
      </c>
      <c r="K1365">
        <v>7</v>
      </c>
      <c r="L1365" s="63">
        <v>2.7397260273972603E-3</v>
      </c>
      <c r="M1365">
        <v>1</v>
      </c>
    </row>
    <row r="1366" spans="2:13" x14ac:dyDescent="0.25">
      <c r="B1366" s="33">
        <v>1</v>
      </c>
      <c r="C1366" t="s">
        <v>2</v>
      </c>
      <c r="D1366" t="s">
        <v>36</v>
      </c>
      <c r="E1366">
        <v>4</v>
      </c>
      <c r="F1366" s="2">
        <v>2.7397260273972599E-3</v>
      </c>
      <c r="H1366" s="33">
        <v>1</v>
      </c>
      <c r="I1366" t="s">
        <v>2</v>
      </c>
      <c r="J1366" t="s">
        <v>36</v>
      </c>
      <c r="K1366">
        <v>4</v>
      </c>
      <c r="L1366" s="63">
        <v>8.21917808219178E-3</v>
      </c>
      <c r="M1366">
        <v>3</v>
      </c>
    </row>
    <row r="1367" spans="2:13" x14ac:dyDescent="0.25">
      <c r="B1367" s="33">
        <v>1</v>
      </c>
      <c r="C1367" t="s">
        <v>307</v>
      </c>
      <c r="D1367" t="s">
        <v>394</v>
      </c>
      <c r="E1367">
        <v>4</v>
      </c>
      <c r="F1367" s="2">
        <v>2.7397260273972599E-3</v>
      </c>
      <c r="H1367" s="33">
        <v>1</v>
      </c>
      <c r="I1367" t="s">
        <v>307</v>
      </c>
      <c r="J1367" t="s">
        <v>314</v>
      </c>
      <c r="K1367">
        <v>4</v>
      </c>
      <c r="L1367" s="63">
        <v>2.7397260273972603E-3</v>
      </c>
      <c r="M1367">
        <v>1</v>
      </c>
    </row>
    <row r="1368" spans="2:13" x14ac:dyDescent="0.25">
      <c r="B1368" s="33">
        <v>1</v>
      </c>
      <c r="C1368" t="s">
        <v>0</v>
      </c>
      <c r="D1368" t="s">
        <v>73</v>
      </c>
      <c r="E1368">
        <v>5</v>
      </c>
      <c r="F1368" s="2">
        <v>5.4794520547945197E-3</v>
      </c>
      <c r="H1368" s="33">
        <v>1</v>
      </c>
      <c r="I1368" t="s">
        <v>0</v>
      </c>
      <c r="J1368" t="s">
        <v>73</v>
      </c>
      <c r="K1368">
        <v>5</v>
      </c>
      <c r="L1368" s="63">
        <v>5.4794520547945206E-3</v>
      </c>
      <c r="M1368">
        <v>2</v>
      </c>
    </row>
    <row r="1369" spans="2:13" x14ac:dyDescent="0.25">
      <c r="B1369" s="33">
        <v>1</v>
      </c>
      <c r="C1369" t="s">
        <v>231</v>
      </c>
      <c r="D1369" t="s">
        <v>190</v>
      </c>
      <c r="E1369">
        <v>6</v>
      </c>
      <c r="F1369" s="2">
        <v>2.7397260273972599E-3</v>
      </c>
      <c r="H1369" s="33">
        <v>1</v>
      </c>
      <c r="I1369" t="s">
        <v>231</v>
      </c>
      <c r="J1369" t="s">
        <v>190</v>
      </c>
      <c r="K1369">
        <v>6</v>
      </c>
      <c r="L1369" s="63">
        <v>5.4794520547945206E-3</v>
      </c>
      <c r="M1369">
        <v>3</v>
      </c>
    </row>
    <row r="1370" spans="2:13" x14ac:dyDescent="0.25">
      <c r="B1370" s="33">
        <v>1</v>
      </c>
      <c r="C1370" t="s">
        <v>307</v>
      </c>
      <c r="D1370" t="s">
        <v>310</v>
      </c>
      <c r="E1370">
        <v>4</v>
      </c>
      <c r="F1370" s="2">
        <v>2.7397260273972599E-3</v>
      </c>
      <c r="H1370" s="33">
        <v>1</v>
      </c>
      <c r="I1370" t="s">
        <v>307</v>
      </c>
      <c r="J1370" t="s">
        <v>310</v>
      </c>
      <c r="K1370">
        <v>4</v>
      </c>
      <c r="L1370" s="63">
        <v>2.7397260273972603E-3</v>
      </c>
      <c r="M1370">
        <v>1</v>
      </c>
    </row>
    <row r="1371" spans="2:13" x14ac:dyDescent="0.25">
      <c r="B1371" s="33">
        <v>1</v>
      </c>
      <c r="C1371" t="s">
        <v>292</v>
      </c>
      <c r="D1371" t="s">
        <v>296</v>
      </c>
      <c r="E1371">
        <v>6</v>
      </c>
      <c r="F1371" s="2">
        <v>5.4794520547945197E-3</v>
      </c>
      <c r="H1371" s="33">
        <v>1</v>
      </c>
      <c r="I1371" t="s">
        <v>292</v>
      </c>
      <c r="J1371" t="s">
        <v>296</v>
      </c>
      <c r="K1371">
        <v>6</v>
      </c>
      <c r="L1371" s="63">
        <v>2.7397260273972603E-3</v>
      </c>
      <c r="M1371">
        <v>2</v>
      </c>
    </row>
    <row r="1372" spans="2:13" x14ac:dyDescent="0.25">
      <c r="B1372" s="33">
        <v>1</v>
      </c>
      <c r="C1372" t="s">
        <v>307</v>
      </c>
      <c r="D1372" t="s">
        <v>312</v>
      </c>
      <c r="E1372">
        <v>1</v>
      </c>
      <c r="F1372" s="2">
        <v>2.7397260273972599E-3</v>
      </c>
      <c r="H1372" s="33">
        <v>1</v>
      </c>
      <c r="I1372" t="s">
        <v>307</v>
      </c>
      <c r="J1372" t="s">
        <v>312</v>
      </c>
      <c r="K1372">
        <v>1</v>
      </c>
      <c r="L1372" s="63">
        <v>2.7397260273972603E-3</v>
      </c>
      <c r="M1372">
        <v>1</v>
      </c>
    </row>
    <row r="1373" spans="2:13" x14ac:dyDescent="0.25">
      <c r="B1373" s="33">
        <v>1</v>
      </c>
      <c r="C1373" t="s">
        <v>231</v>
      </c>
      <c r="D1373" t="s">
        <v>188</v>
      </c>
      <c r="E1373">
        <v>2</v>
      </c>
      <c r="F1373" s="2">
        <v>0</v>
      </c>
      <c r="H1373" s="33">
        <v>1</v>
      </c>
      <c r="I1373" t="s">
        <v>231</v>
      </c>
      <c r="J1373" t="s">
        <v>188</v>
      </c>
      <c r="K1373">
        <v>2</v>
      </c>
      <c r="L1373" s="63">
        <v>2.7397260273972603E-3</v>
      </c>
      <c r="M1373">
        <v>1</v>
      </c>
    </row>
    <row r="1374" spans="2:13" x14ac:dyDescent="0.25">
      <c r="B1374" s="33">
        <v>1</v>
      </c>
      <c r="C1374" t="s">
        <v>307</v>
      </c>
      <c r="D1374" t="s">
        <v>394</v>
      </c>
      <c r="E1374">
        <v>2</v>
      </c>
      <c r="F1374" s="2">
        <v>5.4794520547945197E-3</v>
      </c>
      <c r="H1374" s="33">
        <v>1</v>
      </c>
      <c r="I1374" t="s">
        <v>307</v>
      </c>
      <c r="J1374" t="s">
        <v>314</v>
      </c>
      <c r="K1374">
        <v>2</v>
      </c>
      <c r="L1374" s="63">
        <v>5.4794520547945206E-3</v>
      </c>
      <c r="M1374">
        <v>2</v>
      </c>
    </row>
    <row r="1375" spans="2:13" x14ac:dyDescent="0.25">
      <c r="B1375" s="33">
        <v>1</v>
      </c>
      <c r="C1375" t="s">
        <v>2</v>
      </c>
      <c r="D1375" t="s">
        <v>38</v>
      </c>
      <c r="E1375">
        <v>21</v>
      </c>
      <c r="F1375" s="2">
        <v>2.7397260273972599E-3</v>
      </c>
      <c r="H1375" s="33">
        <v>1</v>
      </c>
      <c r="I1375" t="s">
        <v>2</v>
      </c>
      <c r="J1375" t="s">
        <v>38</v>
      </c>
      <c r="K1375">
        <v>21</v>
      </c>
      <c r="L1375" s="63">
        <v>2.7397260273972603E-3</v>
      </c>
      <c r="M1375">
        <v>1</v>
      </c>
    </row>
    <row r="1376" spans="2:13" x14ac:dyDescent="0.25">
      <c r="B1376" s="33">
        <v>1</v>
      </c>
      <c r="C1376" t="s">
        <v>0</v>
      </c>
      <c r="D1376" t="s">
        <v>70</v>
      </c>
      <c r="E1376">
        <v>3</v>
      </c>
      <c r="F1376" s="2">
        <v>2.7397260273972599E-3</v>
      </c>
      <c r="H1376" s="33">
        <v>1</v>
      </c>
      <c r="I1376" t="s">
        <v>0</v>
      </c>
      <c r="J1376" t="s">
        <v>70</v>
      </c>
      <c r="K1376">
        <v>3</v>
      </c>
      <c r="L1376" s="63">
        <v>2.7397260273972603E-3</v>
      </c>
      <c r="M1376">
        <v>1</v>
      </c>
    </row>
    <row r="1377" spans="2:13" x14ac:dyDescent="0.25">
      <c r="B1377" s="33">
        <v>1</v>
      </c>
      <c r="C1377" t="s">
        <v>2</v>
      </c>
      <c r="D1377" t="s">
        <v>38</v>
      </c>
      <c r="E1377">
        <v>22</v>
      </c>
      <c r="F1377" s="2">
        <v>2.7397260273972599E-3</v>
      </c>
      <c r="H1377" s="33">
        <v>1</v>
      </c>
      <c r="I1377" t="s">
        <v>2</v>
      </c>
      <c r="J1377" t="s">
        <v>38</v>
      </c>
      <c r="K1377">
        <v>22</v>
      </c>
      <c r="L1377" s="63">
        <v>2.7397260273972603E-3</v>
      </c>
      <c r="M1377">
        <v>1</v>
      </c>
    </row>
    <row r="1378" spans="2:13" x14ac:dyDescent="0.25">
      <c r="B1378" s="33">
        <v>1</v>
      </c>
      <c r="C1378" t="s">
        <v>307</v>
      </c>
      <c r="D1378" t="s">
        <v>309</v>
      </c>
      <c r="E1378">
        <v>22</v>
      </c>
      <c r="F1378" s="2">
        <v>2.7397260273972599E-3</v>
      </c>
      <c r="H1378" s="33">
        <v>1</v>
      </c>
      <c r="I1378" t="s">
        <v>307</v>
      </c>
      <c r="J1378" t="s">
        <v>309</v>
      </c>
      <c r="K1378">
        <v>22</v>
      </c>
      <c r="L1378" s="63">
        <v>2.7397260273972603E-3</v>
      </c>
      <c r="M1378">
        <v>1</v>
      </c>
    </row>
    <row r="1379" spans="2:13" x14ac:dyDescent="0.25">
      <c r="B1379" s="33">
        <v>1</v>
      </c>
      <c r="C1379" t="s">
        <v>276</v>
      </c>
      <c r="D1379" t="s">
        <v>289</v>
      </c>
      <c r="E1379">
        <v>2</v>
      </c>
      <c r="F1379" s="2">
        <v>2.7397260273972599E-3</v>
      </c>
      <c r="H1379" s="33">
        <v>1</v>
      </c>
      <c r="I1379" t="s">
        <v>276</v>
      </c>
      <c r="J1379" t="s">
        <v>289</v>
      </c>
      <c r="K1379">
        <v>2</v>
      </c>
      <c r="L1379" s="63">
        <v>2.7397260273972603E-3</v>
      </c>
      <c r="M1379">
        <v>1</v>
      </c>
    </row>
    <row r="1380" spans="2:13" x14ac:dyDescent="0.25">
      <c r="B1380" s="33">
        <v>1</v>
      </c>
      <c r="C1380" t="s">
        <v>231</v>
      </c>
      <c r="D1380" t="s">
        <v>190</v>
      </c>
      <c r="E1380">
        <v>3</v>
      </c>
      <c r="F1380" s="2">
        <v>2.7397260273972599E-3</v>
      </c>
      <c r="H1380" s="33">
        <v>1</v>
      </c>
      <c r="I1380" t="s">
        <v>231</v>
      </c>
      <c r="J1380" t="s">
        <v>190</v>
      </c>
      <c r="K1380">
        <v>3</v>
      </c>
      <c r="L1380" s="63">
        <v>2.7397260273972603E-3</v>
      </c>
      <c r="M1380">
        <v>1</v>
      </c>
    </row>
    <row r="1381" spans="2:13" x14ac:dyDescent="0.25">
      <c r="B1381" s="33">
        <v>1</v>
      </c>
      <c r="C1381" t="s">
        <v>292</v>
      </c>
      <c r="D1381" t="s">
        <v>297</v>
      </c>
      <c r="E1381">
        <v>6</v>
      </c>
      <c r="F1381" s="2">
        <v>2.7397260273972599E-3</v>
      </c>
      <c r="H1381" s="33">
        <v>1</v>
      </c>
      <c r="I1381" t="s">
        <v>292</v>
      </c>
      <c r="J1381" t="s">
        <v>297</v>
      </c>
      <c r="K1381">
        <v>6</v>
      </c>
      <c r="L1381" s="63">
        <v>2.7397260273972603E-3</v>
      </c>
      <c r="M1381">
        <v>1</v>
      </c>
    </row>
    <row r="1382" spans="2:13" x14ac:dyDescent="0.25">
      <c r="B1382" s="33">
        <v>1</v>
      </c>
      <c r="C1382" t="s">
        <v>276</v>
      </c>
      <c r="D1382" t="s">
        <v>287</v>
      </c>
      <c r="E1382">
        <v>23</v>
      </c>
      <c r="F1382" s="2">
        <v>2.7397260273972599E-3</v>
      </c>
      <c r="H1382" s="33">
        <v>1</v>
      </c>
      <c r="I1382" t="s">
        <v>276</v>
      </c>
      <c r="J1382" t="s">
        <v>287</v>
      </c>
      <c r="K1382">
        <v>23</v>
      </c>
      <c r="L1382" s="63">
        <v>2.7397260273972603E-3</v>
      </c>
      <c r="M1382">
        <v>1</v>
      </c>
    </row>
    <row r="1383" spans="2:13" x14ac:dyDescent="0.25">
      <c r="B1383" s="33">
        <v>1</v>
      </c>
      <c r="C1383" t="s">
        <v>57</v>
      </c>
      <c r="D1383" t="s">
        <v>69</v>
      </c>
      <c r="E1383">
        <v>4</v>
      </c>
      <c r="F1383" s="2">
        <v>0</v>
      </c>
      <c r="H1383" s="33">
        <v>1</v>
      </c>
      <c r="I1383" t="s">
        <v>57</v>
      </c>
      <c r="J1383" t="s">
        <v>69</v>
      </c>
      <c r="K1383">
        <v>4</v>
      </c>
      <c r="L1383" s="63">
        <v>2.7397260273972603E-3</v>
      </c>
      <c r="M1383">
        <v>1</v>
      </c>
    </row>
    <row r="1384" spans="2:13" x14ac:dyDescent="0.25">
      <c r="B1384" s="33">
        <v>1</v>
      </c>
      <c r="C1384" t="s">
        <v>2</v>
      </c>
      <c r="D1384" t="s">
        <v>37</v>
      </c>
      <c r="E1384">
        <v>5</v>
      </c>
      <c r="F1384" s="2">
        <v>2.7397260273972599E-3</v>
      </c>
      <c r="H1384" s="33">
        <v>1</v>
      </c>
      <c r="I1384" t="s">
        <v>2</v>
      </c>
      <c r="J1384" t="s">
        <v>37</v>
      </c>
      <c r="K1384">
        <v>5</v>
      </c>
      <c r="L1384" s="63">
        <v>2.7397260273972603E-3</v>
      </c>
      <c r="M1384">
        <v>1</v>
      </c>
    </row>
  </sheetData>
  <mergeCells count="4">
    <mergeCell ref="B5:F5"/>
    <mergeCell ref="H5:M5"/>
    <mergeCell ref="P5:T5"/>
    <mergeCell ref="W5:Y5"/>
  </mergeCells>
  <phoneticPr fontId="8" type="noConversion"/>
  <pageMargins left="0.7" right="0.7" top="0.75" bottom="0.75" header="0.3" footer="0.3"/>
  <pageSetup paperSize="9"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K629"/>
  <sheetViews>
    <sheetView showGridLines="0" zoomScale="50" zoomScaleNormal="50" workbookViewId="0">
      <pane ySplit="6" topLeftCell="A7" activePane="bottomLeft" state="frozen"/>
      <selection pane="bottomLeft" activeCell="R144" sqref="R144"/>
    </sheetView>
  </sheetViews>
  <sheetFormatPr defaultRowHeight="15" x14ac:dyDescent="0.25"/>
  <cols>
    <col min="2" max="2" width="21.140625" bestFit="1" customWidth="1"/>
    <col min="3" max="3" width="17.42578125" bestFit="1" customWidth="1"/>
    <col min="4" max="4" width="16.5703125" bestFit="1" customWidth="1"/>
    <col min="5" max="5" width="15.5703125" bestFit="1" customWidth="1"/>
    <col min="6" max="6" width="22.85546875" bestFit="1" customWidth="1"/>
    <col min="7" max="7" width="43" bestFit="1" customWidth="1"/>
    <col min="8" max="8" width="11" bestFit="1" customWidth="1"/>
    <col min="9" max="9" width="23" bestFit="1" customWidth="1"/>
    <col min="10" max="10" width="22.85546875" bestFit="1" customWidth="1"/>
    <col min="13" max="13" width="12.140625" bestFit="1" customWidth="1"/>
    <col min="14" max="14" width="8.28515625" bestFit="1" customWidth="1"/>
    <col min="15" max="15" width="7.5703125" bestFit="1" customWidth="1"/>
    <col min="16" max="16" width="11" bestFit="1" customWidth="1"/>
    <col min="17" max="17" width="29.5703125" bestFit="1" customWidth="1"/>
    <col min="18" max="18" width="25.42578125" bestFit="1" customWidth="1"/>
    <col min="19" max="19" width="14.85546875" bestFit="1" customWidth="1"/>
    <col min="20" max="20" width="20.28515625" bestFit="1" customWidth="1"/>
    <col min="21" max="21" width="16.28515625" bestFit="1" customWidth="1"/>
    <col min="22" max="22" width="20.42578125" bestFit="1" customWidth="1"/>
    <col min="23" max="24" width="39.85546875" bestFit="1" customWidth="1"/>
    <col min="25" max="25" width="46.28515625" bestFit="1" customWidth="1"/>
    <col min="26" max="26" width="6" bestFit="1" customWidth="1"/>
    <col min="27" max="27" width="8.28515625" bestFit="1" customWidth="1"/>
  </cols>
  <sheetData>
    <row r="1" spans="1:37" x14ac:dyDescent="0.25">
      <c r="A1" s="86" t="s">
        <v>162</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row>
    <row r="2" spans="1:37"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37"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5" spans="1:37" x14ac:dyDescent="0.25">
      <c r="B5" s="87" t="s">
        <v>176</v>
      </c>
      <c r="C5" s="87"/>
      <c r="D5" s="87"/>
      <c r="E5" s="87"/>
      <c r="F5" s="87"/>
      <c r="G5" s="82"/>
      <c r="H5" s="82"/>
      <c r="I5" s="82"/>
      <c r="J5" s="82"/>
      <c r="M5" s="87" t="s">
        <v>177</v>
      </c>
      <c r="N5" s="87"/>
      <c r="O5" s="87"/>
      <c r="P5" s="87"/>
      <c r="Q5" s="87"/>
      <c r="R5" s="87"/>
      <c r="S5" s="87"/>
      <c r="T5" s="87"/>
      <c r="U5" s="87"/>
      <c r="V5" s="87"/>
      <c r="W5" s="85"/>
      <c r="X5" s="85"/>
      <c r="Y5" s="85"/>
      <c r="Z5" s="85"/>
      <c r="AA5" s="85"/>
    </row>
    <row r="6" spans="1:37" x14ac:dyDescent="0.25">
      <c r="B6" s="3" t="s">
        <v>165</v>
      </c>
      <c r="C6" s="3" t="s">
        <v>120</v>
      </c>
      <c r="D6" s="3" t="s">
        <v>39</v>
      </c>
      <c r="E6" s="3" t="s">
        <v>166</v>
      </c>
      <c r="F6" s="3" t="s">
        <v>7</v>
      </c>
      <c r="G6" t="s">
        <v>8</v>
      </c>
      <c r="H6" t="s">
        <v>334</v>
      </c>
      <c r="I6" t="s">
        <v>380</v>
      </c>
      <c r="M6" s="3" t="s">
        <v>165</v>
      </c>
      <c r="N6" s="3" t="s">
        <v>120</v>
      </c>
      <c r="O6" s="3" t="s">
        <v>39</v>
      </c>
      <c r="P6" s="3" t="s">
        <v>166</v>
      </c>
      <c r="Q6" s="3" t="s">
        <v>167</v>
      </c>
      <c r="R6" s="3" t="s">
        <v>168</v>
      </c>
      <c r="S6" s="3" t="s">
        <v>169</v>
      </c>
      <c r="T6" s="3" t="s">
        <v>170</v>
      </c>
      <c r="U6" s="3" t="s">
        <v>171</v>
      </c>
      <c r="V6" t="s">
        <v>178</v>
      </c>
    </row>
    <row r="7" spans="1:37" hidden="1" x14ac:dyDescent="0.25">
      <c r="B7" s="3">
        <v>1</v>
      </c>
      <c r="C7" s="3">
        <v>0</v>
      </c>
      <c r="D7" s="3">
        <v>0</v>
      </c>
      <c r="E7" s="29" t="s">
        <v>0</v>
      </c>
      <c r="F7" s="29" t="s">
        <v>223</v>
      </c>
      <c r="G7" s="20" t="s">
        <v>88</v>
      </c>
      <c r="H7" s="20" t="s">
        <v>335</v>
      </c>
      <c r="I7" s="67">
        <v>0</v>
      </c>
      <c r="M7" s="29" t="s">
        <v>122</v>
      </c>
      <c r="N7" s="29" t="s">
        <v>121</v>
      </c>
      <c r="O7" s="29" t="s">
        <v>121</v>
      </c>
      <c r="P7" s="29" t="s">
        <v>0</v>
      </c>
      <c r="Q7" s="37">
        <v>2.7400849920474886</v>
      </c>
      <c r="R7" s="37">
        <v>0.18785388161666669</v>
      </c>
      <c r="S7" s="37">
        <v>2.5</v>
      </c>
      <c r="T7" s="37">
        <v>0.79642857142857137</v>
      </c>
      <c r="U7" s="37">
        <v>6.2243674450927262</v>
      </c>
      <c r="V7" s="37">
        <v>6.75</v>
      </c>
    </row>
    <row r="8" spans="1:37" hidden="1" x14ac:dyDescent="0.25">
      <c r="B8" s="3">
        <v>1</v>
      </c>
      <c r="C8" s="3">
        <v>0</v>
      </c>
      <c r="D8" s="3">
        <v>0</v>
      </c>
      <c r="E8" s="29" t="s">
        <v>0</v>
      </c>
      <c r="F8" s="29" t="s">
        <v>224</v>
      </c>
      <c r="G8" s="20" t="s">
        <v>65</v>
      </c>
      <c r="H8" s="20" t="s">
        <v>336</v>
      </c>
      <c r="I8" s="67">
        <v>0.62421917799452042</v>
      </c>
      <c r="M8" s="29" t="s">
        <v>122</v>
      </c>
      <c r="N8" s="29" t="s">
        <v>121</v>
      </c>
      <c r="O8" s="29" t="s">
        <v>122</v>
      </c>
      <c r="P8" s="29" t="s">
        <v>0</v>
      </c>
      <c r="Q8" s="37">
        <v>0.75786815773013694</v>
      </c>
      <c r="R8" s="37">
        <v>0.19123287654999999</v>
      </c>
      <c r="S8" s="37">
        <v>3.75</v>
      </c>
      <c r="T8" s="37">
        <v>1.9112285714285713</v>
      </c>
      <c r="U8" s="37">
        <v>6.6103296057087082</v>
      </c>
      <c r="V8" s="37">
        <v>6.75</v>
      </c>
    </row>
    <row r="9" spans="1:37" hidden="1" x14ac:dyDescent="0.25">
      <c r="B9" s="3">
        <v>1</v>
      </c>
      <c r="C9" s="3">
        <v>0</v>
      </c>
      <c r="D9" s="3">
        <v>0</v>
      </c>
      <c r="E9" s="29" t="s">
        <v>0</v>
      </c>
      <c r="F9" s="29" t="s">
        <v>225</v>
      </c>
      <c r="G9" s="20" t="s">
        <v>72</v>
      </c>
      <c r="H9" s="20" t="s">
        <v>337</v>
      </c>
      <c r="I9" s="67">
        <v>0.3094879332388128</v>
      </c>
      <c r="M9" s="29" t="s">
        <v>122</v>
      </c>
      <c r="N9" s="29" t="s">
        <v>121</v>
      </c>
      <c r="O9" s="29" t="s">
        <v>123</v>
      </c>
      <c r="P9" s="29" t="s">
        <v>0</v>
      </c>
      <c r="Q9" s="37">
        <v>2.6679330092264837</v>
      </c>
      <c r="R9" s="37">
        <v>0.12273972584999999</v>
      </c>
      <c r="S9" s="37">
        <v>1.75</v>
      </c>
      <c r="T9" s="37">
        <v>1.8023428571428572</v>
      </c>
      <c r="U9" s="37">
        <v>6.3430155922193414</v>
      </c>
      <c r="V9" s="37">
        <v>6.75</v>
      </c>
    </row>
    <row r="10" spans="1:37" hidden="1" x14ac:dyDescent="0.25">
      <c r="B10" s="3">
        <v>1</v>
      </c>
      <c r="C10" s="3">
        <v>0</v>
      </c>
      <c r="D10" s="3">
        <v>0</v>
      </c>
      <c r="E10" s="29" t="s">
        <v>0</v>
      </c>
      <c r="F10" s="29" t="s">
        <v>201</v>
      </c>
      <c r="G10" s="20" t="s">
        <v>62</v>
      </c>
      <c r="H10" s="20" t="s">
        <v>338</v>
      </c>
      <c r="I10" s="67">
        <v>0.64156347031963479</v>
      </c>
      <c r="M10" s="29" t="s">
        <v>122</v>
      </c>
      <c r="N10" s="29" t="s">
        <v>121</v>
      </c>
      <c r="O10" s="29" t="s">
        <v>124</v>
      </c>
      <c r="P10" s="29" t="s">
        <v>0</v>
      </c>
      <c r="Q10" s="37">
        <v>1.983584285397717</v>
      </c>
      <c r="R10" s="37">
        <v>0.85182648413333339</v>
      </c>
      <c r="S10" s="37">
        <v>1.1666666666666667</v>
      </c>
      <c r="T10" s="37">
        <v>1.7035714285714285</v>
      </c>
      <c r="U10" s="37">
        <v>5.7056488647691461</v>
      </c>
      <c r="V10" s="37">
        <v>6.75</v>
      </c>
    </row>
    <row r="11" spans="1:37" hidden="1" x14ac:dyDescent="0.25">
      <c r="B11" s="3">
        <v>1</v>
      </c>
      <c r="C11" s="3">
        <v>0</v>
      </c>
      <c r="D11" s="3">
        <v>0</v>
      </c>
      <c r="E11" s="29" t="s">
        <v>0</v>
      </c>
      <c r="F11" s="29" t="s">
        <v>202</v>
      </c>
      <c r="G11" s="20" t="s">
        <v>61</v>
      </c>
      <c r="H11" s="20" t="s">
        <v>339</v>
      </c>
      <c r="I11" s="67">
        <v>0.52235128535753417</v>
      </c>
      <c r="M11" s="29" t="s">
        <v>122</v>
      </c>
      <c r="N11" s="29" t="s">
        <v>121</v>
      </c>
      <c r="O11" s="29" t="s">
        <v>125</v>
      </c>
      <c r="P11" s="29" t="s">
        <v>0</v>
      </c>
      <c r="Q11" s="37">
        <v>1.5082086531867582</v>
      </c>
      <c r="R11" s="37">
        <v>7.1095890500000009E-2</v>
      </c>
      <c r="S11" s="37">
        <v>2.8333333333333335</v>
      </c>
      <c r="T11" s="37">
        <v>1.9418571428571427</v>
      </c>
      <c r="U11" s="37">
        <v>6.3544950198772341</v>
      </c>
      <c r="V11" s="37">
        <v>6.75</v>
      </c>
    </row>
    <row r="12" spans="1:37" hidden="1" x14ac:dyDescent="0.25">
      <c r="B12" s="3">
        <v>1</v>
      </c>
      <c r="C12" s="3">
        <v>0</v>
      </c>
      <c r="D12" s="3">
        <v>0</v>
      </c>
      <c r="E12" s="29" t="s">
        <v>0</v>
      </c>
      <c r="F12" s="29" t="s">
        <v>227</v>
      </c>
      <c r="G12" s="20" t="s">
        <v>73</v>
      </c>
      <c r="H12" s="20" t="s">
        <v>340</v>
      </c>
      <c r="I12" s="67">
        <v>0.31054233898630135</v>
      </c>
      <c r="M12" s="29" t="s">
        <v>122</v>
      </c>
      <c r="N12" s="29" t="s">
        <v>121</v>
      </c>
      <c r="O12" s="29" t="s">
        <v>172</v>
      </c>
      <c r="P12" s="29" t="s">
        <v>0</v>
      </c>
      <c r="Q12" s="37">
        <v>1.4818640836401826</v>
      </c>
      <c r="R12" s="37">
        <v>2.0091324E-3</v>
      </c>
      <c r="S12" s="37">
        <v>2.1666666666666665</v>
      </c>
      <c r="T12" s="37">
        <v>2.5982857142857143</v>
      </c>
      <c r="U12" s="37">
        <v>6.248825596992563</v>
      </c>
      <c r="V12" s="37">
        <v>6.75</v>
      </c>
    </row>
    <row r="13" spans="1:37" hidden="1" x14ac:dyDescent="0.25">
      <c r="B13" s="3">
        <v>1</v>
      </c>
      <c r="C13" s="3">
        <v>0</v>
      </c>
      <c r="D13" s="3">
        <v>0</v>
      </c>
      <c r="E13" s="29" t="s">
        <v>0</v>
      </c>
      <c r="F13" s="29" t="s">
        <v>222</v>
      </c>
      <c r="G13" s="20" t="s">
        <v>71</v>
      </c>
      <c r="H13" s="20" t="s">
        <v>341</v>
      </c>
      <c r="I13" s="67">
        <v>0.33192078615068482</v>
      </c>
      <c r="M13" s="29" t="s">
        <v>122</v>
      </c>
      <c r="N13" s="29" t="s">
        <v>121</v>
      </c>
      <c r="O13" s="29" t="s">
        <v>173</v>
      </c>
      <c r="P13" s="29" t="s">
        <v>0</v>
      </c>
      <c r="Q13" s="37">
        <v>2.7407017860726031</v>
      </c>
      <c r="R13" s="37">
        <v>0.44041095875000003</v>
      </c>
      <c r="S13" s="37">
        <v>1.6666666666666667</v>
      </c>
      <c r="T13" s="37">
        <v>1.5931428571428574</v>
      </c>
      <c r="U13" s="37">
        <v>6.4409222686321259</v>
      </c>
      <c r="V13" s="37">
        <v>6.75</v>
      </c>
    </row>
    <row r="14" spans="1:37" hidden="1" x14ac:dyDescent="0.25">
      <c r="B14" s="3">
        <v>1</v>
      </c>
      <c r="C14" s="3">
        <v>0</v>
      </c>
      <c r="D14" s="3">
        <v>1</v>
      </c>
      <c r="E14" s="29" t="s">
        <v>0</v>
      </c>
      <c r="F14" s="29" t="s">
        <v>222</v>
      </c>
      <c r="G14" s="20" t="s">
        <v>88</v>
      </c>
      <c r="H14" s="20" t="s">
        <v>335</v>
      </c>
      <c r="I14" s="67">
        <v>0</v>
      </c>
      <c r="M14" s="29" t="s">
        <v>122</v>
      </c>
      <c r="N14" s="29" t="s">
        <v>121</v>
      </c>
      <c r="O14" s="29" t="s">
        <v>174</v>
      </c>
      <c r="P14" s="29" t="s">
        <v>0</v>
      </c>
      <c r="Q14" s="37">
        <v>0.85067062360273971</v>
      </c>
      <c r="R14" s="37">
        <v>4.6164383566666668E-2</v>
      </c>
      <c r="S14" s="37">
        <v>1.1666666666666667</v>
      </c>
      <c r="T14" s="37">
        <v>0.22725714285714285</v>
      </c>
      <c r="U14" s="37">
        <v>2.2907588166932156</v>
      </c>
      <c r="V14" s="37">
        <v>6.75</v>
      </c>
    </row>
    <row r="15" spans="1:37" hidden="1" x14ac:dyDescent="0.25">
      <c r="B15" s="3">
        <v>1</v>
      </c>
      <c r="C15" s="3">
        <v>0</v>
      </c>
      <c r="D15" s="3">
        <v>1</v>
      </c>
      <c r="E15" s="29" t="s">
        <v>0</v>
      </c>
      <c r="F15" s="29" t="s">
        <v>197</v>
      </c>
      <c r="G15" s="20" t="s">
        <v>78</v>
      </c>
      <c r="H15" s="20" t="s">
        <v>342</v>
      </c>
      <c r="I15" s="67">
        <v>0.19903972602739725</v>
      </c>
      <c r="M15" s="29" t="s">
        <v>122</v>
      </c>
      <c r="N15" s="29" t="s">
        <v>122</v>
      </c>
      <c r="O15" s="29" t="s">
        <v>240</v>
      </c>
      <c r="P15" s="29" t="s">
        <v>0</v>
      </c>
      <c r="Q15" s="37">
        <v>2.8128106372214612</v>
      </c>
      <c r="R15" s="37">
        <v>0.1932876714</v>
      </c>
      <c r="S15" s="37">
        <v>2.5</v>
      </c>
      <c r="T15" s="37">
        <v>0.79642857142857137</v>
      </c>
      <c r="U15" s="37">
        <v>6.3025268800500331</v>
      </c>
      <c r="V15" s="37">
        <v>6.75</v>
      </c>
    </row>
    <row r="16" spans="1:37" hidden="1" x14ac:dyDescent="0.25">
      <c r="B16" s="3">
        <v>1</v>
      </c>
      <c r="C16" s="3">
        <v>0</v>
      </c>
      <c r="D16" s="3">
        <v>1</v>
      </c>
      <c r="E16" s="29" t="s">
        <v>0</v>
      </c>
      <c r="F16" s="29" t="s">
        <v>293</v>
      </c>
      <c r="G16" s="20" t="s">
        <v>377</v>
      </c>
      <c r="H16" s="20" t="s">
        <v>343</v>
      </c>
      <c r="I16" s="67">
        <v>0.13018185162739723</v>
      </c>
      <c r="M16" s="29" t="s">
        <v>122</v>
      </c>
      <c r="N16" s="29" t="s">
        <v>122</v>
      </c>
      <c r="O16" s="29" t="s">
        <v>256</v>
      </c>
      <c r="P16" s="29" t="s">
        <v>0</v>
      </c>
      <c r="Q16" s="37">
        <v>0.75952356335068494</v>
      </c>
      <c r="R16" s="37">
        <v>0.17707762506666663</v>
      </c>
      <c r="S16" s="37">
        <v>3.75</v>
      </c>
      <c r="T16" s="37">
        <v>1.9112285714285713</v>
      </c>
      <c r="U16" s="37">
        <v>6.5978297598459221</v>
      </c>
      <c r="V16" s="37">
        <v>6.75</v>
      </c>
    </row>
    <row r="17" spans="2:22" hidden="1" x14ac:dyDescent="0.25">
      <c r="B17" s="3">
        <v>1</v>
      </c>
      <c r="C17" s="3">
        <v>0</v>
      </c>
      <c r="D17" s="3">
        <v>1</v>
      </c>
      <c r="E17" s="29" t="s">
        <v>0</v>
      </c>
      <c r="F17" s="29" t="s">
        <v>298</v>
      </c>
      <c r="G17" s="20" t="s">
        <v>378</v>
      </c>
      <c r="H17" s="20" t="s">
        <v>344</v>
      </c>
      <c r="I17" s="67">
        <v>0.17885771809315065</v>
      </c>
      <c r="M17" s="29" t="s">
        <v>122</v>
      </c>
      <c r="N17" s="29" t="s">
        <v>122</v>
      </c>
      <c r="O17" s="29" t="s">
        <v>257</v>
      </c>
      <c r="P17" s="29" t="s">
        <v>0</v>
      </c>
      <c r="Q17" s="37">
        <v>2.8053245883634701</v>
      </c>
      <c r="R17" s="37">
        <v>0.11433789968333334</v>
      </c>
      <c r="S17" s="37">
        <v>1.75</v>
      </c>
      <c r="T17" s="37">
        <v>1.8023428571428572</v>
      </c>
      <c r="U17" s="37">
        <v>6.4720053451896602</v>
      </c>
      <c r="V17" s="37">
        <v>6.75</v>
      </c>
    </row>
    <row r="18" spans="2:22" hidden="1" x14ac:dyDescent="0.25">
      <c r="B18" s="3">
        <v>1</v>
      </c>
      <c r="C18" s="3">
        <v>0</v>
      </c>
      <c r="D18" s="3">
        <v>1</v>
      </c>
      <c r="E18" s="29" t="s">
        <v>0</v>
      </c>
      <c r="F18" s="29" t="s">
        <v>294</v>
      </c>
      <c r="G18" s="20" t="s">
        <v>379</v>
      </c>
      <c r="H18" s="20" t="s">
        <v>345</v>
      </c>
      <c r="I18" s="67">
        <v>0.16408889538904112</v>
      </c>
      <c r="M18" s="29" t="s">
        <v>122</v>
      </c>
      <c r="N18" s="29" t="s">
        <v>122</v>
      </c>
      <c r="O18" s="29" t="s">
        <v>258</v>
      </c>
      <c r="P18" s="29" t="s">
        <v>0</v>
      </c>
      <c r="Q18" s="37">
        <v>2.1106043652164388</v>
      </c>
      <c r="R18" s="37">
        <v>0.90712328769999984</v>
      </c>
      <c r="S18" s="37">
        <v>1.1666666666666667</v>
      </c>
      <c r="T18" s="37">
        <v>1.7035714285714285</v>
      </c>
      <c r="U18" s="37">
        <v>5.8879657481545333</v>
      </c>
      <c r="V18" s="37">
        <v>6.75</v>
      </c>
    </row>
    <row r="19" spans="2:22" hidden="1" x14ac:dyDescent="0.25">
      <c r="B19" s="3">
        <v>1</v>
      </c>
      <c r="C19" s="3">
        <v>0</v>
      </c>
      <c r="D19" s="3">
        <v>1</v>
      </c>
      <c r="E19" s="29" t="s">
        <v>0</v>
      </c>
      <c r="F19" s="29" t="s">
        <v>0</v>
      </c>
      <c r="G19" s="20" t="s">
        <v>383</v>
      </c>
      <c r="H19" s="20" t="s">
        <v>346</v>
      </c>
      <c r="I19" s="67">
        <v>8.569996659315067E-2</v>
      </c>
      <c r="M19" s="29" t="s">
        <v>122</v>
      </c>
      <c r="N19" s="29" t="s">
        <v>122</v>
      </c>
      <c r="O19" s="29" t="s">
        <v>259</v>
      </c>
      <c r="P19" s="29" t="s">
        <v>0</v>
      </c>
      <c r="Q19" s="37">
        <v>1.521498482221461</v>
      </c>
      <c r="R19" s="37">
        <v>8.0730593733333342E-2</v>
      </c>
      <c r="S19" s="37">
        <v>2.8333333333333335</v>
      </c>
      <c r="T19" s="37">
        <v>1.9418571428571427</v>
      </c>
      <c r="U19" s="37">
        <v>6.3774195521452706</v>
      </c>
      <c r="V19" s="37">
        <v>6.75</v>
      </c>
    </row>
    <row r="20" spans="2:22" hidden="1" x14ac:dyDescent="0.25">
      <c r="B20" s="3">
        <v>1</v>
      </c>
      <c r="C20" s="3">
        <v>0</v>
      </c>
      <c r="D20" s="3">
        <v>2</v>
      </c>
      <c r="E20" s="29" t="s">
        <v>0</v>
      </c>
      <c r="F20" s="29" t="s">
        <v>0</v>
      </c>
      <c r="G20" s="20" t="s">
        <v>88</v>
      </c>
      <c r="H20" s="20" t="s">
        <v>335</v>
      </c>
      <c r="I20" s="67">
        <v>0</v>
      </c>
      <c r="M20" s="29" t="s">
        <v>122</v>
      </c>
      <c r="N20" s="29" t="s">
        <v>122</v>
      </c>
      <c r="O20" s="29" t="s">
        <v>260</v>
      </c>
      <c r="P20" s="29" t="s">
        <v>0</v>
      </c>
      <c r="Q20" s="37">
        <v>1.4690626260753423</v>
      </c>
      <c r="R20" s="37">
        <v>2.1004565999999999E-3</v>
      </c>
      <c r="S20" s="37">
        <v>2.1666666666666665</v>
      </c>
      <c r="T20" s="37">
        <v>2.5982857142857143</v>
      </c>
      <c r="U20" s="37">
        <v>6.2361154636277236</v>
      </c>
      <c r="V20" s="37">
        <v>6.75</v>
      </c>
    </row>
    <row r="21" spans="2:22" hidden="1" x14ac:dyDescent="0.25">
      <c r="B21" s="3">
        <v>1</v>
      </c>
      <c r="C21" s="3">
        <v>0</v>
      </c>
      <c r="D21" s="3">
        <v>2</v>
      </c>
      <c r="E21" s="29" t="s">
        <v>0</v>
      </c>
      <c r="F21" s="29" t="s">
        <v>204</v>
      </c>
      <c r="G21" s="20" t="s">
        <v>56</v>
      </c>
      <c r="H21" s="20" t="s">
        <v>347</v>
      </c>
      <c r="I21" s="67">
        <v>0.79987642982876717</v>
      </c>
      <c r="M21" s="29" t="s">
        <v>122</v>
      </c>
      <c r="N21" s="29" t="s">
        <v>122</v>
      </c>
      <c r="O21" s="29" t="s">
        <v>261</v>
      </c>
      <c r="P21" s="29" t="s">
        <v>0</v>
      </c>
      <c r="Q21" s="37">
        <v>2.7924084699703196</v>
      </c>
      <c r="R21" s="37">
        <v>0.43958904124999992</v>
      </c>
      <c r="S21" s="37">
        <v>1.6666666666666667</v>
      </c>
      <c r="T21" s="37">
        <v>1.5931428571428574</v>
      </c>
      <c r="U21" s="37">
        <v>6.4918070350298445</v>
      </c>
      <c r="V21" s="37">
        <v>6.75</v>
      </c>
    </row>
    <row r="22" spans="2:22" hidden="1" x14ac:dyDescent="0.25">
      <c r="B22" s="3">
        <v>1</v>
      </c>
      <c r="C22" s="3">
        <v>0</v>
      </c>
      <c r="D22" s="3">
        <v>2</v>
      </c>
      <c r="E22" s="29" t="s">
        <v>0</v>
      </c>
      <c r="F22" s="29" t="s">
        <v>205</v>
      </c>
      <c r="G22" s="20" t="s">
        <v>64</v>
      </c>
      <c r="H22" s="20" t="s">
        <v>348</v>
      </c>
      <c r="I22" s="67">
        <v>0.47060212746575342</v>
      </c>
      <c r="M22" s="29" t="s">
        <v>122</v>
      </c>
      <c r="N22" s="29" t="s">
        <v>122</v>
      </c>
      <c r="O22" s="29" t="s">
        <v>262</v>
      </c>
      <c r="P22" s="29" t="s">
        <v>0</v>
      </c>
      <c r="Q22" s="37">
        <v>0.88082257031324207</v>
      </c>
      <c r="R22" s="37">
        <v>4.8904109533333337E-2</v>
      </c>
      <c r="S22" s="37">
        <v>1.1666666666666667</v>
      </c>
      <c r="T22" s="37">
        <v>0.22725714285714285</v>
      </c>
      <c r="U22" s="37">
        <v>2.3236504893703853</v>
      </c>
      <c r="V22" s="37">
        <v>6.75</v>
      </c>
    </row>
    <row r="23" spans="2:22" hidden="1" x14ac:dyDescent="0.25">
      <c r="B23" s="3">
        <v>1</v>
      </c>
      <c r="C23" s="3">
        <v>0</v>
      </c>
      <c r="D23" s="3">
        <v>2</v>
      </c>
      <c r="E23" s="29" t="s">
        <v>0</v>
      </c>
      <c r="F23" s="29" t="s">
        <v>209</v>
      </c>
      <c r="G23" s="20" t="s">
        <v>70</v>
      </c>
      <c r="H23" s="20" t="s">
        <v>349</v>
      </c>
      <c r="I23" s="67">
        <v>0.3100284996826484</v>
      </c>
      <c r="M23" s="29" t="s">
        <v>122</v>
      </c>
      <c r="N23" s="29" t="s">
        <v>123</v>
      </c>
      <c r="O23" s="29" t="s">
        <v>263</v>
      </c>
      <c r="P23" s="29" t="s">
        <v>0</v>
      </c>
      <c r="Q23" s="37">
        <v>0.73722513875022833</v>
      </c>
      <c r="R23" s="37">
        <v>4.4611871933333332E-2</v>
      </c>
      <c r="S23" s="37">
        <v>4.5</v>
      </c>
      <c r="T23" s="37">
        <v>1.1457142857142857</v>
      </c>
      <c r="U23" s="37">
        <v>6.4275512963978478</v>
      </c>
      <c r="V23" s="37">
        <v>6.75</v>
      </c>
    </row>
    <row r="24" spans="2:22" hidden="1" x14ac:dyDescent="0.25">
      <c r="B24" s="3">
        <v>1</v>
      </c>
      <c r="C24" s="3">
        <v>0</v>
      </c>
      <c r="D24" s="3">
        <v>2</v>
      </c>
      <c r="E24" s="29" t="s">
        <v>0</v>
      </c>
      <c r="F24" s="29" t="s">
        <v>232</v>
      </c>
      <c r="G24" s="20" t="s">
        <v>190</v>
      </c>
      <c r="H24" s="20" t="s">
        <v>350</v>
      </c>
      <c r="I24" s="67">
        <v>0.10879662802191779</v>
      </c>
      <c r="M24" s="29" t="s">
        <v>122</v>
      </c>
      <c r="N24" s="29" t="s">
        <v>123</v>
      </c>
      <c r="O24" s="29" t="s">
        <v>264</v>
      </c>
      <c r="P24" s="29" t="s">
        <v>0</v>
      </c>
      <c r="Q24" s="37">
        <v>0.53727203847397265</v>
      </c>
      <c r="R24" s="37">
        <v>4.7853880966666665E-2</v>
      </c>
      <c r="S24" s="37">
        <v>3.1666666666666665</v>
      </c>
      <c r="T24" s="37">
        <v>2.5924285714285715</v>
      </c>
      <c r="U24" s="37">
        <v>6.3442211575358787</v>
      </c>
      <c r="V24" s="37">
        <v>6.75</v>
      </c>
    </row>
    <row r="25" spans="2:22" hidden="1" x14ac:dyDescent="0.25">
      <c r="B25" s="3">
        <v>1</v>
      </c>
      <c r="C25" s="3">
        <v>0</v>
      </c>
      <c r="D25" s="3">
        <v>2</v>
      </c>
      <c r="E25" s="29" t="s">
        <v>0</v>
      </c>
      <c r="F25" s="29" t="s">
        <v>233</v>
      </c>
      <c r="G25" s="20" t="s">
        <v>185</v>
      </c>
      <c r="H25" s="20" t="s">
        <v>351</v>
      </c>
      <c r="I25" s="67">
        <v>0.97862932422739712</v>
      </c>
      <c r="M25" s="29" t="s">
        <v>122</v>
      </c>
      <c r="N25" s="29" t="s">
        <v>123</v>
      </c>
      <c r="O25" s="29" t="s">
        <v>265</v>
      </c>
      <c r="P25" s="29" t="s">
        <v>0</v>
      </c>
      <c r="Q25" s="37">
        <v>0.88351547886027382</v>
      </c>
      <c r="R25" s="37">
        <v>0.23557077600000001</v>
      </c>
      <c r="S25" s="37">
        <v>2.25</v>
      </c>
      <c r="T25" s="37">
        <v>3.2691714285714286</v>
      </c>
      <c r="U25" s="37">
        <v>6.6382576834317018</v>
      </c>
      <c r="V25" s="37">
        <v>6.75</v>
      </c>
    </row>
    <row r="26" spans="2:22" hidden="1" x14ac:dyDescent="0.25">
      <c r="B26" s="3">
        <v>1</v>
      </c>
      <c r="C26" s="3">
        <v>0</v>
      </c>
      <c r="D26" s="3">
        <v>3</v>
      </c>
      <c r="E26" s="29" t="s">
        <v>0</v>
      </c>
      <c r="F26" s="29" t="s">
        <v>233</v>
      </c>
      <c r="G26" s="20" t="s">
        <v>88</v>
      </c>
      <c r="H26" s="20" t="s">
        <v>335</v>
      </c>
      <c r="I26" s="67">
        <v>0</v>
      </c>
      <c r="M26" s="29" t="s">
        <v>122</v>
      </c>
      <c r="N26" s="29" t="s">
        <v>123</v>
      </c>
      <c r="O26" s="29" t="s">
        <v>266</v>
      </c>
      <c r="P26" s="29" t="s">
        <v>0</v>
      </c>
      <c r="Q26" s="37">
        <v>0.18928569446347029</v>
      </c>
      <c r="R26" s="37">
        <v>1.2191780699999998E-2</v>
      </c>
      <c r="S26" s="37">
        <v>3.5</v>
      </c>
      <c r="T26" s="37">
        <v>1.6281142857142858</v>
      </c>
      <c r="U26" s="37">
        <v>5.3295917608777561</v>
      </c>
      <c r="V26" s="37">
        <v>6.75</v>
      </c>
    </row>
    <row r="27" spans="2:22" hidden="1" x14ac:dyDescent="0.25">
      <c r="B27" s="3">
        <v>1</v>
      </c>
      <c r="C27" s="3">
        <v>0</v>
      </c>
      <c r="D27" s="3">
        <v>3</v>
      </c>
      <c r="E27" s="29" t="s">
        <v>0</v>
      </c>
      <c r="F27" s="29" t="s">
        <v>234</v>
      </c>
      <c r="G27" s="20" t="s">
        <v>183</v>
      </c>
      <c r="H27" s="20" t="s">
        <v>352</v>
      </c>
      <c r="I27" s="67">
        <v>0.761054449026484</v>
      </c>
      <c r="M27" s="29" t="s">
        <v>122</v>
      </c>
      <c r="N27" s="29" t="s">
        <v>123</v>
      </c>
      <c r="O27" s="29" t="s">
        <v>267</v>
      </c>
      <c r="P27" s="29" t="s">
        <v>0</v>
      </c>
      <c r="Q27" s="37">
        <v>0.79618422621461182</v>
      </c>
      <c r="R27" s="37">
        <v>0.13196347031666664</v>
      </c>
      <c r="S27" s="37">
        <v>1.75</v>
      </c>
      <c r="T27" s="37">
        <v>3.3194285714285718</v>
      </c>
      <c r="U27" s="37">
        <v>5.9975762679598512</v>
      </c>
      <c r="V27" s="37">
        <v>6.75</v>
      </c>
    </row>
    <row r="28" spans="2:22" hidden="1" x14ac:dyDescent="0.25">
      <c r="B28" s="3">
        <v>1</v>
      </c>
      <c r="C28" s="3">
        <v>0</v>
      </c>
      <c r="D28" s="3">
        <v>3</v>
      </c>
      <c r="E28" s="29" t="s">
        <v>0</v>
      </c>
      <c r="F28" s="29" t="s">
        <v>231</v>
      </c>
      <c r="G28" s="20" t="s">
        <v>187</v>
      </c>
      <c r="H28" s="20" t="s">
        <v>353</v>
      </c>
      <c r="I28" s="67">
        <v>0.57002481980136988</v>
      </c>
      <c r="M28" s="29" t="s">
        <v>122</v>
      </c>
      <c r="N28" s="29" t="s">
        <v>123</v>
      </c>
      <c r="O28" s="29" t="s">
        <v>268</v>
      </c>
      <c r="P28" s="29" t="s">
        <v>0</v>
      </c>
      <c r="Q28" s="37">
        <v>0.44565157566438357</v>
      </c>
      <c r="R28" s="37">
        <v>1.6301369700000002E-2</v>
      </c>
      <c r="S28" s="37">
        <v>1.8333333333333333</v>
      </c>
      <c r="T28" s="37">
        <v>0.61925714285714284</v>
      </c>
      <c r="U28" s="37">
        <v>2.9145434215548596</v>
      </c>
      <c r="V28" s="37">
        <v>6.75</v>
      </c>
    </row>
    <row r="29" spans="2:22" hidden="1" x14ac:dyDescent="0.25">
      <c r="B29" s="3">
        <v>1</v>
      </c>
      <c r="C29" s="3">
        <v>0</v>
      </c>
      <c r="D29" s="3">
        <v>3</v>
      </c>
      <c r="E29" s="29" t="s">
        <v>0</v>
      </c>
      <c r="F29" s="29" t="s">
        <v>235</v>
      </c>
      <c r="G29" s="20" t="s">
        <v>184</v>
      </c>
      <c r="H29" s="20" t="s">
        <v>354</v>
      </c>
      <c r="I29" s="67">
        <v>0.65250501656986304</v>
      </c>
      <c r="M29" s="29" t="s">
        <v>123</v>
      </c>
      <c r="N29" s="29" t="s">
        <v>121</v>
      </c>
      <c r="O29" s="29" t="s">
        <v>121</v>
      </c>
      <c r="P29" s="29" t="s">
        <v>0</v>
      </c>
      <c r="Q29" s="37">
        <v>2.4081642058968038</v>
      </c>
      <c r="R29" s="37">
        <v>0.18785388161666669</v>
      </c>
      <c r="S29" s="37">
        <v>2</v>
      </c>
      <c r="T29" s="37">
        <v>1.3657142857142857</v>
      </c>
      <c r="U29" s="37">
        <v>5.9617323732277558</v>
      </c>
      <c r="V29" s="37">
        <v>6.75</v>
      </c>
    </row>
    <row r="30" spans="2:22" hidden="1" x14ac:dyDescent="0.25">
      <c r="B30" s="3">
        <v>1</v>
      </c>
      <c r="C30" s="3">
        <v>0</v>
      </c>
      <c r="D30" s="3">
        <v>4</v>
      </c>
      <c r="E30" s="29" t="s">
        <v>0</v>
      </c>
      <c r="F30" s="29" t="s">
        <v>235</v>
      </c>
      <c r="G30" s="20" t="s">
        <v>88</v>
      </c>
      <c r="H30" s="20" t="s">
        <v>335</v>
      </c>
      <c r="I30" s="67">
        <v>0</v>
      </c>
      <c r="M30" s="29" t="s">
        <v>123</v>
      </c>
      <c r="N30" s="29" t="s">
        <v>121</v>
      </c>
      <c r="O30" s="29" t="s">
        <v>122</v>
      </c>
      <c r="P30" s="29" t="s">
        <v>0</v>
      </c>
      <c r="Q30" s="37">
        <v>0.84000008189862996</v>
      </c>
      <c r="R30" s="37">
        <v>7.5799086733333326E-2</v>
      </c>
      <c r="S30" s="37">
        <v>3</v>
      </c>
      <c r="T30" s="37">
        <v>1.32</v>
      </c>
      <c r="U30" s="37">
        <v>5.2357991686319627</v>
      </c>
      <c r="V30" s="37">
        <v>6.75</v>
      </c>
    </row>
    <row r="31" spans="2:22" hidden="1" x14ac:dyDescent="0.25">
      <c r="B31" s="3">
        <v>1</v>
      </c>
      <c r="C31" s="3">
        <v>0</v>
      </c>
      <c r="D31" s="3">
        <v>4</v>
      </c>
      <c r="E31" s="29" t="s">
        <v>0</v>
      </c>
      <c r="F31" s="29" t="s">
        <v>230</v>
      </c>
      <c r="G31" s="20" t="s">
        <v>189</v>
      </c>
      <c r="H31" s="20" t="s">
        <v>355</v>
      </c>
      <c r="I31" s="67">
        <v>0.40023881892739721</v>
      </c>
      <c r="M31" s="29" t="s">
        <v>123</v>
      </c>
      <c r="N31" s="29" t="s">
        <v>121</v>
      </c>
      <c r="O31" s="29" t="s">
        <v>123</v>
      </c>
      <c r="P31" s="29" t="s">
        <v>0</v>
      </c>
      <c r="Q31" s="37">
        <v>0.2497888619821918</v>
      </c>
      <c r="R31" s="37">
        <v>3.45205476E-2</v>
      </c>
      <c r="S31" s="37">
        <v>1.25</v>
      </c>
      <c r="T31" s="37">
        <v>2.7295999999999996</v>
      </c>
      <c r="U31" s="37">
        <v>4.2639094095821921</v>
      </c>
      <c r="V31" s="37">
        <v>6.75</v>
      </c>
    </row>
    <row r="32" spans="2:22" hidden="1" x14ac:dyDescent="0.25">
      <c r="B32" s="3">
        <v>1</v>
      </c>
      <c r="C32" s="3">
        <v>0</v>
      </c>
      <c r="D32" s="3">
        <v>4</v>
      </c>
      <c r="E32" s="29" t="s">
        <v>0</v>
      </c>
      <c r="F32" s="29" t="s">
        <v>229</v>
      </c>
      <c r="G32" s="20" t="s">
        <v>188</v>
      </c>
      <c r="H32" s="20" t="s">
        <v>356</v>
      </c>
      <c r="I32" s="67">
        <v>0.33125275563561646</v>
      </c>
      <c r="M32" s="29" t="s">
        <v>123</v>
      </c>
      <c r="N32" s="29" t="s">
        <v>121</v>
      </c>
      <c r="O32" s="29" t="s">
        <v>124</v>
      </c>
      <c r="P32" s="29" t="s">
        <v>0</v>
      </c>
      <c r="Q32" s="37">
        <v>1.6893036849990866</v>
      </c>
      <c r="R32" s="37">
        <v>0.33904109598333332</v>
      </c>
      <c r="S32" s="37">
        <v>1.4166666666666667</v>
      </c>
      <c r="T32" s="37">
        <v>2.0609714285714285</v>
      </c>
      <c r="U32" s="37">
        <v>5.5059828762205152</v>
      </c>
      <c r="V32" s="37">
        <v>6.75</v>
      </c>
    </row>
    <row r="33" spans="2:22" hidden="1" x14ac:dyDescent="0.25">
      <c r="B33" s="3">
        <v>1</v>
      </c>
      <c r="C33" s="3">
        <v>0</v>
      </c>
      <c r="D33" s="3">
        <v>4</v>
      </c>
      <c r="E33" s="29" t="s">
        <v>0</v>
      </c>
      <c r="F33" s="29" t="s">
        <v>219</v>
      </c>
      <c r="G33" s="20" t="s">
        <v>186</v>
      </c>
      <c r="H33" s="20" t="s">
        <v>357</v>
      </c>
      <c r="I33" s="67">
        <v>0.25238134948219176</v>
      </c>
      <c r="M33" s="29" t="s">
        <v>123</v>
      </c>
      <c r="N33" s="29" t="s">
        <v>121</v>
      </c>
      <c r="O33" s="29" t="s">
        <v>125</v>
      </c>
      <c r="P33" s="29" t="s">
        <v>0</v>
      </c>
      <c r="Q33" s="37">
        <v>1.7396837732538812</v>
      </c>
      <c r="R33" s="37">
        <v>0.46027397279999993</v>
      </c>
      <c r="S33" s="37">
        <v>0.66666666666666663</v>
      </c>
      <c r="T33" s="37">
        <v>2.7051428571428575</v>
      </c>
      <c r="U33" s="37">
        <v>5.5717672698634049</v>
      </c>
      <c r="V33" s="37">
        <v>6.75</v>
      </c>
    </row>
    <row r="34" spans="2:22" hidden="1" x14ac:dyDescent="0.25">
      <c r="B34" s="77">
        <v>1</v>
      </c>
      <c r="C34" s="77">
        <v>0</v>
      </c>
      <c r="D34" s="77">
        <v>4</v>
      </c>
      <c r="E34" s="78" t="s">
        <v>0</v>
      </c>
      <c r="F34" s="78" t="s">
        <v>218</v>
      </c>
      <c r="G34" s="20" t="s">
        <v>76</v>
      </c>
      <c r="H34" s="20" t="s">
        <v>358</v>
      </c>
      <c r="I34" s="67">
        <v>0.32334246575342468</v>
      </c>
      <c r="M34" s="29" t="s">
        <v>123</v>
      </c>
      <c r="N34" s="29" t="s">
        <v>121</v>
      </c>
      <c r="O34" s="29" t="s">
        <v>172</v>
      </c>
      <c r="P34" s="29" t="s">
        <v>0</v>
      </c>
      <c r="Q34" s="37">
        <v>1.62276865529863</v>
      </c>
      <c r="R34" s="37">
        <v>0.58420091333333335</v>
      </c>
      <c r="S34" s="37">
        <v>1.1666666666666667</v>
      </c>
      <c r="T34" s="37">
        <v>3.0877714285714286</v>
      </c>
      <c r="U34" s="37">
        <v>6.4614076638700588</v>
      </c>
      <c r="V34" s="37">
        <v>6.75</v>
      </c>
    </row>
    <row r="35" spans="2:22" hidden="1" x14ac:dyDescent="0.25">
      <c r="B35" s="77">
        <v>1</v>
      </c>
      <c r="C35" s="77">
        <v>0</v>
      </c>
      <c r="D35" s="77">
        <v>4</v>
      </c>
      <c r="E35" s="78" t="s">
        <v>0</v>
      </c>
      <c r="F35" s="78" t="s">
        <v>285</v>
      </c>
      <c r="G35" s="20" t="s">
        <v>319</v>
      </c>
      <c r="H35" s="20" t="s">
        <v>359</v>
      </c>
      <c r="I35" s="67">
        <v>5.409795458493151E-2</v>
      </c>
      <c r="M35" s="29" t="s">
        <v>123</v>
      </c>
      <c r="N35" s="29" t="s">
        <v>121</v>
      </c>
      <c r="O35" s="29" t="s">
        <v>173</v>
      </c>
      <c r="P35" s="29" t="s">
        <v>0</v>
      </c>
      <c r="Q35" s="37">
        <v>1.1079698342593609</v>
      </c>
      <c r="R35" s="37">
        <v>2.7716894866666664E-2</v>
      </c>
      <c r="S35" s="37">
        <v>2.5</v>
      </c>
      <c r="T35" s="37">
        <v>3.0416571428571428</v>
      </c>
      <c r="U35" s="37">
        <v>6.6773438719831706</v>
      </c>
      <c r="V35" s="37">
        <v>6.75</v>
      </c>
    </row>
    <row r="36" spans="2:22" hidden="1" x14ac:dyDescent="0.25">
      <c r="B36" s="77">
        <v>1</v>
      </c>
      <c r="C36" s="77">
        <v>0</v>
      </c>
      <c r="D36" s="77">
        <v>4</v>
      </c>
      <c r="E36" s="78" t="s">
        <v>0</v>
      </c>
      <c r="F36" s="78" t="s">
        <v>283</v>
      </c>
      <c r="G36" s="20" t="s">
        <v>384</v>
      </c>
      <c r="H36" s="20" t="s">
        <v>360</v>
      </c>
      <c r="I36" s="67">
        <v>7.8552843047945201E-2</v>
      </c>
      <c r="M36" s="29" t="s">
        <v>123</v>
      </c>
      <c r="N36" s="29" t="s">
        <v>121</v>
      </c>
      <c r="O36" s="29" t="s">
        <v>174</v>
      </c>
      <c r="P36" s="29" t="s">
        <v>0</v>
      </c>
      <c r="Q36" s="37">
        <v>0.66995101655525113</v>
      </c>
      <c r="R36" s="37">
        <v>2.0091324E-3</v>
      </c>
      <c r="S36" s="37">
        <v>1.8333333333333333</v>
      </c>
      <c r="T36" s="37">
        <v>3.8461142857142856</v>
      </c>
      <c r="U36" s="37">
        <v>6.3514077680028702</v>
      </c>
      <c r="V36" s="37">
        <v>6.75</v>
      </c>
    </row>
    <row r="37" spans="2:22" hidden="1" x14ac:dyDescent="0.25">
      <c r="B37" s="77">
        <v>1</v>
      </c>
      <c r="C37" s="77">
        <v>0</v>
      </c>
      <c r="D37" s="77">
        <v>4</v>
      </c>
      <c r="E37" s="78" t="s">
        <v>0</v>
      </c>
      <c r="F37" s="78" t="s">
        <v>282</v>
      </c>
      <c r="G37" s="20" t="s">
        <v>385</v>
      </c>
      <c r="H37" s="20" t="s">
        <v>361</v>
      </c>
      <c r="I37" s="67">
        <v>0</v>
      </c>
      <c r="M37" s="29" t="s">
        <v>123</v>
      </c>
      <c r="N37" s="29" t="s">
        <v>121</v>
      </c>
      <c r="O37" s="29" t="s">
        <v>240</v>
      </c>
      <c r="P37" s="29" t="s">
        <v>0</v>
      </c>
      <c r="Q37" s="37">
        <v>1.9365004520849316</v>
      </c>
      <c r="R37" s="37">
        <v>0.52461187223333328</v>
      </c>
      <c r="S37" s="37">
        <v>1</v>
      </c>
      <c r="T37" s="37">
        <v>2.7909142857142855</v>
      </c>
      <c r="U37" s="37">
        <v>6.2520266100325497</v>
      </c>
      <c r="V37" s="37">
        <v>6.75</v>
      </c>
    </row>
    <row r="38" spans="2:22" hidden="1" x14ac:dyDescent="0.25">
      <c r="B38" s="77">
        <v>1</v>
      </c>
      <c r="C38" s="77">
        <v>0</v>
      </c>
      <c r="D38" s="77">
        <v>4</v>
      </c>
      <c r="E38" s="78" t="s">
        <v>0</v>
      </c>
      <c r="F38" s="78" t="s">
        <v>281</v>
      </c>
      <c r="G38" s="20" t="s">
        <v>386</v>
      </c>
      <c r="H38" s="20" t="s">
        <v>362</v>
      </c>
      <c r="I38" s="67">
        <v>6.8342465755251144E-2</v>
      </c>
      <c r="M38" s="29" t="s">
        <v>123</v>
      </c>
      <c r="N38" s="29" t="s">
        <v>121</v>
      </c>
      <c r="O38" s="29" t="s">
        <v>256</v>
      </c>
      <c r="P38" s="29" t="s">
        <v>0</v>
      </c>
      <c r="Q38" s="37">
        <v>2.3086917027575344</v>
      </c>
      <c r="R38" s="37">
        <v>0.11100456616666669</v>
      </c>
      <c r="S38" s="37">
        <v>1.6666666666666667</v>
      </c>
      <c r="T38" s="37">
        <v>2.0952571428571423</v>
      </c>
      <c r="U38" s="37">
        <v>6.1816200784480104</v>
      </c>
      <c r="V38" s="37">
        <v>6.75</v>
      </c>
    </row>
    <row r="39" spans="2:22" hidden="1" x14ac:dyDescent="0.25">
      <c r="B39" s="77">
        <v>1</v>
      </c>
      <c r="C39" s="77">
        <v>0</v>
      </c>
      <c r="D39" s="77">
        <v>5</v>
      </c>
      <c r="E39" s="78" t="s">
        <v>0</v>
      </c>
      <c r="F39" s="78" t="s">
        <v>281</v>
      </c>
      <c r="G39" s="20" t="s">
        <v>88</v>
      </c>
      <c r="H39" s="20" t="s">
        <v>335</v>
      </c>
      <c r="I39" s="67">
        <v>0</v>
      </c>
      <c r="M39" s="29" t="s">
        <v>123</v>
      </c>
      <c r="N39" s="29" t="s">
        <v>121</v>
      </c>
      <c r="O39" s="29" t="s">
        <v>257</v>
      </c>
      <c r="P39" s="29" t="s">
        <v>0</v>
      </c>
      <c r="Q39" s="37">
        <v>0.1580933219178082</v>
      </c>
      <c r="R39" s="37">
        <v>0</v>
      </c>
      <c r="S39" s="37">
        <v>0.5</v>
      </c>
      <c r="T39" s="37">
        <v>0.10508571428571428</v>
      </c>
      <c r="U39" s="37">
        <v>0.76317903620352245</v>
      </c>
      <c r="V39" s="37">
        <v>6.75</v>
      </c>
    </row>
    <row r="40" spans="2:22" hidden="1" x14ac:dyDescent="0.25">
      <c r="B40" s="77">
        <v>1</v>
      </c>
      <c r="C40" s="77">
        <v>0</v>
      </c>
      <c r="D40" s="77">
        <v>5</v>
      </c>
      <c r="E40" s="78" t="s">
        <v>0</v>
      </c>
      <c r="F40" s="78" t="s">
        <v>280</v>
      </c>
      <c r="G40" s="20" t="s">
        <v>387</v>
      </c>
      <c r="H40" s="20" t="s">
        <v>363</v>
      </c>
      <c r="I40" s="67">
        <v>0.14528361603013701</v>
      </c>
      <c r="M40" s="29" t="s">
        <v>123</v>
      </c>
      <c r="N40" s="29" t="s">
        <v>122</v>
      </c>
      <c r="O40" s="29" t="s">
        <v>258</v>
      </c>
      <c r="P40" s="29" t="s">
        <v>0</v>
      </c>
      <c r="Q40" s="37">
        <v>2.4921626324872146</v>
      </c>
      <c r="R40" s="37">
        <v>0.1932876714</v>
      </c>
      <c r="S40" s="37">
        <v>2</v>
      </c>
      <c r="T40" s="37">
        <v>1.3657142857142857</v>
      </c>
      <c r="U40" s="37">
        <v>6.0511645896015001</v>
      </c>
      <c r="V40" s="37">
        <v>6.75</v>
      </c>
    </row>
    <row r="41" spans="2:22" hidden="1" x14ac:dyDescent="0.25">
      <c r="B41" s="77">
        <v>1</v>
      </c>
      <c r="C41" s="77">
        <v>0</v>
      </c>
      <c r="D41" s="77">
        <v>5</v>
      </c>
      <c r="E41" s="78" t="s">
        <v>0</v>
      </c>
      <c r="F41" s="78" t="s">
        <v>279</v>
      </c>
      <c r="G41" s="20" t="s">
        <v>388</v>
      </c>
      <c r="H41" s="20" t="s">
        <v>364</v>
      </c>
      <c r="I41" s="67">
        <v>2.5464774954337903E-2</v>
      </c>
      <c r="M41" s="29" t="s">
        <v>123</v>
      </c>
      <c r="N41" s="29" t="s">
        <v>122</v>
      </c>
      <c r="O41" s="29" t="s">
        <v>259</v>
      </c>
      <c r="P41" s="29" t="s">
        <v>0</v>
      </c>
      <c r="Q41" s="37">
        <v>0.85378428852054777</v>
      </c>
      <c r="R41" s="37">
        <v>8.2557077533333328E-2</v>
      </c>
      <c r="S41" s="37">
        <v>3</v>
      </c>
      <c r="T41" s="37">
        <v>1.32</v>
      </c>
      <c r="U41" s="37">
        <v>5.2563413660538805</v>
      </c>
      <c r="V41" s="37">
        <v>6.75</v>
      </c>
    </row>
    <row r="42" spans="2:22" hidden="1" x14ac:dyDescent="0.25">
      <c r="B42" s="77">
        <v>1</v>
      </c>
      <c r="C42" s="77">
        <v>0</v>
      </c>
      <c r="D42" s="77">
        <v>5</v>
      </c>
      <c r="E42" s="78" t="s">
        <v>0</v>
      </c>
      <c r="F42" s="78" t="s">
        <v>278</v>
      </c>
      <c r="G42" s="20" t="s">
        <v>389</v>
      </c>
      <c r="H42" s="20" t="s">
        <v>365</v>
      </c>
      <c r="I42" s="67">
        <v>6.9570776255707761E-2</v>
      </c>
      <c r="M42" s="29" t="s">
        <v>123</v>
      </c>
      <c r="N42" s="29" t="s">
        <v>122</v>
      </c>
      <c r="O42" s="29" t="s">
        <v>260</v>
      </c>
      <c r="P42" s="29" t="s">
        <v>0</v>
      </c>
      <c r="Q42" s="37">
        <v>0.22638727956438356</v>
      </c>
      <c r="R42" s="37">
        <v>2.9406392399999995E-2</v>
      </c>
      <c r="S42" s="37">
        <v>1.25</v>
      </c>
      <c r="T42" s="37">
        <v>2.7295999999999996</v>
      </c>
      <c r="U42" s="37">
        <v>4.235393671964383</v>
      </c>
      <c r="V42" s="37">
        <v>6.75</v>
      </c>
    </row>
    <row r="43" spans="2:22" hidden="1" x14ac:dyDescent="0.25">
      <c r="B43" s="77">
        <v>1</v>
      </c>
      <c r="C43" s="77">
        <v>0</v>
      </c>
      <c r="D43" s="77">
        <v>5</v>
      </c>
      <c r="E43" s="78" t="s">
        <v>0</v>
      </c>
      <c r="F43" s="78" t="s">
        <v>277</v>
      </c>
      <c r="G43" s="20" t="s">
        <v>390</v>
      </c>
      <c r="H43" s="20" t="s">
        <v>366</v>
      </c>
      <c r="I43" s="67">
        <v>0</v>
      </c>
      <c r="M43" s="29" t="s">
        <v>123</v>
      </c>
      <c r="N43" s="29" t="s">
        <v>122</v>
      </c>
      <c r="O43" s="29" t="s">
        <v>261</v>
      </c>
      <c r="P43" s="29" t="s">
        <v>0</v>
      </c>
      <c r="Q43" s="37">
        <v>1.7714414912155254</v>
      </c>
      <c r="R43" s="37">
        <v>0.35707762543333327</v>
      </c>
      <c r="S43" s="37">
        <v>1.4166666666666667</v>
      </c>
      <c r="T43" s="37">
        <v>2.0609714285714285</v>
      </c>
      <c r="U43" s="37">
        <v>5.6061572118869538</v>
      </c>
      <c r="V43" s="37">
        <v>6.75</v>
      </c>
    </row>
    <row r="44" spans="2:22" hidden="1" x14ac:dyDescent="0.25">
      <c r="B44" s="77">
        <v>1</v>
      </c>
      <c r="C44" s="77">
        <v>0</v>
      </c>
      <c r="D44" s="77">
        <v>5</v>
      </c>
      <c r="E44" s="78" t="s">
        <v>0</v>
      </c>
      <c r="F44" s="78" t="s">
        <v>59</v>
      </c>
      <c r="G44" s="20" t="s">
        <v>391</v>
      </c>
      <c r="H44" s="20" t="s">
        <v>367</v>
      </c>
      <c r="I44" s="67">
        <v>0.42963184931506848</v>
      </c>
      <c r="M44" s="29" t="s">
        <v>123</v>
      </c>
      <c r="N44" s="29" t="s">
        <v>122</v>
      </c>
      <c r="O44" s="29" t="s">
        <v>262</v>
      </c>
      <c r="P44" s="29" t="s">
        <v>0</v>
      </c>
      <c r="Q44" s="37">
        <v>1.8422219941908675</v>
      </c>
      <c r="R44" s="37">
        <v>0.46602739710000002</v>
      </c>
      <c r="S44" s="37">
        <v>0.66666666666666663</v>
      </c>
      <c r="T44" s="37">
        <v>2.7051428571428575</v>
      </c>
      <c r="U44" s="37">
        <v>5.6800589151003917</v>
      </c>
      <c r="V44" s="37">
        <v>6.75</v>
      </c>
    </row>
    <row r="45" spans="2:22" hidden="1" x14ac:dyDescent="0.25">
      <c r="B45" s="77">
        <v>1</v>
      </c>
      <c r="C45" s="77">
        <v>0</v>
      </c>
      <c r="D45" s="77">
        <v>5</v>
      </c>
      <c r="E45" s="78" t="s">
        <v>0</v>
      </c>
      <c r="F45" s="78" t="s">
        <v>217</v>
      </c>
      <c r="G45" s="20" t="s">
        <v>60</v>
      </c>
      <c r="H45" s="20" t="s">
        <v>368</v>
      </c>
      <c r="I45" s="67">
        <v>0.81191306708493149</v>
      </c>
      <c r="M45" s="29" t="s">
        <v>123</v>
      </c>
      <c r="N45" s="29" t="s">
        <v>122</v>
      </c>
      <c r="O45" s="29" t="s">
        <v>263</v>
      </c>
      <c r="P45" s="29" t="s">
        <v>0</v>
      </c>
      <c r="Q45" s="37">
        <v>1.7674397886968038</v>
      </c>
      <c r="R45" s="37">
        <v>0.59406392680000009</v>
      </c>
      <c r="S45" s="37">
        <v>1.1666666666666667</v>
      </c>
      <c r="T45" s="37">
        <v>3.0877714285714286</v>
      </c>
      <c r="U45" s="37">
        <v>6.6159418107348982</v>
      </c>
      <c r="V45" s="37">
        <v>6.75</v>
      </c>
    </row>
    <row r="46" spans="2:22" hidden="1" x14ac:dyDescent="0.25">
      <c r="B46" s="3">
        <v>1</v>
      </c>
      <c r="C46" s="3">
        <v>0</v>
      </c>
      <c r="D46" s="3">
        <v>6</v>
      </c>
      <c r="E46" s="29" t="s">
        <v>0</v>
      </c>
      <c r="F46" s="29" t="s">
        <v>217</v>
      </c>
      <c r="G46" s="20" t="s">
        <v>88</v>
      </c>
      <c r="H46" s="20" t="s">
        <v>335</v>
      </c>
      <c r="I46" s="67">
        <v>0</v>
      </c>
      <c r="M46" s="29" t="s">
        <v>123</v>
      </c>
      <c r="N46" s="29" t="s">
        <v>122</v>
      </c>
      <c r="O46" s="29" t="s">
        <v>264</v>
      </c>
      <c r="P46" s="29" t="s">
        <v>0</v>
      </c>
      <c r="Q46" s="37">
        <v>1.0563241616981733</v>
      </c>
      <c r="R46" s="37">
        <v>2.821917795E-2</v>
      </c>
      <c r="S46" s="37">
        <v>2.5</v>
      </c>
      <c r="T46" s="37">
        <v>3.0416571428571428</v>
      </c>
      <c r="U46" s="37">
        <v>6.6262004825053156</v>
      </c>
      <c r="V46" s="37">
        <v>6.75</v>
      </c>
    </row>
    <row r="47" spans="2:22" hidden="1" x14ac:dyDescent="0.25">
      <c r="B47" s="3">
        <v>1</v>
      </c>
      <c r="C47" s="3">
        <v>0</v>
      </c>
      <c r="D47" s="3">
        <v>6</v>
      </c>
      <c r="E47" s="29" t="s">
        <v>0</v>
      </c>
      <c r="F47" s="29" t="s">
        <v>198</v>
      </c>
      <c r="G47" s="20" t="s">
        <v>63</v>
      </c>
      <c r="H47" s="20" t="s">
        <v>369</v>
      </c>
      <c r="I47" s="67">
        <v>0.4853197548027397</v>
      </c>
      <c r="M47" s="29" t="s">
        <v>123</v>
      </c>
      <c r="N47" s="29" t="s">
        <v>122</v>
      </c>
      <c r="O47" s="29" t="s">
        <v>265</v>
      </c>
      <c r="P47" s="29" t="s">
        <v>0</v>
      </c>
      <c r="Q47" s="37">
        <v>0.68980021852465756</v>
      </c>
      <c r="R47" s="37">
        <v>2.1004565999999999E-3</v>
      </c>
      <c r="S47" s="37">
        <v>1.8333333333333333</v>
      </c>
      <c r="T47" s="37">
        <v>3.8461142857142856</v>
      </c>
      <c r="U47" s="37">
        <v>6.3713482941722761</v>
      </c>
      <c r="V47" s="37">
        <v>6.75</v>
      </c>
    </row>
    <row r="48" spans="2:22" hidden="1" x14ac:dyDescent="0.25">
      <c r="B48" s="3">
        <v>1</v>
      </c>
      <c r="C48" s="3">
        <v>0</v>
      </c>
      <c r="D48" s="3">
        <v>6</v>
      </c>
      <c r="E48" s="29" t="s">
        <v>0</v>
      </c>
      <c r="F48" s="29" t="s">
        <v>199</v>
      </c>
      <c r="G48" s="20" t="s">
        <v>66</v>
      </c>
      <c r="H48" s="20" t="s">
        <v>370</v>
      </c>
      <c r="I48" s="67">
        <v>0.63926763019726029</v>
      </c>
      <c r="M48" s="29" t="s">
        <v>123</v>
      </c>
      <c r="N48" s="29" t="s">
        <v>122</v>
      </c>
      <c r="O48" s="29" t="s">
        <v>266</v>
      </c>
      <c r="P48" s="29" t="s">
        <v>0</v>
      </c>
      <c r="Q48" s="37">
        <v>1.8681049067945206</v>
      </c>
      <c r="R48" s="37">
        <v>0.51155251141666669</v>
      </c>
      <c r="S48" s="37">
        <v>1</v>
      </c>
      <c r="T48" s="37">
        <v>2.7909142857142855</v>
      </c>
      <c r="U48" s="37">
        <v>6.1705717039254733</v>
      </c>
      <c r="V48" s="37">
        <v>6.75</v>
      </c>
    </row>
    <row r="49" spans="2:22" hidden="1" x14ac:dyDescent="0.25">
      <c r="B49" s="3">
        <v>1</v>
      </c>
      <c r="C49" s="3">
        <v>0</v>
      </c>
      <c r="D49" s="3">
        <v>6</v>
      </c>
      <c r="E49" s="29" t="s">
        <v>0</v>
      </c>
      <c r="F49" s="29" t="s">
        <v>57</v>
      </c>
      <c r="G49" s="20" t="s">
        <v>58</v>
      </c>
      <c r="H49" s="20" t="s">
        <v>371</v>
      </c>
      <c r="I49" s="67">
        <v>0.72983883979178077</v>
      </c>
      <c r="M49" s="29" t="s">
        <v>123</v>
      </c>
      <c r="N49" s="29" t="s">
        <v>122</v>
      </c>
      <c r="O49" s="29" t="s">
        <v>267</v>
      </c>
      <c r="P49" s="29" t="s">
        <v>0</v>
      </c>
      <c r="Q49" s="37">
        <v>2.4513893972041094</v>
      </c>
      <c r="R49" s="37">
        <v>0.11529680369999999</v>
      </c>
      <c r="S49" s="37">
        <v>1.6666666666666667</v>
      </c>
      <c r="T49" s="37">
        <v>2.0952571428571423</v>
      </c>
      <c r="U49" s="37">
        <v>6.3286100104279193</v>
      </c>
      <c r="V49" s="37">
        <v>6.75</v>
      </c>
    </row>
    <row r="50" spans="2:22" hidden="1" x14ac:dyDescent="0.25">
      <c r="B50" s="3">
        <v>1</v>
      </c>
      <c r="C50" s="3">
        <v>0</v>
      </c>
      <c r="D50" s="3">
        <v>6</v>
      </c>
      <c r="E50" s="29" t="s">
        <v>0</v>
      </c>
      <c r="F50" s="29" t="s">
        <v>210</v>
      </c>
      <c r="G50" s="20" t="s">
        <v>67</v>
      </c>
      <c r="H50" s="20" t="s">
        <v>372</v>
      </c>
      <c r="I50" s="67">
        <v>0.51745569932648394</v>
      </c>
      <c r="M50" s="29" t="s">
        <v>123</v>
      </c>
      <c r="N50" s="29" t="s">
        <v>122</v>
      </c>
      <c r="O50" s="29" t="s">
        <v>268</v>
      </c>
      <c r="P50" s="29" t="s">
        <v>0</v>
      </c>
      <c r="Q50" s="37">
        <v>0.13299914383561645</v>
      </c>
      <c r="R50" s="37">
        <v>0</v>
      </c>
      <c r="S50" s="37">
        <v>0.5</v>
      </c>
      <c r="T50" s="37">
        <v>0.10508571428571428</v>
      </c>
      <c r="U50" s="37">
        <v>0.73808485812133073</v>
      </c>
      <c r="V50" s="37">
        <v>6.75</v>
      </c>
    </row>
    <row r="51" spans="2:22" hidden="1" x14ac:dyDescent="0.25">
      <c r="B51" s="3">
        <v>1</v>
      </c>
      <c r="C51" s="3">
        <v>0</v>
      </c>
      <c r="D51" s="3">
        <v>6</v>
      </c>
      <c r="E51" s="29" t="s">
        <v>0</v>
      </c>
      <c r="F51" s="29" t="s">
        <v>211</v>
      </c>
      <c r="G51" s="20" t="s">
        <v>74</v>
      </c>
      <c r="H51" s="20" t="s">
        <v>373</v>
      </c>
      <c r="I51" s="67">
        <v>0.36881986195433786</v>
      </c>
      <c r="M51" s="29" t="s">
        <v>123</v>
      </c>
      <c r="N51" s="29" t="s">
        <v>123</v>
      </c>
      <c r="O51" s="29" t="s">
        <v>269</v>
      </c>
      <c r="P51" s="29" t="s">
        <v>0</v>
      </c>
      <c r="Q51" s="37">
        <v>0.70932902768721462</v>
      </c>
      <c r="R51" s="37">
        <v>4.4611871933333332E-2</v>
      </c>
      <c r="S51" s="37">
        <v>3.5</v>
      </c>
      <c r="T51" s="37">
        <v>1.6628571428571428</v>
      </c>
      <c r="U51" s="37">
        <v>5.9167980424776916</v>
      </c>
      <c r="V51" s="37">
        <v>6.75</v>
      </c>
    </row>
    <row r="52" spans="2:22" hidden="1" x14ac:dyDescent="0.25">
      <c r="B52" s="3">
        <v>1</v>
      </c>
      <c r="C52" s="3">
        <v>0</v>
      </c>
      <c r="D52" s="3">
        <v>7</v>
      </c>
      <c r="E52" s="29" t="s">
        <v>0</v>
      </c>
      <c r="F52" s="29" t="s">
        <v>211</v>
      </c>
      <c r="G52" s="20" t="s">
        <v>88</v>
      </c>
      <c r="H52" s="20" t="s">
        <v>335</v>
      </c>
      <c r="I52" s="67">
        <v>0</v>
      </c>
      <c r="M52" s="29" t="s">
        <v>123</v>
      </c>
      <c r="N52" s="29" t="s">
        <v>123</v>
      </c>
      <c r="O52" s="29" t="s">
        <v>270</v>
      </c>
      <c r="P52" s="29" t="s">
        <v>0</v>
      </c>
      <c r="Q52" s="37">
        <v>0.11810510678630136</v>
      </c>
      <c r="R52" s="37">
        <v>3.5981734799999998E-2</v>
      </c>
      <c r="S52" s="37">
        <v>2.75</v>
      </c>
      <c r="T52" s="37">
        <v>3.7524571428571423</v>
      </c>
      <c r="U52" s="37">
        <v>6.6565439844434442</v>
      </c>
      <c r="V52" s="37">
        <v>6.75</v>
      </c>
    </row>
    <row r="53" spans="2:22" hidden="1" x14ac:dyDescent="0.25">
      <c r="B53" s="3">
        <v>1</v>
      </c>
      <c r="C53" s="3">
        <v>0</v>
      </c>
      <c r="D53" s="3">
        <v>7</v>
      </c>
      <c r="E53" s="29" t="s">
        <v>0</v>
      </c>
      <c r="F53" s="29" t="s">
        <v>206</v>
      </c>
      <c r="G53" s="20" t="s">
        <v>69</v>
      </c>
      <c r="H53" s="20" t="s">
        <v>374</v>
      </c>
      <c r="I53" s="67">
        <v>0.31692832208493155</v>
      </c>
      <c r="M53" s="29" t="s">
        <v>123</v>
      </c>
      <c r="N53" s="29" t="s">
        <v>123</v>
      </c>
      <c r="O53" s="29" t="s">
        <v>271</v>
      </c>
      <c r="P53" s="29" t="s">
        <v>0</v>
      </c>
      <c r="Q53" s="37">
        <v>0.69145473066849306</v>
      </c>
      <c r="R53" s="37">
        <v>2.8082191616666665E-2</v>
      </c>
      <c r="S53" s="37">
        <v>1.75</v>
      </c>
      <c r="T53" s="37">
        <v>3.6046857142857145</v>
      </c>
      <c r="U53" s="37">
        <v>6.0742226365708749</v>
      </c>
      <c r="V53" s="37">
        <v>6.75</v>
      </c>
    </row>
    <row r="54" spans="2:22" hidden="1" x14ac:dyDescent="0.25">
      <c r="B54" s="3">
        <v>1</v>
      </c>
      <c r="C54" s="3">
        <v>0</v>
      </c>
      <c r="D54" s="3">
        <v>7</v>
      </c>
      <c r="E54" s="29" t="s">
        <v>0</v>
      </c>
      <c r="F54" s="29" t="s">
        <v>207</v>
      </c>
      <c r="G54" s="20" t="s">
        <v>75</v>
      </c>
      <c r="H54" s="20" t="s">
        <v>375</v>
      </c>
      <c r="I54" s="67">
        <v>0.37564897960000004</v>
      </c>
      <c r="M54" s="29" t="s">
        <v>123</v>
      </c>
      <c r="N54" s="29" t="s">
        <v>123</v>
      </c>
      <c r="O54" s="29" t="s">
        <v>272</v>
      </c>
      <c r="P54" s="29" t="s">
        <v>0</v>
      </c>
      <c r="Q54" s="37">
        <v>0.57708314105753422</v>
      </c>
      <c r="R54" s="37">
        <v>0.23557077600000001</v>
      </c>
      <c r="S54" s="37">
        <v>1.5</v>
      </c>
      <c r="T54" s="37">
        <v>4.2492000000000001</v>
      </c>
      <c r="U54" s="37">
        <v>6.5618539170575341</v>
      </c>
      <c r="V54" s="37">
        <v>6.75</v>
      </c>
    </row>
    <row r="55" spans="2:22" hidden="1" x14ac:dyDescent="0.25">
      <c r="B55" s="3">
        <v>1</v>
      </c>
      <c r="C55" s="3">
        <v>0</v>
      </c>
      <c r="D55" s="3">
        <v>7</v>
      </c>
      <c r="E55" s="29" t="s">
        <v>0</v>
      </c>
      <c r="F55" s="29" t="s">
        <v>216</v>
      </c>
      <c r="G55" s="20" t="s">
        <v>77</v>
      </c>
      <c r="H55" s="20" t="s">
        <v>376</v>
      </c>
      <c r="I55" s="67">
        <v>0.1580933219178082</v>
      </c>
      <c r="M55" s="29" t="s">
        <v>123</v>
      </c>
      <c r="N55" s="29" t="s">
        <v>123</v>
      </c>
      <c r="O55" s="29" t="s">
        <v>273</v>
      </c>
      <c r="P55" s="29" t="s">
        <v>0</v>
      </c>
      <c r="Q55" s="37">
        <v>0.23456333064885843</v>
      </c>
      <c r="R55" s="37">
        <v>6.8036528999999993E-3</v>
      </c>
      <c r="S55" s="37">
        <v>2.8333333333333335</v>
      </c>
      <c r="T55" s="37">
        <v>3.3159428571428573</v>
      </c>
      <c r="U55" s="37">
        <v>6.3906431740250493</v>
      </c>
      <c r="V55" s="37">
        <v>6.75</v>
      </c>
    </row>
    <row r="56" spans="2:22" hidden="1" x14ac:dyDescent="0.25">
      <c r="B56" s="3">
        <v>1</v>
      </c>
      <c r="C56" s="3">
        <v>1</v>
      </c>
      <c r="D56" s="3">
        <v>8</v>
      </c>
      <c r="E56" s="29" t="s">
        <v>0</v>
      </c>
      <c r="F56" s="29" t="s">
        <v>223</v>
      </c>
      <c r="G56" s="20" t="s">
        <v>88</v>
      </c>
      <c r="H56" s="20" t="s">
        <v>335</v>
      </c>
      <c r="I56" s="67">
        <v>0</v>
      </c>
      <c r="M56" s="29" t="s">
        <v>123</v>
      </c>
      <c r="N56" s="29" t="s">
        <v>123</v>
      </c>
      <c r="O56" s="29" t="s">
        <v>274</v>
      </c>
      <c r="P56" s="29" t="s">
        <v>0</v>
      </c>
      <c r="Q56" s="37">
        <v>0.12610376712420091</v>
      </c>
      <c r="R56" s="37">
        <v>6.3926940000000006E-4</v>
      </c>
      <c r="S56" s="37">
        <v>1.5</v>
      </c>
      <c r="T56" s="37">
        <v>3.5718285714285711</v>
      </c>
      <c r="U56" s="37">
        <v>5.198571607952772</v>
      </c>
      <c r="V56" s="37">
        <v>6.75</v>
      </c>
    </row>
    <row r="57" spans="2:22" hidden="1" x14ac:dyDescent="0.25">
      <c r="B57" s="3">
        <v>1</v>
      </c>
      <c r="C57" s="3">
        <v>1</v>
      </c>
      <c r="D57" s="3">
        <v>8</v>
      </c>
      <c r="E57" s="29" t="s">
        <v>0</v>
      </c>
      <c r="F57" s="29" t="s">
        <v>224</v>
      </c>
      <c r="G57" s="20" t="s">
        <v>65</v>
      </c>
      <c r="H57" s="20" t="s">
        <v>336</v>
      </c>
      <c r="I57" s="67">
        <v>0.64589345500821915</v>
      </c>
      <c r="M57" s="29" t="s">
        <v>123</v>
      </c>
      <c r="N57" s="29" t="s">
        <v>123</v>
      </c>
      <c r="O57" s="29" t="s">
        <v>275</v>
      </c>
      <c r="P57" s="29" t="s">
        <v>0</v>
      </c>
      <c r="Q57" s="37">
        <v>0.68684347278995428</v>
      </c>
      <c r="R57" s="37">
        <v>0.13196347031666664</v>
      </c>
      <c r="S57" s="37">
        <v>1.3333333333333333</v>
      </c>
      <c r="T57" s="37">
        <v>3.7527428571428572</v>
      </c>
      <c r="U57" s="37">
        <v>5.9048831335828114</v>
      </c>
      <c r="V57" s="37">
        <v>6.75</v>
      </c>
    </row>
    <row r="58" spans="2:22" hidden="1" x14ac:dyDescent="0.25">
      <c r="B58" s="3">
        <v>1</v>
      </c>
      <c r="C58" s="3">
        <v>1</v>
      </c>
      <c r="D58" s="3">
        <v>8</v>
      </c>
      <c r="E58" s="29" t="s">
        <v>0</v>
      </c>
      <c r="F58" s="29" t="s">
        <v>225</v>
      </c>
      <c r="G58" s="20" t="s">
        <v>72</v>
      </c>
      <c r="H58" s="20" t="s">
        <v>337</v>
      </c>
      <c r="I58" s="67">
        <v>0.3094879332388128</v>
      </c>
      <c r="M58" s="29" t="s">
        <v>123</v>
      </c>
      <c r="N58" s="29" t="s">
        <v>123</v>
      </c>
      <c r="O58" s="29" t="s">
        <v>322</v>
      </c>
      <c r="P58" s="29" t="s">
        <v>0</v>
      </c>
      <c r="Q58" s="37">
        <v>0.44565157566438357</v>
      </c>
      <c r="R58" s="37">
        <v>1.6301369700000002E-2</v>
      </c>
      <c r="S58" s="37">
        <v>1.8333333333333333</v>
      </c>
      <c r="T58" s="37">
        <v>1.2385142857142857</v>
      </c>
      <c r="U58" s="37">
        <v>3.5338005644120027</v>
      </c>
      <c r="V58" s="37">
        <v>6.75</v>
      </c>
    </row>
    <row r="59" spans="2:22" x14ac:dyDescent="0.25">
      <c r="B59" s="3">
        <v>1</v>
      </c>
      <c r="C59" s="3">
        <v>1</v>
      </c>
      <c r="D59" s="3">
        <v>8</v>
      </c>
      <c r="E59" s="29" t="s">
        <v>0</v>
      </c>
      <c r="F59" s="29" t="s">
        <v>201</v>
      </c>
      <c r="G59" s="20" t="s">
        <v>62</v>
      </c>
      <c r="H59" s="20" t="s">
        <v>338</v>
      </c>
      <c r="I59" s="67">
        <v>0.65732968036529693</v>
      </c>
      <c r="M59" s="29" t="s">
        <v>124</v>
      </c>
      <c r="N59" s="29" t="s">
        <v>121</v>
      </c>
      <c r="O59" s="29" t="s">
        <v>121</v>
      </c>
      <c r="P59" s="29" t="s">
        <v>0</v>
      </c>
      <c r="Q59" s="37">
        <v>2.4081642058968038</v>
      </c>
      <c r="R59" s="37">
        <v>0.18785388161666669</v>
      </c>
      <c r="S59" s="37">
        <v>2</v>
      </c>
      <c r="T59" s="37">
        <v>2.0485714285714285</v>
      </c>
      <c r="U59" s="37">
        <v>6.6445895160849</v>
      </c>
      <c r="V59" s="37">
        <v>6.75</v>
      </c>
    </row>
    <row r="60" spans="2:22" x14ac:dyDescent="0.25">
      <c r="B60" s="3">
        <v>1</v>
      </c>
      <c r="C60" s="3">
        <v>1</v>
      </c>
      <c r="D60" s="3">
        <v>8</v>
      </c>
      <c r="E60" s="29" t="s">
        <v>0</v>
      </c>
      <c r="F60" s="29" t="s">
        <v>202</v>
      </c>
      <c r="G60" s="20" t="s">
        <v>61</v>
      </c>
      <c r="H60" s="20" t="s">
        <v>339</v>
      </c>
      <c r="I60" s="67">
        <v>0.55673109394794518</v>
      </c>
      <c r="M60" s="29" t="s">
        <v>124</v>
      </c>
      <c r="N60" s="29" t="s">
        <v>121</v>
      </c>
      <c r="O60" s="29" t="s">
        <v>122</v>
      </c>
      <c r="P60" s="29" t="s">
        <v>0</v>
      </c>
      <c r="Q60" s="37">
        <v>0.84000008189862996</v>
      </c>
      <c r="R60" s="37">
        <v>7.5799086733333326E-2</v>
      </c>
      <c r="S60" s="37">
        <v>3</v>
      </c>
      <c r="T60" s="37">
        <v>1.9800000000000004</v>
      </c>
      <c r="U60" s="37">
        <v>5.8957991686319637</v>
      </c>
      <c r="V60" s="37">
        <v>6.75</v>
      </c>
    </row>
    <row r="61" spans="2:22" x14ac:dyDescent="0.25">
      <c r="B61" s="3">
        <v>1</v>
      </c>
      <c r="C61" s="3">
        <v>1</v>
      </c>
      <c r="D61" s="3">
        <v>8</v>
      </c>
      <c r="E61" s="29" t="s">
        <v>0</v>
      </c>
      <c r="F61" s="29" t="s">
        <v>227</v>
      </c>
      <c r="G61" s="20" t="s">
        <v>73</v>
      </c>
      <c r="H61" s="20" t="s">
        <v>340</v>
      </c>
      <c r="I61" s="67">
        <v>0.32272046992694065</v>
      </c>
      <c r="M61" s="29" t="s">
        <v>124</v>
      </c>
      <c r="N61" s="29" t="s">
        <v>121</v>
      </c>
      <c r="O61" s="29" t="s">
        <v>123</v>
      </c>
      <c r="P61" s="29" t="s">
        <v>0</v>
      </c>
      <c r="Q61" s="37">
        <v>0.2497888619821918</v>
      </c>
      <c r="R61" s="37">
        <v>3.45205476E-2</v>
      </c>
      <c r="S61" s="37">
        <v>1.25</v>
      </c>
      <c r="T61" s="37">
        <v>4.0943999999999985</v>
      </c>
      <c r="U61" s="37">
        <v>5.6287094095821901</v>
      </c>
      <c r="V61" s="37">
        <v>6.75</v>
      </c>
    </row>
    <row r="62" spans="2:22" x14ac:dyDescent="0.25">
      <c r="B62" s="3">
        <v>1</v>
      </c>
      <c r="C62" s="3">
        <v>1</v>
      </c>
      <c r="D62" s="3">
        <v>8</v>
      </c>
      <c r="E62" s="29" t="s">
        <v>0</v>
      </c>
      <c r="F62" s="29" t="s">
        <v>222</v>
      </c>
      <c r="G62" s="20" t="s">
        <v>71</v>
      </c>
      <c r="H62" s="20" t="s">
        <v>341</v>
      </c>
      <c r="I62" s="67">
        <v>0.32064800473424654</v>
      </c>
      <c r="M62" s="29" t="s">
        <v>124</v>
      </c>
      <c r="N62" s="29" t="s">
        <v>121</v>
      </c>
      <c r="O62" s="29" t="s">
        <v>124</v>
      </c>
      <c r="P62" s="29" t="s">
        <v>0</v>
      </c>
      <c r="Q62" s="37">
        <v>1.6893036849990866</v>
      </c>
      <c r="R62" s="37">
        <v>0.33904109598333332</v>
      </c>
      <c r="S62" s="37">
        <v>1.4166666666666667</v>
      </c>
      <c r="T62" s="37">
        <v>3.0914571428571436</v>
      </c>
      <c r="U62" s="37">
        <v>6.5364685905062307</v>
      </c>
      <c r="V62" s="37">
        <v>6.75</v>
      </c>
    </row>
    <row r="63" spans="2:22" x14ac:dyDescent="0.25">
      <c r="B63" s="3">
        <v>1</v>
      </c>
      <c r="C63" s="3">
        <v>1</v>
      </c>
      <c r="D63" s="3">
        <v>9</v>
      </c>
      <c r="E63" s="29" t="s">
        <v>0</v>
      </c>
      <c r="F63" s="29" t="s">
        <v>222</v>
      </c>
      <c r="G63" s="20" t="s">
        <v>88</v>
      </c>
      <c r="H63" s="20" t="s">
        <v>335</v>
      </c>
      <c r="I63" s="67">
        <v>0</v>
      </c>
      <c r="M63" s="29" t="s">
        <v>124</v>
      </c>
      <c r="N63" s="29" t="s">
        <v>121</v>
      </c>
      <c r="O63" s="29" t="s">
        <v>125</v>
      </c>
      <c r="P63" s="29" t="s">
        <v>0</v>
      </c>
      <c r="Q63" s="37">
        <v>0.97862932422739712</v>
      </c>
      <c r="R63" s="37">
        <v>0</v>
      </c>
      <c r="S63" s="37">
        <v>0.33333333333333331</v>
      </c>
      <c r="T63" s="37">
        <v>2.3155714285714288</v>
      </c>
      <c r="U63" s="37">
        <v>3.627534086132159</v>
      </c>
      <c r="V63" s="37">
        <v>6.75</v>
      </c>
    </row>
    <row r="64" spans="2:22" x14ac:dyDescent="0.25">
      <c r="B64" s="3">
        <v>1</v>
      </c>
      <c r="C64" s="3">
        <v>1</v>
      </c>
      <c r="D64" s="3">
        <v>9</v>
      </c>
      <c r="E64" s="29" t="s">
        <v>0</v>
      </c>
      <c r="F64" s="29" t="s">
        <v>197</v>
      </c>
      <c r="G64" s="20" t="s">
        <v>78</v>
      </c>
      <c r="H64" s="20" t="s">
        <v>342</v>
      </c>
      <c r="I64" s="67">
        <v>0.20695025236529677</v>
      </c>
      <c r="M64" s="29" t="s">
        <v>124</v>
      </c>
      <c r="N64" s="29" t="s">
        <v>121</v>
      </c>
      <c r="O64" s="29" t="s">
        <v>172</v>
      </c>
      <c r="P64" s="29" t="s">
        <v>0</v>
      </c>
      <c r="Q64" s="37">
        <v>1.3310792688278539</v>
      </c>
      <c r="R64" s="37">
        <v>0.27232876720000004</v>
      </c>
      <c r="S64" s="37">
        <v>0.75</v>
      </c>
      <c r="T64" s="37">
        <v>3.0479999999999996</v>
      </c>
      <c r="U64" s="37">
        <v>5.4014080360278536</v>
      </c>
      <c r="V64" s="37">
        <v>6.75</v>
      </c>
    </row>
    <row r="65" spans="2:22" x14ac:dyDescent="0.25">
      <c r="B65" s="3">
        <v>1</v>
      </c>
      <c r="C65" s="3">
        <v>1</v>
      </c>
      <c r="D65" s="3">
        <v>9</v>
      </c>
      <c r="E65" s="29" t="s">
        <v>0</v>
      </c>
      <c r="F65" s="29" t="s">
        <v>293</v>
      </c>
      <c r="G65" s="20" t="s">
        <v>377</v>
      </c>
      <c r="H65" s="20" t="s">
        <v>343</v>
      </c>
      <c r="I65" s="67">
        <v>0.14981244830136989</v>
      </c>
      <c r="M65" s="29" t="s">
        <v>124</v>
      </c>
      <c r="N65" s="29" t="s">
        <v>121</v>
      </c>
      <c r="O65" s="29" t="s">
        <v>173</v>
      </c>
      <c r="P65" s="29" t="s">
        <v>0</v>
      </c>
      <c r="Q65" s="37">
        <v>1.0527438354972602</v>
      </c>
      <c r="R65" s="37">
        <v>0.17570776253333334</v>
      </c>
      <c r="S65" s="37">
        <v>0.75</v>
      </c>
      <c r="T65" s="37">
        <v>3.3258000000000001</v>
      </c>
      <c r="U65" s="37">
        <v>5.3042515980305929</v>
      </c>
      <c r="V65" s="37">
        <v>6.75</v>
      </c>
    </row>
    <row r="66" spans="2:22" x14ac:dyDescent="0.25">
      <c r="B66" s="3">
        <v>1</v>
      </c>
      <c r="C66" s="3">
        <v>1</v>
      </c>
      <c r="D66" s="3">
        <v>9</v>
      </c>
      <c r="E66" s="29" t="s">
        <v>0</v>
      </c>
      <c r="F66" s="29" t="s">
        <v>298</v>
      </c>
      <c r="G66" s="20" t="s">
        <v>378</v>
      </c>
      <c r="H66" s="20" t="s">
        <v>344</v>
      </c>
      <c r="I66" s="67">
        <v>0.17637358311963466</v>
      </c>
      <c r="M66" s="29" t="s">
        <v>124</v>
      </c>
      <c r="N66" s="29" t="s">
        <v>121</v>
      </c>
      <c r="O66" s="29" t="s">
        <v>174</v>
      </c>
      <c r="P66" s="29" t="s">
        <v>0</v>
      </c>
      <c r="Q66" s="37">
        <v>1.0396273685041098</v>
      </c>
      <c r="R66" s="37">
        <v>7.1095890500000009E-2</v>
      </c>
      <c r="S66" s="37">
        <v>1.8333333333333333</v>
      </c>
      <c r="T66" s="37">
        <v>3.0539142857142858</v>
      </c>
      <c r="U66" s="37">
        <v>5.9979708780517287</v>
      </c>
      <c r="V66" s="37">
        <v>6.75</v>
      </c>
    </row>
    <row r="67" spans="2:22" x14ac:dyDescent="0.25">
      <c r="B67" s="3">
        <v>1</v>
      </c>
      <c r="C67" s="3">
        <v>1</v>
      </c>
      <c r="D67" s="3">
        <v>9</v>
      </c>
      <c r="E67" s="29" t="s">
        <v>0</v>
      </c>
      <c r="F67" s="29" t="s">
        <v>294</v>
      </c>
      <c r="G67" s="20" t="s">
        <v>379</v>
      </c>
      <c r="H67" s="20" t="s">
        <v>345</v>
      </c>
      <c r="I67" s="67">
        <v>0.15421888664383562</v>
      </c>
      <c r="M67" s="29" t="s">
        <v>124</v>
      </c>
      <c r="N67" s="29" t="s">
        <v>121</v>
      </c>
      <c r="O67" s="29" t="s">
        <v>240</v>
      </c>
      <c r="P67" s="29" t="s">
        <v>0</v>
      </c>
      <c r="Q67" s="37">
        <v>0.30866163299543375</v>
      </c>
      <c r="R67" s="37">
        <v>1.77625569E-2</v>
      </c>
      <c r="S67" s="37">
        <v>2.0833333333333335</v>
      </c>
      <c r="T67" s="37">
        <v>2.948571428571428</v>
      </c>
      <c r="U67" s="37">
        <v>5.3583289518001953</v>
      </c>
      <c r="V67" s="37">
        <v>6.75</v>
      </c>
    </row>
    <row r="68" spans="2:22" x14ac:dyDescent="0.25">
      <c r="B68" s="3">
        <v>1</v>
      </c>
      <c r="C68" s="3">
        <v>1</v>
      </c>
      <c r="D68" s="3">
        <v>9</v>
      </c>
      <c r="E68" s="29" t="s">
        <v>0</v>
      </c>
      <c r="F68" s="29" t="s">
        <v>0</v>
      </c>
      <c r="G68" s="20" t="s">
        <v>383</v>
      </c>
      <c r="H68" s="20" t="s">
        <v>346</v>
      </c>
      <c r="I68" s="67">
        <v>7.2168392920547927E-2</v>
      </c>
      <c r="M68" s="29" t="s">
        <v>124</v>
      </c>
      <c r="N68" s="29" t="s">
        <v>121</v>
      </c>
      <c r="O68" s="29" t="s">
        <v>256</v>
      </c>
      <c r="P68" s="29" t="s">
        <v>0</v>
      </c>
      <c r="Q68" s="37">
        <v>0.42963184931506848</v>
      </c>
      <c r="R68" s="37">
        <v>0</v>
      </c>
      <c r="S68" s="37">
        <v>0.41666666666666669</v>
      </c>
      <c r="T68" s="37">
        <v>4.3291714285714278</v>
      </c>
      <c r="U68" s="37">
        <v>5.1754699445531624</v>
      </c>
      <c r="V68" s="37">
        <v>6.75</v>
      </c>
    </row>
    <row r="69" spans="2:22" x14ac:dyDescent="0.25">
      <c r="B69" s="3">
        <v>1</v>
      </c>
      <c r="C69" s="3">
        <v>1</v>
      </c>
      <c r="D69" s="3">
        <v>10</v>
      </c>
      <c r="E69" s="29" t="s">
        <v>0</v>
      </c>
      <c r="F69" s="29" t="s">
        <v>0</v>
      </c>
      <c r="G69" s="20" t="s">
        <v>88</v>
      </c>
      <c r="H69" s="20" t="s">
        <v>335</v>
      </c>
      <c r="I69" s="67">
        <v>0</v>
      </c>
      <c r="M69" s="29" t="s">
        <v>124</v>
      </c>
      <c r="N69" s="29" t="s">
        <v>121</v>
      </c>
      <c r="O69" s="29" t="s">
        <v>257</v>
      </c>
      <c r="P69" s="29" t="s">
        <v>0</v>
      </c>
      <c r="Q69" s="37">
        <v>1.2972328218876712</v>
      </c>
      <c r="R69" s="37">
        <v>0.22319634739999999</v>
      </c>
      <c r="S69" s="37">
        <v>0.66666666666666663</v>
      </c>
      <c r="T69" s="37">
        <v>3.2925428571428572</v>
      </c>
      <c r="U69" s="37">
        <v>5.4796386930971952</v>
      </c>
      <c r="V69" s="37">
        <v>6.75</v>
      </c>
    </row>
    <row r="70" spans="2:22" x14ac:dyDescent="0.25">
      <c r="B70" s="3">
        <v>1</v>
      </c>
      <c r="C70" s="3">
        <v>1</v>
      </c>
      <c r="D70" s="3">
        <v>10</v>
      </c>
      <c r="E70" s="29" t="s">
        <v>0</v>
      </c>
      <c r="F70" s="29" t="s">
        <v>204</v>
      </c>
      <c r="G70" s="20" t="s">
        <v>56</v>
      </c>
      <c r="H70" s="20" t="s">
        <v>347</v>
      </c>
      <c r="I70" s="67">
        <v>0.8259464764305936</v>
      </c>
      <c r="M70" s="29" t="s">
        <v>124</v>
      </c>
      <c r="N70" s="29" t="s">
        <v>121</v>
      </c>
      <c r="O70" s="29" t="s">
        <v>258</v>
      </c>
      <c r="P70" s="29" t="s">
        <v>0</v>
      </c>
      <c r="Q70" s="37">
        <v>1.886562169315525</v>
      </c>
      <c r="R70" s="37">
        <v>0.44041095875000003</v>
      </c>
      <c r="S70" s="37">
        <v>1</v>
      </c>
      <c r="T70" s="37">
        <v>3.1765714285714286</v>
      </c>
      <c r="U70" s="37">
        <v>6.5035445566369541</v>
      </c>
      <c r="V70" s="37">
        <v>6.75</v>
      </c>
    </row>
    <row r="71" spans="2:22" x14ac:dyDescent="0.25">
      <c r="B71" s="3">
        <v>1</v>
      </c>
      <c r="C71" s="3">
        <v>1</v>
      </c>
      <c r="D71" s="3">
        <v>10</v>
      </c>
      <c r="E71" s="29" t="s">
        <v>0</v>
      </c>
      <c r="F71" s="29" t="s">
        <v>205</v>
      </c>
      <c r="G71" s="20" t="s">
        <v>64</v>
      </c>
      <c r="H71" s="20" t="s">
        <v>348</v>
      </c>
      <c r="I71" s="67">
        <v>0.46479222465753423</v>
      </c>
      <c r="M71" s="29" t="s">
        <v>124</v>
      </c>
      <c r="N71" s="29" t="s">
        <v>121</v>
      </c>
      <c r="O71" s="29" t="s">
        <v>259</v>
      </c>
      <c r="P71" s="29" t="s">
        <v>0</v>
      </c>
      <c r="Q71" s="37">
        <v>1.2194904855570776</v>
      </c>
      <c r="R71" s="37">
        <v>6.3698630150000018E-2</v>
      </c>
      <c r="S71" s="37">
        <v>1.5</v>
      </c>
      <c r="T71" s="37">
        <v>1.0177714285714285</v>
      </c>
      <c r="U71" s="37">
        <v>3.8009605442785062</v>
      </c>
      <c r="V71" s="37">
        <v>6.75</v>
      </c>
    </row>
    <row r="72" spans="2:22" x14ac:dyDescent="0.25">
      <c r="B72" s="3">
        <v>1</v>
      </c>
      <c r="C72" s="3">
        <v>1</v>
      </c>
      <c r="D72" s="3">
        <v>10</v>
      </c>
      <c r="E72" s="29" t="s">
        <v>0</v>
      </c>
      <c r="F72" s="29" t="s">
        <v>209</v>
      </c>
      <c r="G72" s="20" t="s">
        <v>70</v>
      </c>
      <c r="H72" s="20" t="s">
        <v>349</v>
      </c>
      <c r="I72" s="67">
        <v>0.37341722638356162</v>
      </c>
      <c r="M72" s="29" t="s">
        <v>124</v>
      </c>
      <c r="N72" s="29" t="s">
        <v>122</v>
      </c>
      <c r="O72" s="29" t="s">
        <v>260</v>
      </c>
      <c r="P72" s="29" t="s">
        <v>0</v>
      </c>
      <c r="Q72" s="37">
        <v>2.4921626324872146</v>
      </c>
      <c r="R72" s="37">
        <v>0.1932876714</v>
      </c>
      <c r="S72" s="37">
        <v>2</v>
      </c>
      <c r="T72" s="37">
        <v>2.0485714285714285</v>
      </c>
      <c r="U72" s="37">
        <v>6.7340217324586433</v>
      </c>
      <c r="V72" s="37">
        <v>6.75</v>
      </c>
    </row>
    <row r="73" spans="2:22" x14ac:dyDescent="0.25">
      <c r="B73" s="3">
        <v>1</v>
      </c>
      <c r="C73" s="3">
        <v>1</v>
      </c>
      <c r="D73" s="3">
        <v>10</v>
      </c>
      <c r="E73" s="29" t="s">
        <v>0</v>
      </c>
      <c r="F73" s="29" t="s">
        <v>232</v>
      </c>
      <c r="G73" s="20" t="s">
        <v>190</v>
      </c>
      <c r="H73" s="20" t="s">
        <v>350</v>
      </c>
      <c r="I73" s="67">
        <v>0.10728556374383563</v>
      </c>
      <c r="M73" s="29" t="s">
        <v>124</v>
      </c>
      <c r="N73" s="29" t="s">
        <v>122</v>
      </c>
      <c r="O73" s="29" t="s">
        <v>261</v>
      </c>
      <c r="P73" s="29" t="s">
        <v>0</v>
      </c>
      <c r="Q73" s="37">
        <v>0.85378428852054777</v>
      </c>
      <c r="R73" s="37">
        <v>8.2557077533333328E-2</v>
      </c>
      <c r="S73" s="37">
        <v>3</v>
      </c>
      <c r="T73" s="37">
        <v>1.9800000000000004</v>
      </c>
      <c r="U73" s="37">
        <v>5.9163413660538815</v>
      </c>
      <c r="V73" s="37">
        <v>6.75</v>
      </c>
    </row>
    <row r="74" spans="2:22" x14ac:dyDescent="0.25">
      <c r="B74" s="3">
        <v>1</v>
      </c>
      <c r="C74" s="3">
        <v>1</v>
      </c>
      <c r="D74" s="3">
        <v>10</v>
      </c>
      <c r="E74" s="29" t="s">
        <v>0</v>
      </c>
      <c r="F74" s="29" t="s">
        <v>233</v>
      </c>
      <c r="G74" s="20" t="s">
        <v>185</v>
      </c>
      <c r="H74" s="20" t="s">
        <v>351</v>
      </c>
      <c r="I74" s="67">
        <v>1.0338830971479451</v>
      </c>
      <c r="M74" s="29" t="s">
        <v>124</v>
      </c>
      <c r="N74" s="29" t="s">
        <v>122</v>
      </c>
      <c r="O74" s="29" t="s">
        <v>262</v>
      </c>
      <c r="P74" s="29" t="s">
        <v>0</v>
      </c>
      <c r="Q74" s="37">
        <v>0.22638727956438356</v>
      </c>
      <c r="R74" s="37">
        <v>2.9406392399999995E-2</v>
      </c>
      <c r="S74" s="37">
        <v>1.25</v>
      </c>
      <c r="T74" s="37">
        <v>4.0943999999999985</v>
      </c>
      <c r="U74" s="37">
        <v>5.6001936719643819</v>
      </c>
      <c r="V74" s="37">
        <v>6.75</v>
      </c>
    </row>
    <row r="75" spans="2:22" x14ac:dyDescent="0.25">
      <c r="B75" s="3">
        <v>1</v>
      </c>
      <c r="C75" s="3">
        <v>1</v>
      </c>
      <c r="D75" s="3">
        <v>11</v>
      </c>
      <c r="E75" s="29" t="s">
        <v>0</v>
      </c>
      <c r="F75" s="29" t="s">
        <v>233</v>
      </c>
      <c r="G75" s="20" t="s">
        <v>88</v>
      </c>
      <c r="H75" s="20" t="s">
        <v>335</v>
      </c>
      <c r="I75" s="67">
        <v>0</v>
      </c>
      <c r="M75" s="29" t="s">
        <v>124</v>
      </c>
      <c r="N75" s="29" t="s">
        <v>122</v>
      </c>
      <c r="O75" s="29" t="s">
        <v>263</v>
      </c>
      <c r="P75" s="29" t="s">
        <v>0</v>
      </c>
      <c r="Q75" s="37">
        <v>1.7714414912155254</v>
      </c>
      <c r="R75" s="37">
        <v>0.35707762543333327</v>
      </c>
      <c r="S75" s="37">
        <v>1.4166666666666667</v>
      </c>
      <c r="T75" s="37">
        <v>3.0914571428571436</v>
      </c>
      <c r="U75" s="37">
        <v>6.6366429261726694</v>
      </c>
      <c r="V75" s="37">
        <v>6.75</v>
      </c>
    </row>
    <row r="76" spans="2:22" x14ac:dyDescent="0.25">
      <c r="B76" s="3">
        <v>1</v>
      </c>
      <c r="C76" s="3">
        <v>1</v>
      </c>
      <c r="D76" s="3">
        <v>11</v>
      </c>
      <c r="E76" s="29" t="s">
        <v>0</v>
      </c>
      <c r="F76" s="29" t="s">
        <v>234</v>
      </c>
      <c r="G76" s="20" t="s">
        <v>183</v>
      </c>
      <c r="H76" s="20" t="s">
        <v>352</v>
      </c>
      <c r="I76" s="67">
        <v>0.8083388970429225</v>
      </c>
      <c r="M76" s="29" t="s">
        <v>124</v>
      </c>
      <c r="N76" s="29" t="s">
        <v>122</v>
      </c>
      <c r="O76" s="29" t="s">
        <v>264</v>
      </c>
      <c r="P76" s="29" t="s">
        <v>0</v>
      </c>
      <c r="Q76" s="37">
        <v>1.0338830971479451</v>
      </c>
      <c r="R76" s="37">
        <v>0</v>
      </c>
      <c r="S76" s="37">
        <v>0.33333333333333331</v>
      </c>
      <c r="T76" s="37">
        <v>2.3155714285714288</v>
      </c>
      <c r="U76" s="37">
        <v>3.6827878590527074</v>
      </c>
      <c r="V76" s="37">
        <v>6.75</v>
      </c>
    </row>
    <row r="77" spans="2:22" x14ac:dyDescent="0.25">
      <c r="B77" s="3">
        <v>1</v>
      </c>
      <c r="C77" s="3">
        <v>1</v>
      </c>
      <c r="D77" s="3">
        <v>11</v>
      </c>
      <c r="E77" s="29" t="s">
        <v>0</v>
      </c>
      <c r="F77" s="29" t="s">
        <v>231</v>
      </c>
      <c r="G77" s="20" t="s">
        <v>187</v>
      </c>
      <c r="H77" s="20" t="s">
        <v>353</v>
      </c>
      <c r="I77" s="67">
        <v>0.52547378178082194</v>
      </c>
      <c r="M77" s="29" t="s">
        <v>124</v>
      </c>
      <c r="N77" s="29" t="s">
        <v>122</v>
      </c>
      <c r="O77" s="29" t="s">
        <v>265</v>
      </c>
      <c r="P77" s="29" t="s">
        <v>0</v>
      </c>
      <c r="Q77" s="37">
        <v>1.3338126788237445</v>
      </c>
      <c r="R77" s="37">
        <v>0.25634703196666669</v>
      </c>
      <c r="S77" s="37">
        <v>0.75</v>
      </c>
      <c r="T77" s="37">
        <v>3.0479999999999996</v>
      </c>
      <c r="U77" s="37">
        <v>5.3881597107904105</v>
      </c>
      <c r="V77" s="37">
        <v>6.75</v>
      </c>
    </row>
    <row r="78" spans="2:22" x14ac:dyDescent="0.25">
      <c r="B78" s="3">
        <v>1</v>
      </c>
      <c r="C78" s="3">
        <v>1</v>
      </c>
      <c r="D78" s="3">
        <v>11</v>
      </c>
      <c r="E78" s="29" t="s">
        <v>0</v>
      </c>
      <c r="F78" s="29" t="s">
        <v>235</v>
      </c>
      <c r="G78" s="20" t="s">
        <v>184</v>
      </c>
      <c r="H78" s="20" t="s">
        <v>354</v>
      </c>
      <c r="I78" s="67">
        <v>0.77679168639269414</v>
      </c>
      <c r="M78" s="29" t="s">
        <v>124</v>
      </c>
      <c r="N78" s="29" t="s">
        <v>122</v>
      </c>
      <c r="O78" s="29" t="s">
        <v>266</v>
      </c>
      <c r="P78" s="29" t="s">
        <v>0</v>
      </c>
      <c r="Q78" s="37">
        <v>1.2419660069159817</v>
      </c>
      <c r="R78" s="37">
        <v>0.20954337884999999</v>
      </c>
      <c r="S78" s="37">
        <v>0.75</v>
      </c>
      <c r="T78" s="37">
        <v>3.3258000000000001</v>
      </c>
      <c r="U78" s="37">
        <v>5.5273093857659825</v>
      </c>
      <c r="V78" s="37">
        <v>6.75</v>
      </c>
    </row>
    <row r="79" spans="2:22" x14ac:dyDescent="0.25">
      <c r="B79" s="3">
        <v>1</v>
      </c>
      <c r="C79" s="3">
        <v>1</v>
      </c>
      <c r="D79" s="3">
        <v>12</v>
      </c>
      <c r="E79" s="29" t="s">
        <v>0</v>
      </c>
      <c r="F79" s="29" t="s">
        <v>235</v>
      </c>
      <c r="G79" s="20" t="s">
        <v>88</v>
      </c>
      <c r="H79" s="20" t="s">
        <v>335</v>
      </c>
      <c r="I79" s="67">
        <v>0</v>
      </c>
      <c r="M79" s="29" t="s">
        <v>124</v>
      </c>
      <c r="N79" s="29" t="s">
        <v>122</v>
      </c>
      <c r="O79" s="29" t="s">
        <v>267</v>
      </c>
      <c r="P79" s="29" t="s">
        <v>0</v>
      </c>
      <c r="Q79" s="37">
        <v>1.0089028589292235</v>
      </c>
      <c r="R79" s="37">
        <v>8.0730593733333342E-2</v>
      </c>
      <c r="S79" s="37">
        <v>1.8333333333333333</v>
      </c>
      <c r="T79" s="37">
        <v>3.0539142857142858</v>
      </c>
      <c r="U79" s="37">
        <v>5.9768810717101761</v>
      </c>
      <c r="V79" s="37">
        <v>6.75</v>
      </c>
    </row>
    <row r="80" spans="2:22" x14ac:dyDescent="0.25">
      <c r="B80" s="3">
        <v>1</v>
      </c>
      <c r="C80" s="3">
        <v>1</v>
      </c>
      <c r="D80" s="3">
        <v>12</v>
      </c>
      <c r="E80" s="29" t="s">
        <v>0</v>
      </c>
      <c r="F80" s="29" t="s">
        <v>230</v>
      </c>
      <c r="G80" s="20" t="s">
        <v>189</v>
      </c>
      <c r="H80" s="20" t="s">
        <v>355</v>
      </c>
      <c r="I80" s="67">
        <v>0.46517432052328772</v>
      </c>
      <c r="M80" s="29" t="s">
        <v>124</v>
      </c>
      <c r="N80" s="29" t="s">
        <v>122</v>
      </c>
      <c r="O80" s="29" t="s">
        <v>268</v>
      </c>
      <c r="P80" s="29" t="s">
        <v>0</v>
      </c>
      <c r="Q80" s="37">
        <v>0.32194754869086756</v>
      </c>
      <c r="R80" s="37">
        <v>1.4885844599999998E-2</v>
      </c>
      <c r="S80" s="37">
        <v>2.0833333333333335</v>
      </c>
      <c r="T80" s="37">
        <v>2.948571428571428</v>
      </c>
      <c r="U80" s="37">
        <v>5.3687381551956292</v>
      </c>
      <c r="V80" s="37">
        <v>6.75</v>
      </c>
    </row>
    <row r="81" spans="2:22" x14ac:dyDescent="0.25">
      <c r="B81" s="3">
        <v>1</v>
      </c>
      <c r="C81" s="3">
        <v>1</v>
      </c>
      <c r="D81" s="3">
        <v>12</v>
      </c>
      <c r="E81" s="29" t="s">
        <v>0</v>
      </c>
      <c r="F81" s="29" t="s">
        <v>229</v>
      </c>
      <c r="G81" s="20" t="s">
        <v>188</v>
      </c>
      <c r="H81" s="20" t="s">
        <v>356</v>
      </c>
      <c r="I81" s="67">
        <v>0.32128193690410956</v>
      </c>
      <c r="M81" s="29" t="s">
        <v>124</v>
      </c>
      <c r="N81" s="29" t="s">
        <v>122</v>
      </c>
      <c r="O81" s="29" t="s">
        <v>269</v>
      </c>
      <c r="P81" s="29" t="s">
        <v>0</v>
      </c>
      <c r="Q81" s="37">
        <v>0.41527397260273974</v>
      </c>
      <c r="R81" s="37">
        <v>0</v>
      </c>
      <c r="S81" s="37">
        <v>0.41666666666666669</v>
      </c>
      <c r="T81" s="37">
        <v>4.3291714285714278</v>
      </c>
      <c r="U81" s="37">
        <v>5.1611120678408344</v>
      </c>
      <c r="V81" s="37">
        <v>6.75</v>
      </c>
    </row>
    <row r="82" spans="2:22" x14ac:dyDescent="0.25">
      <c r="B82" s="3">
        <v>1</v>
      </c>
      <c r="C82" s="3">
        <v>1</v>
      </c>
      <c r="D82" s="3">
        <v>12</v>
      </c>
      <c r="E82" s="29" t="s">
        <v>0</v>
      </c>
      <c r="F82" s="29" t="s">
        <v>219</v>
      </c>
      <c r="G82" s="20" t="s">
        <v>186</v>
      </c>
      <c r="H82" s="20" t="s">
        <v>357</v>
      </c>
      <c r="I82" s="67">
        <v>0.28826495367397253</v>
      </c>
      <c r="M82" s="29" t="s">
        <v>124</v>
      </c>
      <c r="N82" s="29" t="s">
        <v>122</v>
      </c>
      <c r="O82" s="29" t="s">
        <v>270</v>
      </c>
      <c r="P82" s="29" t="s">
        <v>0</v>
      </c>
      <c r="Q82" s="37">
        <v>1.2437670938630137</v>
      </c>
      <c r="R82" s="37">
        <v>0.21785388148333332</v>
      </c>
      <c r="S82" s="37">
        <v>0.66666666666666663</v>
      </c>
      <c r="T82" s="37">
        <v>3.2925428571428572</v>
      </c>
      <c r="U82" s="37">
        <v>5.4208304991558709</v>
      </c>
      <c r="V82" s="37">
        <v>6.75</v>
      </c>
    </row>
    <row r="83" spans="2:22" x14ac:dyDescent="0.25">
      <c r="B83" s="3">
        <v>1</v>
      </c>
      <c r="C83" s="3">
        <v>1</v>
      </c>
      <c r="D83" s="3">
        <v>12</v>
      </c>
      <c r="E83" s="29" t="s">
        <v>0</v>
      </c>
      <c r="F83" s="29" t="s">
        <v>218</v>
      </c>
      <c r="G83" s="20" t="s">
        <v>76</v>
      </c>
      <c r="H83" s="20" t="s">
        <v>358</v>
      </c>
      <c r="I83" s="67">
        <v>0.2635068493150684</v>
      </c>
      <c r="M83" s="29" t="s">
        <v>124</v>
      </c>
      <c r="N83" s="29" t="s">
        <v>122</v>
      </c>
      <c r="O83" s="29" t="s">
        <v>271</v>
      </c>
      <c r="P83" s="29" t="s">
        <v>0</v>
      </c>
      <c r="Q83" s="37">
        <v>1.9893798389356163</v>
      </c>
      <c r="R83" s="37">
        <v>0.43958904124999992</v>
      </c>
      <c r="S83" s="37">
        <v>1</v>
      </c>
      <c r="T83" s="37">
        <v>3.1765714285714286</v>
      </c>
      <c r="U83" s="37">
        <v>6.6055403087570443</v>
      </c>
      <c r="V83" s="37">
        <v>6.75</v>
      </c>
    </row>
    <row r="84" spans="2:22" x14ac:dyDescent="0.25">
      <c r="B84" s="3">
        <v>1</v>
      </c>
      <c r="C84" s="3">
        <v>1</v>
      </c>
      <c r="D84" s="3">
        <v>12</v>
      </c>
      <c r="E84" s="29" t="s">
        <v>0</v>
      </c>
      <c r="F84" s="29" t="s">
        <v>285</v>
      </c>
      <c r="G84" s="20" t="s">
        <v>319</v>
      </c>
      <c r="H84" s="20" t="s">
        <v>359</v>
      </c>
      <c r="I84" s="67">
        <v>4.5775192341095887E-2</v>
      </c>
      <c r="M84" s="29" t="s">
        <v>124</v>
      </c>
      <c r="N84" s="29" t="s">
        <v>122</v>
      </c>
      <c r="O84" s="29" t="s">
        <v>272</v>
      </c>
      <c r="P84" s="29" t="s">
        <v>0</v>
      </c>
      <c r="Q84" s="37">
        <v>1.2193465150356164</v>
      </c>
      <c r="R84" s="37">
        <v>5.9452054850000012E-2</v>
      </c>
      <c r="S84" s="37">
        <v>1.5</v>
      </c>
      <c r="T84" s="37">
        <v>1.0177714285714285</v>
      </c>
      <c r="U84" s="37">
        <v>3.7965699984570449</v>
      </c>
      <c r="V84" s="37">
        <v>6.75</v>
      </c>
    </row>
    <row r="85" spans="2:22" x14ac:dyDescent="0.25">
      <c r="B85" s="3">
        <v>1</v>
      </c>
      <c r="C85" s="3">
        <v>1</v>
      </c>
      <c r="D85" s="3">
        <v>12</v>
      </c>
      <c r="E85" s="29" t="s">
        <v>0</v>
      </c>
      <c r="F85" s="29" t="s">
        <v>283</v>
      </c>
      <c r="G85" s="20" t="s">
        <v>384</v>
      </c>
      <c r="H85" s="20" t="s">
        <v>360</v>
      </c>
      <c r="I85" s="67">
        <v>9.0073926694977172E-2</v>
      </c>
      <c r="M85" s="29" t="s">
        <v>124</v>
      </c>
      <c r="N85" s="29" t="s">
        <v>123</v>
      </c>
      <c r="O85" s="29" t="s">
        <v>273</v>
      </c>
      <c r="P85" s="29" t="s">
        <v>0</v>
      </c>
      <c r="Q85" s="37">
        <v>0.70932902768721462</v>
      </c>
      <c r="R85" s="37">
        <v>4.4611871933333332E-2</v>
      </c>
      <c r="S85" s="37">
        <v>3.5</v>
      </c>
      <c r="T85" s="37">
        <v>2.4942857142857142</v>
      </c>
      <c r="U85" s="37">
        <v>6.7482266139062625</v>
      </c>
      <c r="V85" s="37">
        <v>6.75</v>
      </c>
    </row>
    <row r="86" spans="2:22" x14ac:dyDescent="0.25">
      <c r="B86" s="3">
        <v>1</v>
      </c>
      <c r="C86" s="3">
        <v>1</v>
      </c>
      <c r="D86" s="3">
        <v>12</v>
      </c>
      <c r="E86" s="29" t="s">
        <v>0</v>
      </c>
      <c r="F86" s="29" t="s">
        <v>282</v>
      </c>
      <c r="G86" s="20" t="s">
        <v>385</v>
      </c>
      <c r="H86" s="20" t="s">
        <v>361</v>
      </c>
      <c r="I86" s="67">
        <v>0</v>
      </c>
      <c r="M86" s="29" t="s">
        <v>124</v>
      </c>
      <c r="N86" s="29" t="s">
        <v>123</v>
      </c>
      <c r="O86" s="29" t="s">
        <v>274</v>
      </c>
      <c r="P86" s="29" t="s">
        <v>0</v>
      </c>
      <c r="Q86" s="37">
        <v>9.1041959441095888E-2</v>
      </c>
      <c r="R86" s="37">
        <v>3.5981734799999998E-2</v>
      </c>
      <c r="S86" s="37">
        <v>2.1666666666666665</v>
      </c>
      <c r="T86" s="37">
        <v>4.3114285714285705</v>
      </c>
      <c r="U86" s="37">
        <v>6.6051189323363335</v>
      </c>
      <c r="V86" s="37">
        <v>6.75</v>
      </c>
    </row>
    <row r="87" spans="2:22" x14ac:dyDescent="0.25">
      <c r="B87" s="3">
        <v>1</v>
      </c>
      <c r="C87" s="3">
        <v>1</v>
      </c>
      <c r="D87" s="3">
        <v>12</v>
      </c>
      <c r="E87" s="29" t="s">
        <v>0</v>
      </c>
      <c r="F87" s="29" t="s">
        <v>281</v>
      </c>
      <c r="G87" s="20" t="s">
        <v>386</v>
      </c>
      <c r="H87" s="20" t="s">
        <v>362</v>
      </c>
      <c r="I87" s="67">
        <v>4.7421302768949777E-2</v>
      </c>
      <c r="M87" s="29" t="s">
        <v>124</v>
      </c>
      <c r="N87" s="29" t="s">
        <v>123</v>
      </c>
      <c r="O87" s="29" t="s">
        <v>275</v>
      </c>
      <c r="P87" s="29" t="s">
        <v>205</v>
      </c>
      <c r="Q87" s="37">
        <v>0.43483851886575342</v>
      </c>
      <c r="R87" s="37">
        <v>4.7853880966666665E-2</v>
      </c>
      <c r="S87" s="37">
        <v>1.6666666666666667</v>
      </c>
      <c r="T87" s="37">
        <v>4.3071428571428578</v>
      </c>
      <c r="U87" s="37">
        <v>6.4565019236419436</v>
      </c>
      <c r="V87" s="37">
        <v>6.75</v>
      </c>
    </row>
    <row r="88" spans="2:22" x14ac:dyDescent="0.25">
      <c r="B88" s="3">
        <v>1</v>
      </c>
      <c r="C88" s="3">
        <v>1</v>
      </c>
      <c r="D88" s="3">
        <v>13</v>
      </c>
      <c r="E88" s="29" t="s">
        <v>0</v>
      </c>
      <c r="F88" s="29" t="s">
        <v>281</v>
      </c>
      <c r="G88" s="20" t="s">
        <v>88</v>
      </c>
      <c r="H88" s="20" t="s">
        <v>335</v>
      </c>
      <c r="I88" s="67">
        <v>0</v>
      </c>
      <c r="M88" s="29" t="s">
        <v>124</v>
      </c>
      <c r="N88" s="29" t="s">
        <v>123</v>
      </c>
      <c r="O88" s="29" t="s">
        <v>322</v>
      </c>
      <c r="P88" s="29" t="s">
        <v>0</v>
      </c>
      <c r="Q88" s="37">
        <v>0.4559298483506849</v>
      </c>
      <c r="R88" s="37">
        <v>0.14054794470000001</v>
      </c>
      <c r="S88" s="37">
        <v>1</v>
      </c>
      <c r="T88" s="37">
        <v>4.1592857142857138</v>
      </c>
      <c r="U88" s="37">
        <v>5.7557635073363986</v>
      </c>
      <c r="V88" s="37">
        <v>6.75</v>
      </c>
    </row>
    <row r="89" spans="2:22" x14ac:dyDescent="0.25">
      <c r="B89" s="3">
        <v>1</v>
      </c>
      <c r="C89" s="3">
        <v>1</v>
      </c>
      <c r="D89" s="3">
        <v>13</v>
      </c>
      <c r="E89" s="29" t="s">
        <v>0</v>
      </c>
      <c r="F89" s="29" t="s">
        <v>280</v>
      </c>
      <c r="G89" s="20" t="s">
        <v>387</v>
      </c>
      <c r="H89" s="20" t="s">
        <v>363</v>
      </c>
      <c r="I89" s="67">
        <v>0.18479056424885842</v>
      </c>
      <c r="M89" s="29" t="s">
        <v>124</v>
      </c>
      <c r="N89" s="29" t="s">
        <v>123</v>
      </c>
      <c r="O89" s="29" t="s">
        <v>323</v>
      </c>
      <c r="P89" s="29" t="s">
        <v>0</v>
      </c>
      <c r="Q89" s="37">
        <v>0.4048326518547945</v>
      </c>
      <c r="R89" s="37">
        <v>0.14479451944999999</v>
      </c>
      <c r="S89" s="37">
        <v>1.1666666666666667</v>
      </c>
      <c r="T89" s="37">
        <v>4.6316571428571427</v>
      </c>
      <c r="U89" s="37">
        <v>6.3479509808286041</v>
      </c>
      <c r="V89" s="37">
        <v>6.75</v>
      </c>
    </row>
    <row r="90" spans="2:22" x14ac:dyDescent="0.25">
      <c r="B90" s="3">
        <v>1</v>
      </c>
      <c r="C90" s="3">
        <v>1</v>
      </c>
      <c r="D90" s="3">
        <v>13</v>
      </c>
      <c r="E90" s="29" t="s">
        <v>0</v>
      </c>
      <c r="F90" s="29" t="s">
        <v>279</v>
      </c>
      <c r="G90" s="20" t="s">
        <v>388</v>
      </c>
      <c r="H90" s="20" t="s">
        <v>364</v>
      </c>
      <c r="I90" s="67">
        <v>2.444618395616438E-2</v>
      </c>
      <c r="M90" s="29" t="s">
        <v>124</v>
      </c>
      <c r="N90" s="29" t="s">
        <v>123</v>
      </c>
      <c r="O90" s="29" t="s">
        <v>324</v>
      </c>
      <c r="P90" s="29" t="s">
        <v>0</v>
      </c>
      <c r="Q90" s="37">
        <v>0.19070264934200909</v>
      </c>
      <c r="R90" s="37">
        <v>1.10045661E-2</v>
      </c>
      <c r="S90" s="37">
        <v>2.1666666666666665</v>
      </c>
      <c r="T90" s="37">
        <v>3.8767714285714292</v>
      </c>
      <c r="U90" s="37">
        <v>6.2451453106801038</v>
      </c>
      <c r="V90" s="37">
        <v>6.75</v>
      </c>
    </row>
    <row r="91" spans="2:22" x14ac:dyDescent="0.25">
      <c r="B91" s="3">
        <v>1</v>
      </c>
      <c r="C91" s="3">
        <v>1</v>
      </c>
      <c r="D91" s="3">
        <v>13</v>
      </c>
      <c r="E91" s="29" t="s">
        <v>0</v>
      </c>
      <c r="F91" s="29" t="s">
        <v>278</v>
      </c>
      <c r="G91" s="20" t="s">
        <v>389</v>
      </c>
      <c r="H91" s="20" t="s">
        <v>365</v>
      </c>
      <c r="I91" s="67">
        <v>6.5289497716894976E-2</v>
      </c>
      <c r="M91" s="29" t="s">
        <v>124</v>
      </c>
      <c r="N91" s="29" t="s">
        <v>123</v>
      </c>
      <c r="O91" s="29" t="s">
        <v>325</v>
      </c>
      <c r="P91" s="29" t="s">
        <v>0</v>
      </c>
      <c r="Q91" s="37">
        <v>6.0623695006392704E-2</v>
      </c>
      <c r="R91" s="37">
        <v>6.1643834999999996E-3</v>
      </c>
      <c r="S91" s="37">
        <v>1.75</v>
      </c>
      <c r="T91" s="37">
        <v>2.1257142857142859</v>
      </c>
      <c r="U91" s="37">
        <v>3.9425023642206787</v>
      </c>
      <c r="V91" s="37">
        <v>6.75</v>
      </c>
    </row>
    <row r="92" spans="2:22" x14ac:dyDescent="0.25">
      <c r="B92" s="3">
        <v>1</v>
      </c>
      <c r="C92" s="3">
        <v>1</v>
      </c>
      <c r="D92" s="3">
        <v>13</v>
      </c>
      <c r="E92" s="29" t="s">
        <v>0</v>
      </c>
      <c r="F92" s="29" t="s">
        <v>277</v>
      </c>
      <c r="G92" s="20" t="s">
        <v>390</v>
      </c>
      <c r="H92" s="20" t="s">
        <v>366</v>
      </c>
      <c r="I92" s="67">
        <v>0</v>
      </c>
      <c r="M92" s="29" t="s">
        <v>124</v>
      </c>
      <c r="N92" s="29" t="s">
        <v>123</v>
      </c>
      <c r="O92" s="29" t="s">
        <v>326</v>
      </c>
      <c r="P92" s="29" t="s">
        <v>0</v>
      </c>
      <c r="Q92" s="37">
        <v>0.10934075342465753</v>
      </c>
      <c r="R92" s="37">
        <v>0</v>
      </c>
      <c r="S92" s="37">
        <v>0.41666666666666669</v>
      </c>
      <c r="T92" s="37">
        <v>4.3291714285714278</v>
      </c>
      <c r="U92" s="37">
        <v>4.8551788486627512</v>
      </c>
      <c r="V92" s="37">
        <v>6.75</v>
      </c>
    </row>
    <row r="93" spans="2:22" x14ac:dyDescent="0.25">
      <c r="B93" s="3">
        <v>1</v>
      </c>
      <c r="C93" s="3">
        <v>1</v>
      </c>
      <c r="D93" s="3">
        <v>13</v>
      </c>
      <c r="E93" s="29" t="s">
        <v>0</v>
      </c>
      <c r="F93" s="29" t="s">
        <v>59</v>
      </c>
      <c r="G93" s="20" t="s">
        <v>391</v>
      </c>
      <c r="H93" s="20" t="s">
        <v>367</v>
      </c>
      <c r="I93" s="67">
        <v>0.41527397260273974</v>
      </c>
      <c r="M93" s="29" t="s">
        <v>124</v>
      </c>
      <c r="N93" s="29" t="s">
        <v>123</v>
      </c>
      <c r="O93" s="29" t="s">
        <v>327</v>
      </c>
      <c r="P93" s="29" t="s">
        <v>0</v>
      </c>
      <c r="Q93" s="37">
        <v>0.46928505211780813</v>
      </c>
      <c r="R93" s="37">
        <v>0.13196347031666664</v>
      </c>
      <c r="S93" s="37">
        <v>1</v>
      </c>
      <c r="T93" s="37">
        <v>4.1863714285714284</v>
      </c>
      <c r="U93" s="37">
        <v>5.7876199510059037</v>
      </c>
      <c r="V93" s="37">
        <v>6.75</v>
      </c>
    </row>
    <row r="94" spans="2:22" x14ac:dyDescent="0.25">
      <c r="B94" s="3">
        <v>1</v>
      </c>
      <c r="C94" s="3">
        <v>1</v>
      </c>
      <c r="D94" s="3">
        <v>13</v>
      </c>
      <c r="E94" s="29" t="s">
        <v>0</v>
      </c>
      <c r="F94" s="29" t="s">
        <v>217</v>
      </c>
      <c r="G94" s="20" t="s">
        <v>60</v>
      </c>
      <c r="H94" s="20" t="s">
        <v>368</v>
      </c>
      <c r="I94" s="67">
        <v>0.77926240755068499</v>
      </c>
      <c r="M94" s="29" t="s">
        <v>124</v>
      </c>
      <c r="N94" s="29" t="s">
        <v>123</v>
      </c>
      <c r="O94" s="29" t="s">
        <v>328</v>
      </c>
      <c r="P94" s="29" t="s">
        <v>0</v>
      </c>
      <c r="Q94" s="37">
        <v>0.66320999633652966</v>
      </c>
      <c r="R94" s="37">
        <v>3.3196346966666658E-2</v>
      </c>
      <c r="S94" s="37">
        <v>2.1666666666666665</v>
      </c>
      <c r="T94" s="37">
        <v>3.3005142857142857</v>
      </c>
      <c r="U94" s="37">
        <v>6.1635872956841489</v>
      </c>
      <c r="V94" s="37">
        <v>6.75</v>
      </c>
    </row>
    <row r="95" spans="2:22" hidden="1" x14ac:dyDescent="0.25">
      <c r="B95" s="3">
        <v>1</v>
      </c>
      <c r="C95" s="3">
        <v>1</v>
      </c>
      <c r="D95" s="3">
        <v>14</v>
      </c>
      <c r="E95" s="29" t="s">
        <v>0</v>
      </c>
      <c r="F95" s="29" t="s">
        <v>217</v>
      </c>
      <c r="G95" s="20" t="s">
        <v>88</v>
      </c>
      <c r="H95" s="20" t="s">
        <v>335</v>
      </c>
      <c r="I95" s="67">
        <v>0</v>
      </c>
      <c r="M95" s="29" t="s">
        <v>125</v>
      </c>
      <c r="N95" s="29" t="s">
        <v>121</v>
      </c>
      <c r="O95" s="29" t="s">
        <v>121</v>
      </c>
      <c r="P95" s="29" t="s">
        <v>0</v>
      </c>
      <c r="Q95" s="37">
        <v>2.0976218669105022</v>
      </c>
      <c r="R95" s="37">
        <v>0.17616438350000005</v>
      </c>
      <c r="S95" s="37">
        <v>1.5</v>
      </c>
      <c r="T95" s="37">
        <v>2.342857142857143</v>
      </c>
      <c r="U95" s="37">
        <v>6.1166433932676458</v>
      </c>
      <c r="V95" s="37">
        <v>6.75</v>
      </c>
    </row>
    <row r="96" spans="2:22" hidden="1" x14ac:dyDescent="0.25">
      <c r="B96" s="3">
        <v>1</v>
      </c>
      <c r="C96" s="3">
        <v>1</v>
      </c>
      <c r="D96" s="3">
        <v>14</v>
      </c>
      <c r="E96" s="29" t="s">
        <v>0</v>
      </c>
      <c r="F96" s="29" t="s">
        <v>198</v>
      </c>
      <c r="G96" s="20" t="s">
        <v>63</v>
      </c>
      <c r="H96" s="20" t="s">
        <v>369</v>
      </c>
      <c r="I96" s="67">
        <v>0.46450468631232877</v>
      </c>
      <c r="M96" s="29" t="s">
        <v>125</v>
      </c>
      <c r="N96" s="29" t="s">
        <v>121</v>
      </c>
      <c r="O96" s="29" t="s">
        <v>122</v>
      </c>
      <c r="P96" s="29" t="s">
        <v>0</v>
      </c>
      <c r="Q96" s="37">
        <v>0.97168470279178065</v>
      </c>
      <c r="R96" s="37">
        <v>5.4429223666666672E-2</v>
      </c>
      <c r="S96" s="37">
        <v>3</v>
      </c>
      <c r="T96" s="37">
        <v>2.2400000000000002</v>
      </c>
      <c r="U96" s="37">
        <v>6.2661139264584467</v>
      </c>
      <c r="V96" s="37">
        <v>6.75</v>
      </c>
    </row>
    <row r="97" spans="2:22" hidden="1" x14ac:dyDescent="0.25">
      <c r="B97" s="3">
        <v>1</v>
      </c>
      <c r="C97" s="3">
        <v>1</v>
      </c>
      <c r="D97" s="3">
        <v>14</v>
      </c>
      <c r="E97" s="29" t="s">
        <v>0</v>
      </c>
      <c r="F97" s="29" t="s">
        <v>199</v>
      </c>
      <c r="G97" s="20" t="s">
        <v>66</v>
      </c>
      <c r="H97" s="20" t="s">
        <v>370</v>
      </c>
      <c r="I97" s="67">
        <v>0.62433781293150692</v>
      </c>
      <c r="M97" s="29" t="s">
        <v>125</v>
      </c>
      <c r="N97" s="29" t="s">
        <v>121</v>
      </c>
      <c r="O97" s="29" t="s">
        <v>123</v>
      </c>
      <c r="P97" s="29" t="s">
        <v>0</v>
      </c>
      <c r="Q97" s="37">
        <v>0.34294661348219174</v>
      </c>
      <c r="R97" s="37">
        <v>0.15890410945</v>
      </c>
      <c r="S97" s="37">
        <v>1.1666666666666667</v>
      </c>
      <c r="T97" s="37">
        <v>4.4914285714285711</v>
      </c>
      <c r="U97" s="37">
        <v>6.1599459610274296</v>
      </c>
      <c r="V97" s="37">
        <v>6.75</v>
      </c>
    </row>
    <row r="98" spans="2:22" hidden="1" x14ac:dyDescent="0.25">
      <c r="B98" s="3">
        <v>1</v>
      </c>
      <c r="C98" s="3">
        <v>1</v>
      </c>
      <c r="D98" s="3">
        <v>14</v>
      </c>
      <c r="E98" s="29" t="s">
        <v>0</v>
      </c>
      <c r="F98" s="29" t="s">
        <v>57</v>
      </c>
      <c r="G98" s="20" t="s">
        <v>58</v>
      </c>
      <c r="H98" s="20" t="s">
        <v>371</v>
      </c>
      <c r="I98" s="67">
        <v>0.85630137003470319</v>
      </c>
      <c r="M98" s="29" t="s">
        <v>125</v>
      </c>
      <c r="N98" s="29" t="s">
        <v>121</v>
      </c>
      <c r="O98" s="29" t="s">
        <v>124</v>
      </c>
      <c r="P98" s="29" t="s">
        <v>205</v>
      </c>
      <c r="Q98" s="37">
        <v>0.88557639642191788</v>
      </c>
      <c r="R98" s="37">
        <v>0.36502283113333339</v>
      </c>
      <c r="S98" s="37">
        <v>1</v>
      </c>
      <c r="T98" s="37">
        <v>3.5295999999999998</v>
      </c>
      <c r="U98" s="37">
        <v>5.7801992275552498</v>
      </c>
      <c r="V98" s="37">
        <v>6.75</v>
      </c>
    </row>
    <row r="99" spans="2:22" hidden="1" x14ac:dyDescent="0.25">
      <c r="B99" s="3">
        <v>1</v>
      </c>
      <c r="C99" s="3">
        <v>1</v>
      </c>
      <c r="D99" s="3">
        <v>14</v>
      </c>
      <c r="E99" s="29" t="s">
        <v>0</v>
      </c>
      <c r="F99" s="29" t="s">
        <v>210</v>
      </c>
      <c r="G99" s="20" t="s">
        <v>67</v>
      </c>
      <c r="H99" s="20" t="s">
        <v>372</v>
      </c>
      <c r="I99" s="67">
        <v>0.50874065596940643</v>
      </c>
      <c r="M99" s="29" t="s">
        <v>125</v>
      </c>
      <c r="N99" s="29" t="s">
        <v>121</v>
      </c>
      <c r="O99" s="29" t="s">
        <v>125</v>
      </c>
      <c r="P99" s="29" t="s">
        <v>231</v>
      </c>
      <c r="Q99" s="37">
        <v>0.88942725517031962</v>
      </c>
      <c r="R99" s="37">
        <v>0.12273972584999999</v>
      </c>
      <c r="S99" s="37">
        <v>1</v>
      </c>
      <c r="T99" s="37">
        <v>2.3486857142857143</v>
      </c>
      <c r="U99" s="37">
        <v>4.3608526953060336</v>
      </c>
      <c r="V99" s="37">
        <v>6.75</v>
      </c>
    </row>
    <row r="100" spans="2:22" hidden="1" x14ac:dyDescent="0.25">
      <c r="B100" s="3">
        <v>1</v>
      </c>
      <c r="C100" s="3">
        <v>1</v>
      </c>
      <c r="D100" s="3">
        <v>14</v>
      </c>
      <c r="E100" s="29" t="s">
        <v>0</v>
      </c>
      <c r="F100" s="29" t="s">
        <v>211</v>
      </c>
      <c r="G100" s="20" t="s">
        <v>74</v>
      </c>
      <c r="H100" s="20" t="s">
        <v>373</v>
      </c>
      <c r="I100" s="67">
        <v>0.33852394472237435</v>
      </c>
      <c r="M100" s="29" t="s">
        <v>125</v>
      </c>
      <c r="N100" s="29" t="s">
        <v>121</v>
      </c>
      <c r="O100" s="29" t="s">
        <v>172</v>
      </c>
      <c r="P100" s="29" t="s">
        <v>0</v>
      </c>
      <c r="Q100" s="37">
        <v>0.97862932422739712</v>
      </c>
      <c r="R100" s="37">
        <v>0</v>
      </c>
      <c r="S100" s="37">
        <v>0.33333333333333331</v>
      </c>
      <c r="T100" s="37">
        <v>3.0874285714285716</v>
      </c>
      <c r="U100" s="37">
        <v>4.3993912289893018</v>
      </c>
      <c r="V100" s="37">
        <v>6.75</v>
      </c>
    </row>
    <row r="101" spans="2:22" hidden="1" x14ac:dyDescent="0.25">
      <c r="B101" s="3">
        <v>1</v>
      </c>
      <c r="C101" s="3">
        <v>1</v>
      </c>
      <c r="D101" s="3">
        <v>15</v>
      </c>
      <c r="E101" s="29" t="s">
        <v>0</v>
      </c>
      <c r="F101" s="29" t="s">
        <v>211</v>
      </c>
      <c r="G101" s="20" t="s">
        <v>88</v>
      </c>
      <c r="H101" s="20" t="s">
        <v>335</v>
      </c>
      <c r="I101" s="67">
        <v>0</v>
      </c>
      <c r="M101" s="29" t="s">
        <v>125</v>
      </c>
      <c r="N101" s="29" t="s">
        <v>121</v>
      </c>
      <c r="O101" s="29" t="s">
        <v>173</v>
      </c>
      <c r="P101" s="29" t="s">
        <v>0</v>
      </c>
      <c r="Q101" s="37">
        <v>1.3310792688278539</v>
      </c>
      <c r="R101" s="37">
        <v>0.27232876720000004</v>
      </c>
      <c r="S101" s="37">
        <v>0.75</v>
      </c>
      <c r="T101" s="37">
        <v>4.0640000000000009</v>
      </c>
      <c r="U101" s="37">
        <v>6.4174080360278545</v>
      </c>
      <c r="V101" s="37">
        <v>6.75</v>
      </c>
    </row>
    <row r="102" spans="2:22" hidden="1" x14ac:dyDescent="0.25">
      <c r="B102" s="3">
        <v>1</v>
      </c>
      <c r="C102" s="3">
        <v>1</v>
      </c>
      <c r="D102" s="3">
        <v>15</v>
      </c>
      <c r="E102" s="29" t="s">
        <v>0</v>
      </c>
      <c r="F102" s="29" t="s">
        <v>206</v>
      </c>
      <c r="G102" s="20" t="s">
        <v>69</v>
      </c>
      <c r="H102" s="20" t="s">
        <v>374</v>
      </c>
      <c r="I102" s="67">
        <v>0.36188269401187212</v>
      </c>
      <c r="M102" s="29" t="s">
        <v>125</v>
      </c>
      <c r="N102" s="29" t="s">
        <v>121</v>
      </c>
      <c r="O102" s="29" t="s">
        <v>174</v>
      </c>
      <c r="P102" s="29" t="s">
        <v>0</v>
      </c>
      <c r="Q102" s="37">
        <v>1.0527438354972602</v>
      </c>
      <c r="R102" s="37">
        <v>0.17570776253333334</v>
      </c>
      <c r="S102" s="37">
        <v>0.75</v>
      </c>
      <c r="T102" s="37">
        <v>4.4344000000000001</v>
      </c>
      <c r="U102" s="37">
        <v>6.4128515980305947</v>
      </c>
      <c r="V102" s="37">
        <v>6.75</v>
      </c>
    </row>
    <row r="103" spans="2:22" hidden="1" x14ac:dyDescent="0.25">
      <c r="B103" s="3">
        <v>1</v>
      </c>
      <c r="C103" s="3">
        <v>1</v>
      </c>
      <c r="D103" s="3">
        <v>15</v>
      </c>
      <c r="E103" s="29" t="s">
        <v>0</v>
      </c>
      <c r="F103" s="29" t="s">
        <v>207</v>
      </c>
      <c r="G103" s="20" t="s">
        <v>75</v>
      </c>
      <c r="H103" s="20" t="s">
        <v>375</v>
      </c>
      <c r="I103" s="67">
        <v>0.3859407324657535</v>
      </c>
      <c r="M103" s="29" t="s">
        <v>125</v>
      </c>
      <c r="N103" s="29" t="s">
        <v>121</v>
      </c>
      <c r="O103" s="29" t="s">
        <v>240</v>
      </c>
      <c r="P103" s="29" t="s">
        <v>0</v>
      </c>
      <c r="Q103" s="37">
        <v>0.96107452545616445</v>
      </c>
      <c r="R103" s="37">
        <v>0.17643835588333331</v>
      </c>
      <c r="S103" s="37">
        <v>1.5</v>
      </c>
      <c r="T103" s="37">
        <v>3.443314285714286</v>
      </c>
      <c r="U103" s="37">
        <v>6.0808271670537835</v>
      </c>
      <c r="V103" s="37">
        <v>6.75</v>
      </c>
    </row>
    <row r="104" spans="2:22" hidden="1" x14ac:dyDescent="0.25">
      <c r="B104" s="3">
        <v>1</v>
      </c>
      <c r="C104" s="3">
        <v>1</v>
      </c>
      <c r="D104" s="3">
        <v>15</v>
      </c>
      <c r="E104" s="29" t="s">
        <v>0</v>
      </c>
      <c r="F104" s="29" t="s">
        <v>216</v>
      </c>
      <c r="G104" s="20" t="s">
        <v>77</v>
      </c>
      <c r="H104" s="20" t="s">
        <v>376</v>
      </c>
      <c r="I104" s="67">
        <v>0.13299914383561645</v>
      </c>
      <c r="M104" s="29" t="s">
        <v>125</v>
      </c>
      <c r="N104" s="29" t="s">
        <v>121</v>
      </c>
      <c r="O104" s="29" t="s">
        <v>256</v>
      </c>
      <c r="P104" s="29" t="s">
        <v>0</v>
      </c>
      <c r="Q104" s="37">
        <v>0.387214476043379</v>
      </c>
      <c r="R104" s="37">
        <v>2.442922375E-2</v>
      </c>
      <c r="S104" s="37">
        <v>2</v>
      </c>
      <c r="T104" s="37">
        <v>4.194285714285714</v>
      </c>
      <c r="U104" s="37">
        <v>6.6059294140790934</v>
      </c>
      <c r="V104" s="37">
        <v>6.75</v>
      </c>
    </row>
    <row r="105" spans="2:22" hidden="1" x14ac:dyDescent="0.25">
      <c r="B105" s="3">
        <v>1</v>
      </c>
      <c r="C105" s="3">
        <v>2</v>
      </c>
      <c r="D105" s="3">
        <v>16</v>
      </c>
      <c r="E105" s="29" t="s">
        <v>0</v>
      </c>
      <c r="F105" s="29" t="s">
        <v>223</v>
      </c>
      <c r="G105" s="20" t="s">
        <v>88</v>
      </c>
      <c r="H105" s="20" t="s">
        <v>335</v>
      </c>
      <c r="I105" s="67">
        <v>0</v>
      </c>
      <c r="M105" s="29" t="s">
        <v>125</v>
      </c>
      <c r="N105" s="29" t="s">
        <v>121</v>
      </c>
      <c r="O105" s="29" t="s">
        <v>257</v>
      </c>
      <c r="P105" s="29" t="s">
        <v>0</v>
      </c>
      <c r="Q105" s="37">
        <v>0</v>
      </c>
      <c r="R105" s="37">
        <v>0</v>
      </c>
      <c r="S105" s="37">
        <v>0.41666666666666669</v>
      </c>
      <c r="T105" s="37">
        <v>0.36571428571428571</v>
      </c>
      <c r="U105" s="37">
        <v>0.7823809523809524</v>
      </c>
      <c r="V105" s="37">
        <v>6.75</v>
      </c>
    </row>
    <row r="106" spans="2:22" hidden="1" x14ac:dyDescent="0.25">
      <c r="B106" s="3">
        <v>1</v>
      </c>
      <c r="C106" s="3">
        <v>2</v>
      </c>
      <c r="D106" s="3">
        <v>16</v>
      </c>
      <c r="E106" s="29" t="s">
        <v>0</v>
      </c>
      <c r="F106" s="29" t="s">
        <v>224</v>
      </c>
      <c r="G106" s="20" t="s">
        <v>65</v>
      </c>
      <c r="H106" s="20" t="s">
        <v>336</v>
      </c>
      <c r="I106" s="67">
        <v>0.13438051748493149</v>
      </c>
      <c r="M106" s="29" t="s">
        <v>125</v>
      </c>
      <c r="N106" s="29" t="s">
        <v>121</v>
      </c>
      <c r="O106" s="29" t="s">
        <v>258</v>
      </c>
      <c r="P106" s="29" t="s">
        <v>0</v>
      </c>
      <c r="Q106" s="37">
        <v>0.42963184931506848</v>
      </c>
      <c r="R106" s="37">
        <v>0</v>
      </c>
      <c r="S106" s="37">
        <v>0.41666666666666669</v>
      </c>
      <c r="T106" s="37">
        <v>5.7722285714285713</v>
      </c>
      <c r="U106" s="37">
        <v>6.6185270874103059</v>
      </c>
      <c r="V106" s="37">
        <v>6.75</v>
      </c>
    </row>
    <row r="107" spans="2:22" hidden="1" x14ac:dyDescent="0.25">
      <c r="B107" s="3">
        <v>1</v>
      </c>
      <c r="C107" s="3">
        <v>2</v>
      </c>
      <c r="D107" s="3">
        <v>16</v>
      </c>
      <c r="E107" s="29" t="s">
        <v>0</v>
      </c>
      <c r="F107" s="29" t="s">
        <v>225</v>
      </c>
      <c r="G107" s="20" t="s">
        <v>72</v>
      </c>
      <c r="H107" s="20" t="s">
        <v>337</v>
      </c>
      <c r="I107" s="67">
        <v>9.0010434766666647E-2</v>
      </c>
      <c r="M107" s="29" t="s">
        <v>125</v>
      </c>
      <c r="N107" s="29" t="s">
        <v>121</v>
      </c>
      <c r="O107" s="29" t="s">
        <v>259</v>
      </c>
      <c r="P107" s="29" t="s">
        <v>0</v>
      </c>
      <c r="Q107" s="37">
        <v>1.2972328218876712</v>
      </c>
      <c r="R107" s="37">
        <v>0.22319634739999999</v>
      </c>
      <c r="S107" s="37">
        <v>0.66666666666666663</v>
      </c>
      <c r="T107" s="37">
        <v>4.3900571428571427</v>
      </c>
      <c r="U107" s="37">
        <v>6.5771529788114806</v>
      </c>
      <c r="V107" s="37">
        <v>6.75</v>
      </c>
    </row>
    <row r="108" spans="2:22" hidden="1" x14ac:dyDescent="0.25">
      <c r="B108" s="3">
        <v>1</v>
      </c>
      <c r="C108" s="3">
        <v>2</v>
      </c>
      <c r="D108" s="3">
        <v>16</v>
      </c>
      <c r="E108" s="29" t="s">
        <v>0</v>
      </c>
      <c r="F108" s="29" t="s">
        <v>201</v>
      </c>
      <c r="G108" s="20" t="s">
        <v>62</v>
      </c>
      <c r="H108" s="20" t="s">
        <v>338</v>
      </c>
      <c r="I108" s="67">
        <v>0.1637260273972603</v>
      </c>
      <c r="M108" s="29" t="s">
        <v>125</v>
      </c>
      <c r="N108" s="29" t="s">
        <v>121</v>
      </c>
      <c r="O108" s="29" t="s">
        <v>260</v>
      </c>
      <c r="P108" s="29" t="s">
        <v>0</v>
      </c>
      <c r="Q108" s="37">
        <v>1.3691064699890412</v>
      </c>
      <c r="R108" s="37">
        <v>0.38904109600000003</v>
      </c>
      <c r="S108" s="37">
        <v>0.66666666666666663</v>
      </c>
      <c r="T108" s="37">
        <v>3.1154285714285717</v>
      </c>
      <c r="U108" s="37">
        <v>5.5402428040842802</v>
      </c>
      <c r="V108" s="37">
        <v>6.75</v>
      </c>
    </row>
    <row r="109" spans="2:22" hidden="1" x14ac:dyDescent="0.25">
      <c r="B109" s="3">
        <v>1</v>
      </c>
      <c r="C109" s="3">
        <v>2</v>
      </c>
      <c r="D109" s="3">
        <v>16</v>
      </c>
      <c r="E109" s="29" t="s">
        <v>0</v>
      </c>
      <c r="F109" s="29" t="s">
        <v>202</v>
      </c>
      <c r="G109" s="20" t="s">
        <v>61</v>
      </c>
      <c r="H109" s="20" t="s">
        <v>339</v>
      </c>
      <c r="I109" s="67">
        <v>0.13530118219452056</v>
      </c>
      <c r="M109" s="29" t="s">
        <v>125</v>
      </c>
      <c r="N109" s="29" t="s">
        <v>121</v>
      </c>
      <c r="O109" s="29" t="s">
        <v>261</v>
      </c>
      <c r="P109" s="29" t="s">
        <v>0</v>
      </c>
      <c r="Q109" s="37">
        <v>1.7369461848835617</v>
      </c>
      <c r="R109" s="37">
        <v>6.3698630150000018E-2</v>
      </c>
      <c r="S109" s="37">
        <v>1.8333333333333333</v>
      </c>
      <c r="T109" s="37">
        <v>2.4770285714285714</v>
      </c>
      <c r="U109" s="37">
        <v>6.1110067197954665</v>
      </c>
      <c r="V109" s="37">
        <v>6.75</v>
      </c>
    </row>
    <row r="110" spans="2:22" hidden="1" x14ac:dyDescent="0.25">
      <c r="B110" s="3">
        <v>1</v>
      </c>
      <c r="C110" s="3">
        <v>2</v>
      </c>
      <c r="D110" s="3">
        <v>16</v>
      </c>
      <c r="E110" s="29" t="s">
        <v>0</v>
      </c>
      <c r="F110" s="29" t="s">
        <v>227</v>
      </c>
      <c r="G110" s="20" t="s">
        <v>73</v>
      </c>
      <c r="H110" s="20" t="s">
        <v>340</v>
      </c>
      <c r="I110" s="67">
        <v>5.1148149950684937E-2</v>
      </c>
      <c r="M110" s="29" t="s">
        <v>125</v>
      </c>
      <c r="N110" s="29" t="s">
        <v>122</v>
      </c>
      <c r="O110" s="29" t="s">
        <v>262</v>
      </c>
      <c r="P110" s="29" t="s">
        <v>0</v>
      </c>
      <c r="Q110" s="37">
        <v>2.1694421625602738</v>
      </c>
      <c r="R110" s="37">
        <v>0.17876712305</v>
      </c>
      <c r="S110" s="37">
        <v>1.5</v>
      </c>
      <c r="T110" s="37">
        <v>2.342857142857143</v>
      </c>
      <c r="U110" s="37">
        <v>6.1910664284674173</v>
      </c>
      <c r="V110" s="37">
        <v>6.75</v>
      </c>
    </row>
    <row r="111" spans="2:22" hidden="1" x14ac:dyDescent="0.25">
      <c r="B111" s="3">
        <v>1</v>
      </c>
      <c r="C111" s="3">
        <v>2</v>
      </c>
      <c r="D111" s="3">
        <v>16</v>
      </c>
      <c r="E111" s="29" t="s">
        <v>0</v>
      </c>
      <c r="F111" s="29" t="s">
        <v>222</v>
      </c>
      <c r="G111" s="20" t="s">
        <v>71</v>
      </c>
      <c r="H111" s="20" t="s">
        <v>341</v>
      </c>
      <c r="I111" s="67">
        <v>9.6444907673972596E-2</v>
      </c>
      <c r="M111" s="29" t="s">
        <v>125</v>
      </c>
      <c r="N111" s="29" t="s">
        <v>122</v>
      </c>
      <c r="O111" s="29" t="s">
        <v>263</v>
      </c>
      <c r="P111" s="29" t="s">
        <v>0</v>
      </c>
      <c r="Q111" s="37">
        <v>1.0001311753278539</v>
      </c>
      <c r="R111" s="37">
        <v>5.799086753333333E-2</v>
      </c>
      <c r="S111" s="37">
        <v>3</v>
      </c>
      <c r="T111" s="37">
        <v>2.2400000000000002</v>
      </c>
      <c r="U111" s="37">
        <v>6.2981220428611868</v>
      </c>
      <c r="V111" s="37">
        <v>6.75</v>
      </c>
    </row>
    <row r="112" spans="2:22" hidden="1" x14ac:dyDescent="0.25">
      <c r="B112" s="3">
        <v>1</v>
      </c>
      <c r="C112" s="3">
        <v>2</v>
      </c>
      <c r="D112" s="3">
        <v>16</v>
      </c>
      <c r="E112" s="29" t="s">
        <v>0</v>
      </c>
      <c r="F112" s="29" t="s">
        <v>197</v>
      </c>
      <c r="G112" s="20" t="s">
        <v>78</v>
      </c>
      <c r="H112" s="20" t="s">
        <v>342</v>
      </c>
      <c r="I112" s="67">
        <v>3.831780821917808E-2</v>
      </c>
      <c r="M112" s="29" t="s">
        <v>125</v>
      </c>
      <c r="N112" s="29" t="s">
        <v>122</v>
      </c>
      <c r="O112" s="29" t="s">
        <v>264</v>
      </c>
      <c r="P112" s="29" t="s">
        <v>0</v>
      </c>
      <c r="Q112" s="37">
        <v>0.33059246976347029</v>
      </c>
      <c r="R112" s="37">
        <v>0.14036529636666667</v>
      </c>
      <c r="S112" s="37">
        <v>1.1666666666666667</v>
      </c>
      <c r="T112" s="37">
        <v>4.4914285714285711</v>
      </c>
      <c r="U112" s="37">
        <v>6.1290530042253746</v>
      </c>
      <c r="V112" s="37">
        <v>6.75</v>
      </c>
    </row>
    <row r="113" spans="2:22" hidden="1" x14ac:dyDescent="0.25">
      <c r="B113" s="3">
        <v>1</v>
      </c>
      <c r="C113" s="3">
        <v>2</v>
      </c>
      <c r="D113" s="3">
        <v>16</v>
      </c>
      <c r="E113" s="29" t="s">
        <v>0</v>
      </c>
      <c r="F113" s="29" t="s">
        <v>293</v>
      </c>
      <c r="G113" s="20" t="s">
        <v>377</v>
      </c>
      <c r="H113" s="20" t="s">
        <v>343</v>
      </c>
      <c r="I113" s="67">
        <v>2.7896111063013703E-2</v>
      </c>
      <c r="M113" s="29" t="s">
        <v>125</v>
      </c>
      <c r="N113" s="29" t="s">
        <v>122</v>
      </c>
      <c r="O113" s="29" t="s">
        <v>265</v>
      </c>
      <c r="P113" s="29" t="s">
        <v>205</v>
      </c>
      <c r="Q113" s="37">
        <v>0.8981148693511416</v>
      </c>
      <c r="R113" s="37">
        <v>0.37013698610000001</v>
      </c>
      <c r="S113" s="37">
        <v>1</v>
      </c>
      <c r="T113" s="37">
        <v>3.5295999999999998</v>
      </c>
      <c r="U113" s="37">
        <v>5.7978518554511407</v>
      </c>
      <c r="V113" s="37">
        <v>6.75</v>
      </c>
    </row>
    <row r="114" spans="2:22" hidden="1" x14ac:dyDescent="0.25">
      <c r="B114" s="3">
        <v>1</v>
      </c>
      <c r="C114" s="3">
        <v>2</v>
      </c>
      <c r="D114" s="3">
        <v>17</v>
      </c>
      <c r="E114" s="29" t="s">
        <v>0</v>
      </c>
      <c r="F114" s="29" t="s">
        <v>293</v>
      </c>
      <c r="G114" s="20" t="s">
        <v>88</v>
      </c>
      <c r="H114" s="20" t="s">
        <v>335</v>
      </c>
      <c r="I114" s="67">
        <v>0</v>
      </c>
      <c r="M114" s="29" t="s">
        <v>125</v>
      </c>
      <c r="N114" s="29" t="s">
        <v>122</v>
      </c>
      <c r="O114" s="29" t="s">
        <v>266</v>
      </c>
      <c r="P114" s="29" t="s">
        <v>231</v>
      </c>
      <c r="Q114" s="37">
        <v>0.94549501478493148</v>
      </c>
      <c r="R114" s="37">
        <v>0.11433789968333334</v>
      </c>
      <c r="S114" s="37">
        <v>1</v>
      </c>
      <c r="T114" s="37">
        <v>2.3486857142857143</v>
      </c>
      <c r="U114" s="37">
        <v>4.4085186287539795</v>
      </c>
      <c r="V114" s="37">
        <v>6.75</v>
      </c>
    </row>
    <row r="115" spans="2:22" hidden="1" x14ac:dyDescent="0.25">
      <c r="B115" s="3">
        <v>1</v>
      </c>
      <c r="C115" s="3">
        <v>2</v>
      </c>
      <c r="D115" s="3">
        <v>17</v>
      </c>
      <c r="E115" s="29" t="s">
        <v>0</v>
      </c>
      <c r="F115" s="29" t="s">
        <v>298</v>
      </c>
      <c r="G115" s="20" t="s">
        <v>378</v>
      </c>
      <c r="H115" s="20" t="s">
        <v>344</v>
      </c>
      <c r="I115" s="67">
        <v>3.3535822142465754E-2</v>
      </c>
      <c r="M115" s="29" t="s">
        <v>125</v>
      </c>
      <c r="N115" s="29" t="s">
        <v>122</v>
      </c>
      <c r="O115" s="29" t="s">
        <v>267</v>
      </c>
      <c r="P115" s="29" t="s">
        <v>0</v>
      </c>
      <c r="Q115" s="37">
        <v>1.0338830971479451</v>
      </c>
      <c r="R115" s="37">
        <v>0</v>
      </c>
      <c r="S115" s="37">
        <v>0.33333333333333331</v>
      </c>
      <c r="T115" s="37">
        <v>3.0874285714285716</v>
      </c>
      <c r="U115" s="37">
        <v>4.4546450019098502</v>
      </c>
      <c r="V115" s="37">
        <v>6.75</v>
      </c>
    </row>
    <row r="116" spans="2:22" hidden="1" x14ac:dyDescent="0.25">
      <c r="B116" s="3">
        <v>1</v>
      </c>
      <c r="C116" s="3">
        <v>2</v>
      </c>
      <c r="D116" s="3">
        <v>17</v>
      </c>
      <c r="E116" s="29" t="s">
        <v>0</v>
      </c>
      <c r="F116" s="29" t="s">
        <v>294</v>
      </c>
      <c r="G116" s="20" t="s">
        <v>379</v>
      </c>
      <c r="H116" s="20" t="s">
        <v>345</v>
      </c>
      <c r="I116" s="67">
        <v>2.9610026235616441E-2</v>
      </c>
      <c r="M116" s="29" t="s">
        <v>125</v>
      </c>
      <c r="N116" s="29" t="s">
        <v>122</v>
      </c>
      <c r="O116" s="29" t="s">
        <v>268</v>
      </c>
      <c r="P116" s="29" t="s">
        <v>0</v>
      </c>
      <c r="Q116" s="37">
        <v>1.3338126788237445</v>
      </c>
      <c r="R116" s="37">
        <v>0.25634703196666669</v>
      </c>
      <c r="S116" s="37">
        <v>0.75</v>
      </c>
      <c r="T116" s="37">
        <v>4.0640000000000009</v>
      </c>
      <c r="U116" s="37">
        <v>6.4041597107904114</v>
      </c>
      <c r="V116" s="37">
        <v>6.75</v>
      </c>
    </row>
    <row r="117" spans="2:22" hidden="1" x14ac:dyDescent="0.25">
      <c r="B117" s="3">
        <v>1</v>
      </c>
      <c r="C117" s="3">
        <v>2</v>
      </c>
      <c r="D117" s="3">
        <v>17</v>
      </c>
      <c r="E117" s="29" t="s">
        <v>0</v>
      </c>
      <c r="F117" s="29" t="s">
        <v>0</v>
      </c>
      <c r="G117" s="20" t="s">
        <v>383</v>
      </c>
      <c r="H117" s="20" t="s">
        <v>346</v>
      </c>
      <c r="I117" s="67">
        <v>2.7063147345205481E-2</v>
      </c>
      <c r="M117" s="29" t="s">
        <v>125</v>
      </c>
      <c r="N117" s="29" t="s">
        <v>122</v>
      </c>
      <c r="O117" s="29" t="s">
        <v>269</v>
      </c>
      <c r="P117" s="29" t="s">
        <v>0</v>
      </c>
      <c r="Q117" s="37">
        <v>1.2419660069159817</v>
      </c>
      <c r="R117" s="37">
        <v>0.20954337884999999</v>
      </c>
      <c r="S117" s="37">
        <v>0.75</v>
      </c>
      <c r="T117" s="37">
        <v>4.4344000000000001</v>
      </c>
      <c r="U117" s="37">
        <v>6.6359093857659825</v>
      </c>
      <c r="V117" s="37">
        <v>6.75</v>
      </c>
    </row>
    <row r="118" spans="2:22" hidden="1" x14ac:dyDescent="0.25">
      <c r="B118" s="3">
        <v>1</v>
      </c>
      <c r="C118" s="3">
        <v>2</v>
      </c>
      <c r="D118" s="3">
        <v>17</v>
      </c>
      <c r="E118" s="29" t="s">
        <v>0</v>
      </c>
      <c r="F118" s="29" t="s">
        <v>204</v>
      </c>
      <c r="G118" s="20" t="s">
        <v>56</v>
      </c>
      <c r="H118" s="20" t="s">
        <v>347</v>
      </c>
      <c r="I118" s="67">
        <v>0.2133003812876712</v>
      </c>
      <c r="M118" s="29" t="s">
        <v>125</v>
      </c>
      <c r="N118" s="29" t="s">
        <v>122</v>
      </c>
      <c r="O118" s="29" t="s">
        <v>270</v>
      </c>
      <c r="P118" s="29" t="s">
        <v>0</v>
      </c>
      <c r="Q118" s="37">
        <v>0.91882893223424644</v>
      </c>
      <c r="R118" s="37">
        <v>0.16027397235000002</v>
      </c>
      <c r="S118" s="37">
        <v>1.5</v>
      </c>
      <c r="T118" s="37">
        <v>3.443314285714286</v>
      </c>
      <c r="U118" s="37">
        <v>6.0224171902985315</v>
      </c>
      <c r="V118" s="37">
        <v>6.75</v>
      </c>
    </row>
    <row r="119" spans="2:22" hidden="1" x14ac:dyDescent="0.25">
      <c r="B119" s="3">
        <v>1</v>
      </c>
      <c r="C119" s="3">
        <v>2</v>
      </c>
      <c r="D119" s="3">
        <v>17</v>
      </c>
      <c r="E119" s="29" t="s">
        <v>0</v>
      </c>
      <c r="F119" s="29" t="s">
        <v>205</v>
      </c>
      <c r="G119" s="20" t="s">
        <v>64</v>
      </c>
      <c r="H119" s="20" t="s">
        <v>348</v>
      </c>
      <c r="I119" s="67">
        <v>0.1045782505479452</v>
      </c>
      <c r="M119" s="29" t="s">
        <v>125</v>
      </c>
      <c r="N119" s="29" t="s">
        <v>122</v>
      </c>
      <c r="O119" s="29" t="s">
        <v>271</v>
      </c>
      <c r="P119" s="29" t="s">
        <v>0</v>
      </c>
      <c r="Q119" s="37">
        <v>0.41202147538584472</v>
      </c>
      <c r="R119" s="37">
        <v>3.1735159666666665E-2</v>
      </c>
      <c r="S119" s="37">
        <v>2</v>
      </c>
      <c r="T119" s="37">
        <v>4.194285714285714</v>
      </c>
      <c r="U119" s="37">
        <v>6.6380423493382255</v>
      </c>
      <c r="V119" s="37">
        <v>6.75</v>
      </c>
    </row>
    <row r="120" spans="2:22" hidden="1" x14ac:dyDescent="0.25">
      <c r="B120" s="3">
        <v>1</v>
      </c>
      <c r="C120" s="3">
        <v>2</v>
      </c>
      <c r="D120" s="3">
        <v>17</v>
      </c>
      <c r="E120" s="29" t="s">
        <v>0</v>
      </c>
      <c r="F120" s="29" t="s">
        <v>209</v>
      </c>
      <c r="G120" s="20" t="s">
        <v>70</v>
      </c>
      <c r="H120" s="20" t="s">
        <v>349</v>
      </c>
      <c r="I120" s="67">
        <v>8.9896739684931504E-2</v>
      </c>
      <c r="M120" s="29" t="s">
        <v>125</v>
      </c>
      <c r="N120" s="29" t="s">
        <v>122</v>
      </c>
      <c r="O120" s="29" t="s">
        <v>272</v>
      </c>
      <c r="P120" s="29" t="s">
        <v>0</v>
      </c>
      <c r="Q120" s="37">
        <v>0</v>
      </c>
      <c r="R120" s="37">
        <v>0</v>
      </c>
      <c r="S120" s="37">
        <v>0.41666666666666669</v>
      </c>
      <c r="T120" s="37">
        <v>0.36571428571428571</v>
      </c>
      <c r="U120" s="37">
        <v>0.7823809523809524</v>
      </c>
      <c r="V120" s="37">
        <v>6.75</v>
      </c>
    </row>
    <row r="121" spans="2:22" hidden="1" x14ac:dyDescent="0.25">
      <c r="B121" s="3">
        <v>1</v>
      </c>
      <c r="C121" s="3">
        <v>2</v>
      </c>
      <c r="D121" s="3">
        <v>17</v>
      </c>
      <c r="E121" s="29" t="s">
        <v>0</v>
      </c>
      <c r="F121" s="29" t="s">
        <v>232</v>
      </c>
      <c r="G121" s="20" t="s">
        <v>190</v>
      </c>
      <c r="H121" s="20" t="s">
        <v>350</v>
      </c>
      <c r="I121" s="67">
        <v>3.9287671230136982E-2</v>
      </c>
      <c r="M121" s="29" t="s">
        <v>125</v>
      </c>
      <c r="N121" s="29" t="s">
        <v>122</v>
      </c>
      <c r="O121" s="29" t="s">
        <v>273</v>
      </c>
      <c r="P121" s="29" t="s">
        <v>0</v>
      </c>
      <c r="Q121" s="37">
        <v>0.41527397260273974</v>
      </c>
      <c r="R121" s="37">
        <v>0</v>
      </c>
      <c r="S121" s="37">
        <v>0.41666666666666669</v>
      </c>
      <c r="T121" s="37">
        <v>5.7722285714285713</v>
      </c>
      <c r="U121" s="37">
        <v>6.6041692106979779</v>
      </c>
      <c r="V121" s="37">
        <v>6.75</v>
      </c>
    </row>
    <row r="122" spans="2:22" hidden="1" x14ac:dyDescent="0.25">
      <c r="B122" s="3">
        <v>1</v>
      </c>
      <c r="C122" s="3">
        <v>2</v>
      </c>
      <c r="D122" s="3">
        <v>18</v>
      </c>
      <c r="E122" s="29" t="s">
        <v>0</v>
      </c>
      <c r="F122" s="29" t="s">
        <v>232</v>
      </c>
      <c r="G122" s="20" t="s">
        <v>88</v>
      </c>
      <c r="H122" s="20" t="s">
        <v>335</v>
      </c>
      <c r="I122" s="67">
        <v>0</v>
      </c>
      <c r="M122" s="29" t="s">
        <v>125</v>
      </c>
      <c r="N122" s="29" t="s">
        <v>122</v>
      </c>
      <c r="O122" s="29" t="s">
        <v>274</v>
      </c>
      <c r="P122" s="29" t="s">
        <v>0</v>
      </c>
      <c r="Q122" s="37">
        <v>1.2437670938630137</v>
      </c>
      <c r="R122" s="37">
        <v>0.21785388148333332</v>
      </c>
      <c r="S122" s="37">
        <v>0.66666666666666663</v>
      </c>
      <c r="T122" s="37">
        <v>4.3900571428571427</v>
      </c>
      <c r="U122" s="37">
        <v>6.5183447848701555</v>
      </c>
      <c r="V122" s="37">
        <v>6.75</v>
      </c>
    </row>
    <row r="123" spans="2:22" hidden="1" x14ac:dyDescent="0.25">
      <c r="B123" s="3">
        <v>1</v>
      </c>
      <c r="C123" s="3">
        <v>2</v>
      </c>
      <c r="D123" s="3">
        <v>18</v>
      </c>
      <c r="E123" s="29" t="s">
        <v>0</v>
      </c>
      <c r="F123" s="29" t="s">
        <v>233</v>
      </c>
      <c r="G123" s="20" t="s">
        <v>185</v>
      </c>
      <c r="H123" s="20" t="s">
        <v>351</v>
      </c>
      <c r="I123" s="67">
        <v>0.24439168791780819</v>
      </c>
      <c r="M123" s="29" t="s">
        <v>125</v>
      </c>
      <c r="N123" s="29" t="s">
        <v>122</v>
      </c>
      <c r="O123" s="29" t="s">
        <v>275</v>
      </c>
      <c r="P123" s="29" t="s">
        <v>0</v>
      </c>
      <c r="Q123" s="37">
        <v>1.48063918296621</v>
      </c>
      <c r="R123" s="37">
        <v>0.44726027374999994</v>
      </c>
      <c r="S123" s="37">
        <v>0.66666666666666663</v>
      </c>
      <c r="T123" s="37">
        <v>3.1154285714285717</v>
      </c>
      <c r="U123" s="37">
        <v>5.7099946948114475</v>
      </c>
      <c r="V123" s="37">
        <v>6.75</v>
      </c>
    </row>
    <row r="124" spans="2:22" hidden="1" x14ac:dyDescent="0.25">
      <c r="B124" s="3">
        <v>1</v>
      </c>
      <c r="C124" s="3">
        <v>2</v>
      </c>
      <c r="D124" s="3">
        <v>18</v>
      </c>
      <c r="E124" s="29" t="s">
        <v>0</v>
      </c>
      <c r="F124" s="29" t="s">
        <v>234</v>
      </c>
      <c r="G124" s="20" t="s">
        <v>183</v>
      </c>
      <c r="H124" s="20" t="s">
        <v>352</v>
      </c>
      <c r="I124" s="67">
        <v>0.17225048920273972</v>
      </c>
      <c r="M124" s="29" t="s">
        <v>125</v>
      </c>
      <c r="N124" s="29" t="s">
        <v>122</v>
      </c>
      <c r="O124" s="29" t="s">
        <v>322</v>
      </c>
      <c r="P124" s="29" t="s">
        <v>0</v>
      </c>
      <c r="Q124" s="37">
        <v>1.7280871710050227</v>
      </c>
      <c r="R124" s="37">
        <v>5.9452054850000012E-2</v>
      </c>
      <c r="S124" s="37">
        <v>1.8333333333333333</v>
      </c>
      <c r="T124" s="37">
        <v>2.4770285714285714</v>
      </c>
      <c r="U124" s="37">
        <v>6.0979011306169282</v>
      </c>
      <c r="V124" s="37">
        <v>6.75</v>
      </c>
    </row>
    <row r="125" spans="2:22" hidden="1" x14ac:dyDescent="0.25">
      <c r="B125" s="3">
        <v>1</v>
      </c>
      <c r="C125" s="3">
        <v>2</v>
      </c>
      <c r="D125" s="3">
        <v>18</v>
      </c>
      <c r="E125" s="29" t="s">
        <v>0</v>
      </c>
      <c r="F125" s="29" t="s">
        <v>231</v>
      </c>
      <c r="G125" s="20" t="s">
        <v>187</v>
      </c>
      <c r="H125" s="20" t="s">
        <v>353</v>
      </c>
      <c r="I125" s="67">
        <v>0.11880276805479449</v>
      </c>
      <c r="M125" s="29" t="s">
        <v>125</v>
      </c>
      <c r="N125" s="29" t="s">
        <v>123</v>
      </c>
      <c r="O125" s="29" t="s">
        <v>323</v>
      </c>
      <c r="P125" s="29" t="s">
        <v>0</v>
      </c>
      <c r="Q125" s="37">
        <v>0.67101121946803655</v>
      </c>
      <c r="R125" s="37">
        <v>5.2648401516666672E-2</v>
      </c>
      <c r="S125" s="37">
        <v>2.5</v>
      </c>
      <c r="T125" s="37">
        <v>3.1857142857142855</v>
      </c>
      <c r="U125" s="37">
        <v>6.4093739066989883</v>
      </c>
      <c r="V125" s="37">
        <v>6.75</v>
      </c>
    </row>
    <row r="126" spans="2:22" hidden="1" x14ac:dyDescent="0.25">
      <c r="B126" s="3">
        <v>1</v>
      </c>
      <c r="C126" s="3">
        <v>2</v>
      </c>
      <c r="D126" s="3">
        <v>18</v>
      </c>
      <c r="E126" s="29" t="s">
        <v>0</v>
      </c>
      <c r="F126" s="29" t="s">
        <v>235</v>
      </c>
      <c r="G126" s="20" t="s">
        <v>184</v>
      </c>
      <c r="H126" s="20" t="s">
        <v>354</v>
      </c>
      <c r="I126" s="67">
        <v>0.17977179027945206</v>
      </c>
      <c r="M126" s="29" t="s">
        <v>125</v>
      </c>
      <c r="N126" s="29" t="s">
        <v>123</v>
      </c>
      <c r="O126" s="29" t="s">
        <v>324</v>
      </c>
      <c r="P126" s="29" t="s">
        <v>0</v>
      </c>
      <c r="Q126" s="37">
        <v>9.9749741424657534E-2</v>
      </c>
      <c r="R126" s="37">
        <v>2.3378995199999995E-2</v>
      </c>
      <c r="S126" s="37">
        <v>2.5</v>
      </c>
      <c r="T126" s="37">
        <v>2.1857142857142855</v>
      </c>
      <c r="U126" s="37">
        <v>4.8088430223389427</v>
      </c>
      <c r="V126" s="37">
        <v>6.75</v>
      </c>
    </row>
    <row r="127" spans="2:22" hidden="1" x14ac:dyDescent="0.25">
      <c r="B127" s="3">
        <v>1</v>
      </c>
      <c r="C127" s="3">
        <v>2</v>
      </c>
      <c r="D127" s="3">
        <v>18</v>
      </c>
      <c r="E127" s="29" t="s">
        <v>0</v>
      </c>
      <c r="F127" s="29" t="s">
        <v>230</v>
      </c>
      <c r="G127" s="20" t="s">
        <v>189</v>
      </c>
      <c r="H127" s="20" t="s">
        <v>355</v>
      </c>
      <c r="I127" s="67">
        <v>0.10625809352054792</v>
      </c>
      <c r="M127" s="29" t="s">
        <v>125</v>
      </c>
      <c r="N127" s="29" t="s">
        <v>123</v>
      </c>
      <c r="O127" s="29" t="s">
        <v>325</v>
      </c>
      <c r="P127" s="29" t="s">
        <v>0</v>
      </c>
      <c r="Q127" s="37">
        <v>2.9610026235616441E-2</v>
      </c>
      <c r="R127" s="37">
        <v>0</v>
      </c>
      <c r="S127" s="37">
        <v>0.66666666666666663</v>
      </c>
      <c r="T127" s="37">
        <v>3.7028571428571428</v>
      </c>
      <c r="U127" s="37">
        <v>4.3991338357594261</v>
      </c>
      <c r="V127" s="37">
        <v>6.75</v>
      </c>
    </row>
    <row r="128" spans="2:22" hidden="1" x14ac:dyDescent="0.25">
      <c r="B128" s="3">
        <v>1</v>
      </c>
      <c r="C128" s="3">
        <v>2</v>
      </c>
      <c r="D128" s="3">
        <v>18</v>
      </c>
      <c r="E128" s="29" t="s">
        <v>0</v>
      </c>
      <c r="F128" s="29" t="s">
        <v>229</v>
      </c>
      <c r="G128" s="20" t="s">
        <v>188</v>
      </c>
      <c r="H128" s="20" t="s">
        <v>356</v>
      </c>
      <c r="I128" s="67">
        <v>6.2040649884931499E-2</v>
      </c>
      <c r="M128" s="29" t="s">
        <v>125</v>
      </c>
      <c r="N128" s="29" t="s">
        <v>123</v>
      </c>
      <c r="O128" s="29" t="s">
        <v>326</v>
      </c>
      <c r="P128" s="29" t="s">
        <v>205</v>
      </c>
      <c r="Q128" s="37">
        <v>0.34494177918082192</v>
      </c>
      <c r="R128" s="37">
        <v>4.7853880966666665E-2</v>
      </c>
      <c r="S128" s="37">
        <v>1.3333333333333333</v>
      </c>
      <c r="T128" s="37">
        <v>4.8194285714285723</v>
      </c>
      <c r="U128" s="37">
        <v>6.5455575649093936</v>
      </c>
      <c r="V128" s="37">
        <v>6.75</v>
      </c>
    </row>
    <row r="129" spans="2:22" hidden="1" x14ac:dyDescent="0.25">
      <c r="B129" s="3">
        <v>1</v>
      </c>
      <c r="C129" s="3">
        <v>2</v>
      </c>
      <c r="D129" s="3">
        <v>19</v>
      </c>
      <c r="E129" s="29" t="s">
        <v>0</v>
      </c>
      <c r="F129" s="29" t="s">
        <v>229</v>
      </c>
      <c r="G129" s="20" t="s">
        <v>88</v>
      </c>
      <c r="H129" s="20" t="s">
        <v>335</v>
      </c>
      <c r="I129" s="67">
        <v>0</v>
      </c>
      <c r="M129" s="29" t="s">
        <v>125</v>
      </c>
      <c r="N129" s="29" t="s">
        <v>123</v>
      </c>
      <c r="O129" s="29" t="s">
        <v>327</v>
      </c>
      <c r="P129" s="29" t="s">
        <v>0</v>
      </c>
      <c r="Q129" s="37">
        <v>0.37357609883287668</v>
      </c>
      <c r="R129" s="37">
        <v>0.23315068543333334</v>
      </c>
      <c r="S129" s="37">
        <v>1</v>
      </c>
      <c r="T129" s="37">
        <v>4.1462857142857148</v>
      </c>
      <c r="U129" s="37">
        <v>5.7530124985519242</v>
      </c>
      <c r="V129" s="37">
        <v>6.75</v>
      </c>
    </row>
    <row r="130" spans="2:22" hidden="1" x14ac:dyDescent="0.25">
      <c r="B130" s="3">
        <v>1</v>
      </c>
      <c r="C130" s="3">
        <v>2</v>
      </c>
      <c r="D130" s="3">
        <v>19</v>
      </c>
      <c r="E130" s="29" t="s">
        <v>0</v>
      </c>
      <c r="F130" s="29" t="s">
        <v>219</v>
      </c>
      <c r="G130" s="20" t="s">
        <v>186</v>
      </c>
      <c r="H130" s="20" t="s">
        <v>357</v>
      </c>
      <c r="I130" s="67">
        <v>3.7079724331506851E-2</v>
      </c>
      <c r="M130" s="29" t="s">
        <v>125</v>
      </c>
      <c r="N130" s="29" t="s">
        <v>123</v>
      </c>
      <c r="O130" s="29" t="s">
        <v>328</v>
      </c>
      <c r="P130" s="29" t="s">
        <v>0</v>
      </c>
      <c r="Q130" s="37">
        <v>0.29105325725753423</v>
      </c>
      <c r="R130" s="37">
        <v>6.3287670833333337E-2</v>
      </c>
      <c r="S130" s="37">
        <v>0.75</v>
      </c>
      <c r="T130" s="37">
        <v>4.0640000000000009</v>
      </c>
      <c r="U130" s="37">
        <v>5.1683409280908679</v>
      </c>
      <c r="V130" s="37">
        <v>6.75</v>
      </c>
    </row>
    <row r="131" spans="2:22" hidden="1" x14ac:dyDescent="0.25">
      <c r="B131" s="3">
        <v>1</v>
      </c>
      <c r="C131" s="3">
        <v>2</v>
      </c>
      <c r="D131" s="3">
        <v>19</v>
      </c>
      <c r="E131" s="29" t="s">
        <v>0</v>
      </c>
      <c r="F131" s="29" t="s">
        <v>218</v>
      </c>
      <c r="G131" s="20" t="s">
        <v>76</v>
      </c>
      <c r="H131" s="20" t="s">
        <v>358</v>
      </c>
      <c r="I131" s="67">
        <v>7.1342465753424664E-2</v>
      </c>
      <c r="M131" s="29" t="s">
        <v>125</v>
      </c>
      <c r="N131" s="29" t="s">
        <v>123</v>
      </c>
      <c r="O131" s="29" t="s">
        <v>329</v>
      </c>
      <c r="P131" s="29" t="s">
        <v>0</v>
      </c>
      <c r="Q131" s="37">
        <v>0.2860298838</v>
      </c>
      <c r="R131" s="37">
        <v>4.98630132E-2</v>
      </c>
      <c r="S131" s="37">
        <v>0.75</v>
      </c>
      <c r="T131" s="37">
        <v>4.4344000000000001</v>
      </c>
      <c r="U131" s="37">
        <v>5.5202928970000009</v>
      </c>
      <c r="V131" s="37">
        <v>6.75</v>
      </c>
    </row>
    <row r="132" spans="2:22" hidden="1" x14ac:dyDescent="0.25">
      <c r="B132" s="3">
        <v>1</v>
      </c>
      <c r="C132" s="3">
        <v>2</v>
      </c>
      <c r="D132" s="3">
        <v>19</v>
      </c>
      <c r="E132" s="29" t="s">
        <v>0</v>
      </c>
      <c r="F132" s="29" t="s">
        <v>285</v>
      </c>
      <c r="G132" s="20" t="s">
        <v>319</v>
      </c>
      <c r="H132" s="20" t="s">
        <v>359</v>
      </c>
      <c r="I132" s="67">
        <v>1.3871270406392694E-3</v>
      </c>
      <c r="M132" s="29" t="s">
        <v>125</v>
      </c>
      <c r="N132" s="29" t="s">
        <v>123</v>
      </c>
      <c r="O132" s="29" t="s">
        <v>330</v>
      </c>
      <c r="P132" s="29" t="s">
        <v>0</v>
      </c>
      <c r="Q132" s="37">
        <v>0.19070264934200909</v>
      </c>
      <c r="R132" s="37">
        <v>1.10045661E-2</v>
      </c>
      <c r="S132" s="37">
        <v>1.8333333333333333</v>
      </c>
      <c r="T132" s="37">
        <v>4.071885714285715</v>
      </c>
      <c r="U132" s="37">
        <v>6.106926263061057</v>
      </c>
      <c r="V132" s="37">
        <v>6.75</v>
      </c>
    </row>
    <row r="133" spans="2:22" hidden="1" x14ac:dyDescent="0.25">
      <c r="B133" s="3">
        <v>1</v>
      </c>
      <c r="C133" s="3">
        <v>2</v>
      </c>
      <c r="D133" s="3">
        <v>19</v>
      </c>
      <c r="E133" s="29" t="s">
        <v>0</v>
      </c>
      <c r="F133" s="29" t="s">
        <v>283</v>
      </c>
      <c r="G133" s="20" t="s">
        <v>384</v>
      </c>
      <c r="H133" s="20" t="s">
        <v>360</v>
      </c>
      <c r="I133" s="67">
        <v>1.8852682331506845E-2</v>
      </c>
      <c r="M133" s="29" t="s">
        <v>125</v>
      </c>
      <c r="N133" s="29" t="s">
        <v>123</v>
      </c>
      <c r="O133" s="29" t="s">
        <v>331</v>
      </c>
      <c r="P133" s="29" t="s">
        <v>0</v>
      </c>
      <c r="Q133" s="37">
        <v>6.0623695006392704E-2</v>
      </c>
      <c r="R133" s="37">
        <v>5.662100399999999E-3</v>
      </c>
      <c r="S133" s="37">
        <v>2.0833333333333335</v>
      </c>
      <c r="T133" s="37">
        <v>3.9314285714285719</v>
      </c>
      <c r="U133" s="37">
        <v>6.0810477001682983</v>
      </c>
      <c r="V133" s="37">
        <v>6.75</v>
      </c>
    </row>
    <row r="134" spans="2:22" hidden="1" x14ac:dyDescent="0.25">
      <c r="B134" s="3">
        <v>1</v>
      </c>
      <c r="C134" s="3">
        <v>2</v>
      </c>
      <c r="D134" s="3">
        <v>19</v>
      </c>
      <c r="E134" s="29" t="s">
        <v>0</v>
      </c>
      <c r="F134" s="29" t="s">
        <v>282</v>
      </c>
      <c r="G134" s="20" t="s">
        <v>385</v>
      </c>
      <c r="H134" s="20" t="s">
        <v>361</v>
      </c>
      <c r="I134" s="67">
        <v>0</v>
      </c>
      <c r="M134" s="29" t="s">
        <v>125</v>
      </c>
      <c r="N134" s="29" t="s">
        <v>123</v>
      </c>
      <c r="O134" s="29" t="s">
        <v>332</v>
      </c>
      <c r="P134" s="29" t="s">
        <v>0</v>
      </c>
      <c r="Q134" s="37">
        <v>0.10934075342465753</v>
      </c>
      <c r="R134" s="37">
        <v>0</v>
      </c>
      <c r="S134" s="37">
        <v>0.41666666666666669</v>
      </c>
      <c r="T134" s="37">
        <v>5.7722285714285713</v>
      </c>
      <c r="U134" s="37">
        <v>6.2982359915198947</v>
      </c>
      <c r="V134" s="37">
        <v>6.75</v>
      </c>
    </row>
    <row r="135" spans="2:22" hidden="1" x14ac:dyDescent="0.25">
      <c r="B135" s="3">
        <v>1</v>
      </c>
      <c r="C135" s="3">
        <v>2</v>
      </c>
      <c r="D135" s="3">
        <v>19</v>
      </c>
      <c r="E135" s="29" t="s">
        <v>0</v>
      </c>
      <c r="F135" s="29" t="s">
        <v>281</v>
      </c>
      <c r="G135" s="20" t="s">
        <v>386</v>
      </c>
      <c r="H135" s="20" t="s">
        <v>362</v>
      </c>
      <c r="I135" s="67">
        <v>2.0921162986301371E-2</v>
      </c>
      <c r="M135" s="29" t="s">
        <v>125</v>
      </c>
      <c r="N135" s="29" t="s">
        <v>123</v>
      </c>
      <c r="O135" s="29" t="s">
        <v>333</v>
      </c>
      <c r="P135" s="29" t="s">
        <v>0</v>
      </c>
      <c r="Q135" s="37">
        <v>0.30234254996438353</v>
      </c>
      <c r="R135" s="37">
        <v>6.1141552333333328E-2</v>
      </c>
      <c r="S135" s="37">
        <v>0.66666666666666663</v>
      </c>
      <c r="T135" s="37">
        <v>4.3900571428571427</v>
      </c>
      <c r="U135" s="37">
        <v>5.4202079118215254</v>
      </c>
      <c r="V135" s="37">
        <v>6.75</v>
      </c>
    </row>
    <row r="136" spans="2:22" hidden="1" x14ac:dyDescent="0.25">
      <c r="B136" s="3">
        <v>1</v>
      </c>
      <c r="C136" s="3">
        <v>2</v>
      </c>
      <c r="D136" s="3">
        <v>19</v>
      </c>
      <c r="E136" s="29" t="s">
        <v>0</v>
      </c>
      <c r="F136" s="29" t="s">
        <v>280</v>
      </c>
      <c r="G136" s="20" t="s">
        <v>387</v>
      </c>
      <c r="H136" s="20" t="s">
        <v>363</v>
      </c>
      <c r="I136" s="67">
        <v>2.2939518320547945E-2</v>
      </c>
      <c r="M136" s="29" t="s">
        <v>125</v>
      </c>
      <c r="N136" s="29" t="s">
        <v>123</v>
      </c>
      <c r="O136" s="29" t="s">
        <v>381</v>
      </c>
      <c r="P136" s="29" t="s">
        <v>0</v>
      </c>
      <c r="Q136" s="37">
        <v>0.54572922493150677</v>
      </c>
      <c r="R136" s="37">
        <v>0.13534246574999997</v>
      </c>
      <c r="S136" s="37">
        <v>1</v>
      </c>
      <c r="T136" s="37">
        <v>4.2354285714285727</v>
      </c>
      <c r="U136" s="37">
        <v>5.9165002621100795</v>
      </c>
      <c r="V136" s="37">
        <v>6.75</v>
      </c>
    </row>
    <row r="137" spans="2:22" hidden="1" x14ac:dyDescent="0.25">
      <c r="B137" s="3">
        <v>1</v>
      </c>
      <c r="C137" s="3">
        <v>2</v>
      </c>
      <c r="D137" s="3">
        <v>19</v>
      </c>
      <c r="E137" s="29" t="s">
        <v>0</v>
      </c>
      <c r="F137" s="29" t="s">
        <v>279</v>
      </c>
      <c r="G137" s="20" t="s">
        <v>388</v>
      </c>
      <c r="H137" s="20" t="s">
        <v>364</v>
      </c>
      <c r="I137" s="67">
        <v>7.1301369872146117E-3</v>
      </c>
      <c r="M137" s="29" t="s">
        <v>125</v>
      </c>
      <c r="N137" s="29" t="s">
        <v>123</v>
      </c>
      <c r="O137" s="29" t="s">
        <v>382</v>
      </c>
      <c r="P137" s="29" t="s">
        <v>0</v>
      </c>
      <c r="Q137" s="37">
        <v>0.28442327355844743</v>
      </c>
      <c r="R137" s="37">
        <v>1.6301369700000002E-2</v>
      </c>
      <c r="S137" s="37">
        <v>1.5</v>
      </c>
      <c r="T137" s="37">
        <v>1.3570285714285715</v>
      </c>
      <c r="U137" s="37">
        <v>3.1577532146870193</v>
      </c>
      <c r="V137" s="37">
        <v>6.75</v>
      </c>
    </row>
    <row r="138" spans="2:22" x14ac:dyDescent="0.25">
      <c r="B138" s="3">
        <v>1</v>
      </c>
      <c r="C138" s="3">
        <v>2</v>
      </c>
      <c r="D138" s="3">
        <v>19</v>
      </c>
      <c r="E138" s="29" t="s">
        <v>0</v>
      </c>
      <c r="F138" s="29" t="s">
        <v>278</v>
      </c>
      <c r="G138" s="20" t="s">
        <v>389</v>
      </c>
      <c r="H138" s="20" t="s">
        <v>365</v>
      </c>
      <c r="I138" s="67">
        <v>9.6328767123287674E-3</v>
      </c>
    </row>
    <row r="139" spans="2:22" x14ac:dyDescent="0.25">
      <c r="B139" s="3">
        <v>1</v>
      </c>
      <c r="C139" s="3">
        <v>2</v>
      </c>
      <c r="D139" s="3">
        <v>19</v>
      </c>
      <c r="E139" s="29" t="s">
        <v>0</v>
      </c>
      <c r="F139" s="29" t="s">
        <v>277</v>
      </c>
      <c r="G139" s="20" t="s">
        <v>390</v>
      </c>
      <c r="H139" s="20" t="s">
        <v>366</v>
      </c>
      <c r="I139" s="67">
        <v>0</v>
      </c>
    </row>
    <row r="140" spans="2:22" x14ac:dyDescent="0.25">
      <c r="B140" s="3">
        <v>1</v>
      </c>
      <c r="C140" s="3">
        <v>2</v>
      </c>
      <c r="D140" s="3">
        <v>20</v>
      </c>
      <c r="E140" s="29" t="s">
        <v>0</v>
      </c>
      <c r="F140" s="29" t="s">
        <v>277</v>
      </c>
      <c r="G140" s="20" t="s">
        <v>88</v>
      </c>
      <c r="H140" s="20" t="s">
        <v>335</v>
      </c>
      <c r="I140" s="67">
        <v>0</v>
      </c>
    </row>
    <row r="141" spans="2:22" x14ac:dyDescent="0.25">
      <c r="B141" s="3">
        <v>1</v>
      </c>
      <c r="C141" s="3">
        <v>2</v>
      </c>
      <c r="D141" s="3">
        <v>20</v>
      </c>
      <c r="E141" s="29" t="s">
        <v>0</v>
      </c>
      <c r="F141" s="29" t="s">
        <v>59</v>
      </c>
      <c r="G141" s="20" t="s">
        <v>391</v>
      </c>
      <c r="H141" s="20" t="s">
        <v>367</v>
      </c>
      <c r="I141" s="67">
        <v>0.10934075342465753</v>
      </c>
    </row>
    <row r="142" spans="2:22" x14ac:dyDescent="0.25">
      <c r="B142" s="3">
        <v>1</v>
      </c>
      <c r="C142" s="3">
        <v>2</v>
      </c>
      <c r="D142" s="3">
        <v>20</v>
      </c>
      <c r="E142" s="29" t="s">
        <v>0</v>
      </c>
      <c r="F142" s="29" t="s">
        <v>217</v>
      </c>
      <c r="G142" s="20" t="s">
        <v>60</v>
      </c>
      <c r="H142" s="20" t="s">
        <v>368</v>
      </c>
      <c r="I142" s="67">
        <v>0.16978342957808218</v>
      </c>
    </row>
    <row r="143" spans="2:22" x14ac:dyDescent="0.25">
      <c r="B143" s="3">
        <v>1</v>
      </c>
      <c r="C143" s="3">
        <v>2</v>
      </c>
      <c r="D143" s="3">
        <v>20</v>
      </c>
      <c r="E143" s="29" t="s">
        <v>0</v>
      </c>
      <c r="F143" s="29" t="s">
        <v>198</v>
      </c>
      <c r="G143" s="20" t="s">
        <v>63</v>
      </c>
      <c r="H143" s="20" t="s">
        <v>369</v>
      </c>
      <c r="I143" s="67">
        <v>0.13255912038630135</v>
      </c>
    </row>
    <row r="144" spans="2:22" x14ac:dyDescent="0.25">
      <c r="B144" s="3">
        <v>1</v>
      </c>
      <c r="C144" s="3">
        <v>2</v>
      </c>
      <c r="D144" s="3">
        <v>20</v>
      </c>
      <c r="E144" s="29" t="s">
        <v>0</v>
      </c>
      <c r="F144" s="29" t="s">
        <v>199</v>
      </c>
      <c r="G144" s="20" t="s">
        <v>66</v>
      </c>
      <c r="H144" s="20" t="s">
        <v>370</v>
      </c>
      <c r="I144" s="67">
        <v>0.16694250215342465</v>
      </c>
    </row>
    <row r="145" spans="2:9" x14ac:dyDescent="0.25">
      <c r="B145" s="3">
        <v>1</v>
      </c>
      <c r="C145" s="3">
        <v>2</v>
      </c>
      <c r="D145" s="3">
        <v>20</v>
      </c>
      <c r="E145" s="29" t="s">
        <v>0</v>
      </c>
      <c r="F145" s="29" t="s">
        <v>57</v>
      </c>
      <c r="G145" s="20" t="s">
        <v>58</v>
      </c>
      <c r="H145" s="20" t="s">
        <v>371</v>
      </c>
      <c r="I145" s="67">
        <v>0.21755842067214609</v>
      </c>
    </row>
    <row r="146" spans="2:9" x14ac:dyDescent="0.25">
      <c r="B146" s="3">
        <v>1</v>
      </c>
      <c r="C146" s="3">
        <v>2</v>
      </c>
      <c r="D146" s="3">
        <v>21</v>
      </c>
      <c r="E146" s="29" t="s">
        <v>0</v>
      </c>
      <c r="F146" s="29" t="s">
        <v>57</v>
      </c>
      <c r="G146" s="20" t="s">
        <v>88</v>
      </c>
      <c r="H146" s="20" t="s">
        <v>335</v>
      </c>
      <c r="I146" s="67">
        <v>0</v>
      </c>
    </row>
    <row r="147" spans="2:9" x14ac:dyDescent="0.25">
      <c r="B147" s="3">
        <v>1</v>
      </c>
      <c r="C147" s="3">
        <v>2</v>
      </c>
      <c r="D147" s="3">
        <v>21</v>
      </c>
      <c r="E147" s="29" t="s">
        <v>0</v>
      </c>
      <c r="F147" s="29" t="s">
        <v>210</v>
      </c>
      <c r="G147" s="20" t="s">
        <v>67</v>
      </c>
      <c r="H147" s="20" t="s">
        <v>372</v>
      </c>
      <c r="I147" s="67">
        <v>0.16122830210593608</v>
      </c>
    </row>
    <row r="148" spans="2:9" x14ac:dyDescent="0.25">
      <c r="B148" s="3">
        <v>1</v>
      </c>
      <c r="C148" s="3">
        <v>2</v>
      </c>
      <c r="D148" s="3">
        <v>21</v>
      </c>
      <c r="E148" s="29" t="s">
        <v>0</v>
      </c>
      <c r="F148" s="29" t="s">
        <v>211</v>
      </c>
      <c r="G148" s="20" t="s">
        <v>74</v>
      </c>
      <c r="H148" s="20" t="s">
        <v>373</v>
      </c>
      <c r="I148" s="67">
        <v>0.10010824824474886</v>
      </c>
    </row>
    <row r="149" spans="2:9" x14ac:dyDescent="0.25">
      <c r="B149" s="3">
        <v>1</v>
      </c>
      <c r="C149" s="3">
        <v>2</v>
      </c>
      <c r="D149" s="3">
        <v>21</v>
      </c>
      <c r="E149" s="29" t="s">
        <v>0</v>
      </c>
      <c r="F149" s="29" t="s">
        <v>206</v>
      </c>
      <c r="G149" s="20" t="s">
        <v>69</v>
      </c>
      <c r="H149" s="20" t="s">
        <v>374</v>
      </c>
      <c r="I149" s="67">
        <v>7.5298572977625558E-2</v>
      </c>
    </row>
    <row r="150" spans="2:9" x14ac:dyDescent="0.25">
      <c r="B150" s="3">
        <v>1</v>
      </c>
      <c r="C150" s="3">
        <v>2</v>
      </c>
      <c r="D150" s="3">
        <v>21</v>
      </c>
      <c r="E150" s="29" t="s">
        <v>0</v>
      </c>
      <c r="F150" s="29" t="s">
        <v>207</v>
      </c>
      <c r="G150" s="20" t="s">
        <v>75</v>
      </c>
      <c r="H150" s="20" t="s">
        <v>375</v>
      </c>
      <c r="I150" s="67">
        <v>7.8903438637442938E-2</v>
      </c>
    </row>
    <row r="151" spans="2:9" x14ac:dyDescent="0.25">
      <c r="B151" s="3">
        <v>1</v>
      </c>
      <c r="C151" s="3">
        <v>2</v>
      </c>
      <c r="D151" s="3">
        <v>21</v>
      </c>
      <c r="E151" s="29" t="s">
        <v>0</v>
      </c>
      <c r="F151" s="29" t="s">
        <v>216</v>
      </c>
      <c r="G151" s="20" t="s">
        <v>77</v>
      </c>
      <c r="H151" s="20" t="s">
        <v>376</v>
      </c>
      <c r="I151" s="67">
        <v>3.0113013698630137E-2</v>
      </c>
    </row>
    <row r="152" spans="2:9" x14ac:dyDescent="0.25">
      <c r="B152" s="3">
        <v>2</v>
      </c>
      <c r="C152" s="3">
        <v>0</v>
      </c>
      <c r="D152" s="3">
        <v>0</v>
      </c>
      <c r="E152" s="29" t="s">
        <v>0</v>
      </c>
      <c r="F152" s="29" t="s">
        <v>223</v>
      </c>
      <c r="G152" s="20" t="s">
        <v>88</v>
      </c>
      <c r="H152" s="20" t="s">
        <v>335</v>
      </c>
      <c r="I152" s="67">
        <v>0</v>
      </c>
    </row>
    <row r="153" spans="2:9" x14ac:dyDescent="0.25">
      <c r="B153" s="3">
        <v>2</v>
      </c>
      <c r="C153" s="3">
        <v>0</v>
      </c>
      <c r="D153" s="3">
        <v>0</v>
      </c>
      <c r="E153" s="29" t="s">
        <v>0</v>
      </c>
      <c r="F153" s="29" t="s">
        <v>224</v>
      </c>
      <c r="G153" s="20" t="s">
        <v>65</v>
      </c>
      <c r="H153" s="20" t="s">
        <v>336</v>
      </c>
      <c r="I153" s="67">
        <v>0.62421917799452042</v>
      </c>
    </row>
    <row r="154" spans="2:9" x14ac:dyDescent="0.25">
      <c r="B154" s="3">
        <v>2</v>
      </c>
      <c r="C154" s="3">
        <v>0</v>
      </c>
      <c r="D154" s="3">
        <v>0</v>
      </c>
      <c r="E154" s="29" t="s">
        <v>0</v>
      </c>
      <c r="F154" s="29" t="s">
        <v>225</v>
      </c>
      <c r="G154" s="20" t="s">
        <v>72</v>
      </c>
      <c r="H154" s="20" t="s">
        <v>337</v>
      </c>
      <c r="I154" s="67">
        <v>0.3094879332388128</v>
      </c>
    </row>
    <row r="155" spans="2:9" x14ac:dyDescent="0.25">
      <c r="B155" s="3">
        <v>2</v>
      </c>
      <c r="C155" s="3">
        <v>0</v>
      </c>
      <c r="D155" s="3">
        <v>0</v>
      </c>
      <c r="E155" s="29" t="s">
        <v>0</v>
      </c>
      <c r="F155" s="29" t="s">
        <v>201</v>
      </c>
      <c r="G155" s="20" t="s">
        <v>62</v>
      </c>
      <c r="H155" s="20" t="s">
        <v>338</v>
      </c>
      <c r="I155" s="67">
        <v>0.64156347031963479</v>
      </c>
    </row>
    <row r="156" spans="2:9" x14ac:dyDescent="0.25">
      <c r="B156" s="3">
        <v>2</v>
      </c>
      <c r="C156" s="3">
        <v>0</v>
      </c>
      <c r="D156" s="3">
        <v>0</v>
      </c>
      <c r="E156" s="29" t="s">
        <v>0</v>
      </c>
      <c r="F156" s="29" t="s">
        <v>202</v>
      </c>
      <c r="G156" s="20" t="s">
        <v>61</v>
      </c>
      <c r="H156" s="20" t="s">
        <v>339</v>
      </c>
      <c r="I156" s="67">
        <v>0.52235128535753417</v>
      </c>
    </row>
    <row r="157" spans="2:9" x14ac:dyDescent="0.25">
      <c r="B157" s="3">
        <v>2</v>
      </c>
      <c r="C157" s="3">
        <v>0</v>
      </c>
      <c r="D157" s="3">
        <v>0</v>
      </c>
      <c r="E157" s="29" t="s">
        <v>0</v>
      </c>
      <c r="F157" s="29" t="s">
        <v>227</v>
      </c>
      <c r="G157" s="20" t="s">
        <v>73</v>
      </c>
      <c r="H157" s="20" t="s">
        <v>340</v>
      </c>
      <c r="I157" s="67">
        <v>0.31054233898630135</v>
      </c>
    </row>
    <row r="158" spans="2:9" x14ac:dyDescent="0.25">
      <c r="B158" s="3">
        <v>2</v>
      </c>
      <c r="C158" s="3">
        <v>0</v>
      </c>
      <c r="D158" s="3">
        <v>1</v>
      </c>
      <c r="E158" s="29" t="s">
        <v>0</v>
      </c>
      <c r="F158" s="29" t="s">
        <v>227</v>
      </c>
      <c r="G158" s="20" t="s">
        <v>88</v>
      </c>
      <c r="H158" s="20" t="s">
        <v>335</v>
      </c>
      <c r="I158" s="67">
        <v>0</v>
      </c>
    </row>
    <row r="159" spans="2:9" x14ac:dyDescent="0.25">
      <c r="B159" s="3">
        <v>2</v>
      </c>
      <c r="C159" s="3">
        <v>0</v>
      </c>
      <c r="D159" s="3">
        <v>1</v>
      </c>
      <c r="E159" s="29" t="s">
        <v>0</v>
      </c>
      <c r="F159" s="29" t="s">
        <v>222</v>
      </c>
      <c r="G159" s="20" t="s">
        <v>71</v>
      </c>
      <c r="H159" s="20" t="s">
        <v>341</v>
      </c>
      <c r="I159" s="67">
        <v>0.33192078615068482</v>
      </c>
    </row>
    <row r="160" spans="2:9" x14ac:dyDescent="0.25">
      <c r="B160" s="3">
        <v>2</v>
      </c>
      <c r="C160" s="3">
        <v>0</v>
      </c>
      <c r="D160" s="3">
        <v>1</v>
      </c>
      <c r="E160" s="29" t="s">
        <v>0</v>
      </c>
      <c r="F160" s="29" t="s">
        <v>197</v>
      </c>
      <c r="G160" s="20" t="s">
        <v>78</v>
      </c>
      <c r="H160" s="20" t="s">
        <v>342</v>
      </c>
      <c r="I160" s="67">
        <v>0.19903972602739725</v>
      </c>
    </row>
    <row r="161" spans="2:9" x14ac:dyDescent="0.25">
      <c r="B161" s="3">
        <v>2</v>
      </c>
      <c r="C161" s="3">
        <v>0</v>
      </c>
      <c r="D161" s="3">
        <v>1</v>
      </c>
      <c r="E161" s="29" t="s">
        <v>0</v>
      </c>
      <c r="F161" s="29" t="s">
        <v>293</v>
      </c>
      <c r="G161" s="20" t="s">
        <v>377</v>
      </c>
      <c r="H161" s="20" t="s">
        <v>343</v>
      </c>
      <c r="I161" s="67">
        <v>0.13018185162739723</v>
      </c>
    </row>
    <row r="162" spans="2:9" x14ac:dyDescent="0.25">
      <c r="B162" s="3">
        <v>2</v>
      </c>
      <c r="C162" s="3">
        <v>0</v>
      </c>
      <c r="D162" s="3">
        <v>1</v>
      </c>
      <c r="E162" s="29" t="s">
        <v>0</v>
      </c>
      <c r="F162" s="29" t="s">
        <v>298</v>
      </c>
      <c r="G162" s="20" t="s">
        <v>378</v>
      </c>
      <c r="H162" s="20" t="s">
        <v>344</v>
      </c>
      <c r="I162" s="67">
        <v>0.17885771809315065</v>
      </c>
    </row>
    <row r="163" spans="2:9" x14ac:dyDescent="0.25">
      <c r="B163" s="3">
        <v>2</v>
      </c>
      <c r="C163" s="3">
        <v>0</v>
      </c>
      <c r="D163" s="3">
        <v>2</v>
      </c>
      <c r="E163" s="29" t="s">
        <v>0</v>
      </c>
      <c r="F163" s="29" t="s">
        <v>298</v>
      </c>
      <c r="G163" s="20" t="s">
        <v>88</v>
      </c>
      <c r="H163" s="20" t="s">
        <v>335</v>
      </c>
      <c r="I163" s="67">
        <v>0</v>
      </c>
    </row>
    <row r="164" spans="2:9" x14ac:dyDescent="0.25">
      <c r="B164" s="3">
        <v>2</v>
      </c>
      <c r="C164" s="3">
        <v>0</v>
      </c>
      <c r="D164" s="3">
        <v>2</v>
      </c>
      <c r="E164" s="29" t="s">
        <v>0</v>
      </c>
      <c r="F164" s="29" t="s">
        <v>294</v>
      </c>
      <c r="G164" s="20" t="s">
        <v>379</v>
      </c>
      <c r="H164" s="20" t="s">
        <v>345</v>
      </c>
      <c r="I164" s="67">
        <v>0.16408889538904112</v>
      </c>
    </row>
    <row r="165" spans="2:9" x14ac:dyDescent="0.25">
      <c r="B165" s="3">
        <v>2</v>
      </c>
      <c r="C165" s="3">
        <v>0</v>
      </c>
      <c r="D165" s="3">
        <v>2</v>
      </c>
      <c r="E165" s="29" t="s">
        <v>0</v>
      </c>
      <c r="F165" s="29" t="s">
        <v>0</v>
      </c>
      <c r="G165" s="20" t="s">
        <v>383</v>
      </c>
      <c r="H165" s="20" t="s">
        <v>346</v>
      </c>
      <c r="I165" s="67">
        <v>8.569996659315067E-2</v>
      </c>
    </row>
    <row r="166" spans="2:9" x14ac:dyDescent="0.25">
      <c r="B166" s="3">
        <v>2</v>
      </c>
      <c r="C166" s="3">
        <v>0</v>
      </c>
      <c r="D166" s="3">
        <v>3</v>
      </c>
      <c r="E166" s="29" t="s">
        <v>0</v>
      </c>
      <c r="F166" s="29" t="s">
        <v>0</v>
      </c>
      <c r="G166" s="20" t="s">
        <v>88</v>
      </c>
      <c r="H166" s="20" t="s">
        <v>335</v>
      </c>
      <c r="I166" s="67">
        <v>0</v>
      </c>
    </row>
    <row r="167" spans="2:9" x14ac:dyDescent="0.25">
      <c r="B167" s="3">
        <v>2</v>
      </c>
      <c r="C167" s="3">
        <v>0</v>
      </c>
      <c r="D167" s="3">
        <v>3</v>
      </c>
      <c r="E167" s="29" t="s">
        <v>0</v>
      </c>
      <c r="F167" s="29" t="s">
        <v>204</v>
      </c>
      <c r="G167" s="20" t="s">
        <v>56</v>
      </c>
      <c r="H167" s="20" t="s">
        <v>347</v>
      </c>
      <c r="I167" s="67">
        <v>0.79987642982876717</v>
      </c>
    </row>
    <row r="168" spans="2:9" x14ac:dyDescent="0.25">
      <c r="B168" s="3">
        <v>2</v>
      </c>
      <c r="C168" s="3">
        <v>0</v>
      </c>
      <c r="D168" s="3">
        <v>3</v>
      </c>
      <c r="E168" s="29" t="s">
        <v>0</v>
      </c>
      <c r="F168" s="29" t="s">
        <v>205</v>
      </c>
      <c r="G168" s="20" t="s">
        <v>64</v>
      </c>
      <c r="H168" s="20" t="s">
        <v>348</v>
      </c>
      <c r="I168" s="67">
        <v>0.47060212746575342</v>
      </c>
    </row>
    <row r="169" spans="2:9" x14ac:dyDescent="0.25">
      <c r="B169" s="3">
        <v>2</v>
      </c>
      <c r="C169" s="3">
        <v>0</v>
      </c>
      <c r="D169" s="3">
        <v>3</v>
      </c>
      <c r="E169" s="29" t="s">
        <v>0</v>
      </c>
      <c r="F169" s="29" t="s">
        <v>209</v>
      </c>
      <c r="G169" s="20" t="s">
        <v>70</v>
      </c>
      <c r="H169" s="20" t="s">
        <v>349</v>
      </c>
      <c r="I169" s="67">
        <v>0.3100284996826484</v>
      </c>
    </row>
    <row r="170" spans="2:9" x14ac:dyDescent="0.25">
      <c r="B170" s="3">
        <v>2</v>
      </c>
      <c r="C170" s="3">
        <v>0</v>
      </c>
      <c r="D170" s="3">
        <v>3</v>
      </c>
      <c r="E170" s="29" t="s">
        <v>0</v>
      </c>
      <c r="F170" s="29" t="s">
        <v>232</v>
      </c>
      <c r="G170" s="20" t="s">
        <v>190</v>
      </c>
      <c r="H170" s="20" t="s">
        <v>350</v>
      </c>
      <c r="I170" s="67">
        <v>0.10879662802191779</v>
      </c>
    </row>
    <row r="171" spans="2:9" x14ac:dyDescent="0.25">
      <c r="B171" s="3">
        <v>2</v>
      </c>
      <c r="C171" s="3">
        <v>0</v>
      </c>
      <c r="D171" s="3">
        <v>4</v>
      </c>
      <c r="E171" s="29" t="s">
        <v>0</v>
      </c>
      <c r="F171" s="29" t="s">
        <v>232</v>
      </c>
      <c r="G171" s="20" t="s">
        <v>88</v>
      </c>
      <c r="H171" s="20" t="s">
        <v>335</v>
      </c>
      <c r="I171" s="67">
        <v>0</v>
      </c>
    </row>
    <row r="172" spans="2:9" x14ac:dyDescent="0.25">
      <c r="B172" s="3">
        <v>2</v>
      </c>
      <c r="C172" s="3">
        <v>0</v>
      </c>
      <c r="D172" s="3">
        <v>4</v>
      </c>
      <c r="E172" s="29" t="s">
        <v>0</v>
      </c>
      <c r="F172" s="29" t="s">
        <v>233</v>
      </c>
      <c r="G172" s="20" t="s">
        <v>185</v>
      </c>
      <c r="H172" s="20" t="s">
        <v>351</v>
      </c>
      <c r="I172" s="67">
        <v>0.97862932422739712</v>
      </c>
    </row>
    <row r="173" spans="2:9" x14ac:dyDescent="0.25">
      <c r="B173" s="3">
        <v>2</v>
      </c>
      <c r="C173" s="3">
        <v>0</v>
      </c>
      <c r="D173" s="3">
        <v>4</v>
      </c>
      <c r="E173" s="29" t="s">
        <v>0</v>
      </c>
      <c r="F173" s="29" t="s">
        <v>234</v>
      </c>
      <c r="G173" s="20" t="s">
        <v>183</v>
      </c>
      <c r="H173" s="20" t="s">
        <v>352</v>
      </c>
      <c r="I173" s="67">
        <v>0.761054449026484</v>
      </c>
    </row>
    <row r="174" spans="2:9" x14ac:dyDescent="0.25">
      <c r="B174" s="3">
        <v>2</v>
      </c>
      <c r="C174" s="3">
        <v>0</v>
      </c>
      <c r="D174" s="3">
        <v>5</v>
      </c>
      <c r="E174" s="29" t="s">
        <v>0</v>
      </c>
      <c r="F174" s="29" t="s">
        <v>234</v>
      </c>
      <c r="G174" s="20" t="s">
        <v>88</v>
      </c>
      <c r="H174" s="20" t="s">
        <v>335</v>
      </c>
      <c r="I174" s="67">
        <v>0</v>
      </c>
    </row>
    <row r="175" spans="2:9" x14ac:dyDescent="0.25">
      <c r="B175" s="3">
        <v>2</v>
      </c>
      <c r="C175" s="3">
        <v>0</v>
      </c>
      <c r="D175" s="3">
        <v>5</v>
      </c>
      <c r="E175" s="29" t="s">
        <v>0</v>
      </c>
      <c r="F175" s="29" t="s">
        <v>231</v>
      </c>
      <c r="G175" s="20" t="s">
        <v>187</v>
      </c>
      <c r="H175" s="20" t="s">
        <v>353</v>
      </c>
      <c r="I175" s="67">
        <v>0.57002481980136988</v>
      </c>
    </row>
    <row r="176" spans="2:9" x14ac:dyDescent="0.25">
      <c r="B176" s="3">
        <v>2</v>
      </c>
      <c r="C176" s="3">
        <v>0</v>
      </c>
      <c r="D176" s="3">
        <v>5</v>
      </c>
      <c r="E176" s="29" t="s">
        <v>0</v>
      </c>
      <c r="F176" s="29" t="s">
        <v>235</v>
      </c>
      <c r="G176" s="20" t="s">
        <v>184</v>
      </c>
      <c r="H176" s="20" t="s">
        <v>354</v>
      </c>
      <c r="I176" s="67">
        <v>0.65250501656986304</v>
      </c>
    </row>
    <row r="177" spans="2:9" x14ac:dyDescent="0.25">
      <c r="B177" s="3">
        <v>2</v>
      </c>
      <c r="C177" s="3">
        <v>0</v>
      </c>
      <c r="D177" s="3">
        <v>5</v>
      </c>
      <c r="E177" s="29" t="s">
        <v>0</v>
      </c>
      <c r="F177" s="29" t="s">
        <v>230</v>
      </c>
      <c r="G177" s="20" t="s">
        <v>189</v>
      </c>
      <c r="H177" s="20" t="s">
        <v>355</v>
      </c>
      <c r="I177" s="67">
        <v>0.40023881892739721</v>
      </c>
    </row>
    <row r="178" spans="2:9" x14ac:dyDescent="0.25">
      <c r="B178" s="3">
        <v>2</v>
      </c>
      <c r="C178" s="3">
        <v>0</v>
      </c>
      <c r="D178" s="3">
        <v>6</v>
      </c>
      <c r="E178" s="29" t="s">
        <v>0</v>
      </c>
      <c r="F178" s="29" t="s">
        <v>230</v>
      </c>
      <c r="G178" s="20" t="s">
        <v>88</v>
      </c>
      <c r="H178" s="20" t="s">
        <v>335</v>
      </c>
      <c r="I178" s="67">
        <v>0</v>
      </c>
    </row>
    <row r="179" spans="2:9" x14ac:dyDescent="0.25">
      <c r="B179" s="3">
        <v>2</v>
      </c>
      <c r="C179" s="3">
        <v>0</v>
      </c>
      <c r="D179" s="3">
        <v>6</v>
      </c>
      <c r="E179" s="29" t="s">
        <v>0</v>
      </c>
      <c r="F179" s="29" t="s">
        <v>229</v>
      </c>
      <c r="G179" s="20" t="s">
        <v>188</v>
      </c>
      <c r="H179" s="20" t="s">
        <v>356</v>
      </c>
      <c r="I179" s="67">
        <v>0.33125275563561646</v>
      </c>
    </row>
    <row r="180" spans="2:9" x14ac:dyDescent="0.25">
      <c r="B180" s="3">
        <v>2</v>
      </c>
      <c r="C180" s="3">
        <v>0</v>
      </c>
      <c r="D180" s="3">
        <v>6</v>
      </c>
      <c r="E180" s="29" t="s">
        <v>0</v>
      </c>
      <c r="F180" s="29" t="s">
        <v>219</v>
      </c>
      <c r="G180" s="20" t="s">
        <v>186</v>
      </c>
      <c r="H180" s="20" t="s">
        <v>357</v>
      </c>
      <c r="I180" s="67">
        <v>0.25238134948219176</v>
      </c>
    </row>
    <row r="181" spans="2:9" x14ac:dyDescent="0.25">
      <c r="B181" s="3">
        <v>2</v>
      </c>
      <c r="C181" s="3">
        <v>0</v>
      </c>
      <c r="D181" s="3">
        <v>6</v>
      </c>
      <c r="E181" s="29" t="s">
        <v>0</v>
      </c>
      <c r="F181" s="29" t="s">
        <v>218</v>
      </c>
      <c r="G181" s="20" t="s">
        <v>76</v>
      </c>
      <c r="H181" s="20" t="s">
        <v>358</v>
      </c>
      <c r="I181" s="67">
        <v>0.32334246575342468</v>
      </c>
    </row>
    <row r="182" spans="2:9" x14ac:dyDescent="0.25">
      <c r="B182" s="3">
        <v>2</v>
      </c>
      <c r="C182" s="3">
        <v>0</v>
      </c>
      <c r="D182" s="3">
        <v>6</v>
      </c>
      <c r="E182" s="29" t="s">
        <v>0</v>
      </c>
      <c r="F182" s="29" t="s">
        <v>285</v>
      </c>
      <c r="G182" s="20" t="s">
        <v>319</v>
      </c>
      <c r="H182" s="20" t="s">
        <v>359</v>
      </c>
      <c r="I182" s="67">
        <v>5.409795458493151E-2</v>
      </c>
    </row>
    <row r="183" spans="2:9" x14ac:dyDescent="0.25">
      <c r="B183" s="3">
        <v>2</v>
      </c>
      <c r="C183" s="3">
        <v>0</v>
      </c>
      <c r="D183" s="3">
        <v>6</v>
      </c>
      <c r="E183" s="29" t="s">
        <v>0</v>
      </c>
      <c r="F183" s="29" t="s">
        <v>283</v>
      </c>
      <c r="G183" s="20" t="s">
        <v>384</v>
      </c>
      <c r="H183" s="20" t="s">
        <v>360</v>
      </c>
      <c r="I183" s="67">
        <v>7.8552843047945201E-2</v>
      </c>
    </row>
    <row r="184" spans="2:9" x14ac:dyDescent="0.25">
      <c r="B184" s="3">
        <v>2</v>
      </c>
      <c r="C184" s="3">
        <v>0</v>
      </c>
      <c r="D184" s="3">
        <v>6</v>
      </c>
      <c r="E184" s="29" t="s">
        <v>0</v>
      </c>
      <c r="F184" s="29" t="s">
        <v>282</v>
      </c>
      <c r="G184" s="20" t="s">
        <v>385</v>
      </c>
      <c r="H184" s="20" t="s">
        <v>361</v>
      </c>
      <c r="I184" s="67">
        <v>0</v>
      </c>
    </row>
    <row r="185" spans="2:9" x14ac:dyDescent="0.25">
      <c r="B185" s="3">
        <v>2</v>
      </c>
      <c r="C185" s="3">
        <v>0</v>
      </c>
      <c r="D185" s="3">
        <v>6</v>
      </c>
      <c r="E185" s="29" t="s">
        <v>0</v>
      </c>
      <c r="F185" s="29" t="s">
        <v>281</v>
      </c>
      <c r="G185" s="20" t="s">
        <v>386</v>
      </c>
      <c r="H185" s="20" t="s">
        <v>362</v>
      </c>
      <c r="I185" s="67">
        <v>6.8342465755251144E-2</v>
      </c>
    </row>
    <row r="186" spans="2:9" x14ac:dyDescent="0.25">
      <c r="B186" s="3">
        <v>2</v>
      </c>
      <c r="C186" s="3">
        <v>0</v>
      </c>
      <c r="D186" s="3">
        <v>7</v>
      </c>
      <c r="E186" s="29" t="s">
        <v>0</v>
      </c>
      <c r="F186" s="29" t="s">
        <v>281</v>
      </c>
      <c r="G186" s="20" t="s">
        <v>88</v>
      </c>
      <c r="H186" s="20" t="s">
        <v>335</v>
      </c>
      <c r="I186" s="67">
        <v>0</v>
      </c>
    </row>
    <row r="187" spans="2:9" x14ac:dyDescent="0.25">
      <c r="B187" s="3">
        <v>2</v>
      </c>
      <c r="C187" s="3">
        <v>0</v>
      </c>
      <c r="D187" s="3">
        <v>7</v>
      </c>
      <c r="E187" s="29" t="s">
        <v>0</v>
      </c>
      <c r="F187" s="29" t="s">
        <v>280</v>
      </c>
      <c r="G187" s="20" t="s">
        <v>387</v>
      </c>
      <c r="H187" s="20" t="s">
        <v>363</v>
      </c>
      <c r="I187" s="67">
        <v>0.14528361603013701</v>
      </c>
    </row>
    <row r="188" spans="2:9" x14ac:dyDescent="0.25">
      <c r="B188" s="3">
        <v>2</v>
      </c>
      <c r="C188" s="3">
        <v>0</v>
      </c>
      <c r="D188" s="3">
        <v>7</v>
      </c>
      <c r="E188" s="29" t="s">
        <v>0</v>
      </c>
      <c r="F188" s="29" t="s">
        <v>279</v>
      </c>
      <c r="G188" s="20" t="s">
        <v>388</v>
      </c>
      <c r="H188" s="20" t="s">
        <v>364</v>
      </c>
      <c r="I188" s="67">
        <v>2.5464774954337903E-2</v>
      </c>
    </row>
    <row r="189" spans="2:9" x14ac:dyDescent="0.25">
      <c r="B189" s="3">
        <v>2</v>
      </c>
      <c r="C189" s="3">
        <v>0</v>
      </c>
      <c r="D189" s="3">
        <v>7</v>
      </c>
      <c r="E189" s="29" t="s">
        <v>0</v>
      </c>
      <c r="F189" s="29" t="s">
        <v>278</v>
      </c>
      <c r="G189" s="20" t="s">
        <v>389</v>
      </c>
      <c r="H189" s="20" t="s">
        <v>365</v>
      </c>
      <c r="I189" s="67">
        <v>6.9570776255707761E-2</v>
      </c>
    </row>
    <row r="190" spans="2:9" x14ac:dyDescent="0.25">
      <c r="B190" s="3">
        <v>2</v>
      </c>
      <c r="C190" s="3">
        <v>0</v>
      </c>
      <c r="D190" s="3">
        <v>7</v>
      </c>
      <c r="E190" s="29" t="s">
        <v>0</v>
      </c>
      <c r="F190" s="29" t="s">
        <v>277</v>
      </c>
      <c r="G190" s="20" t="s">
        <v>390</v>
      </c>
      <c r="H190" s="20" t="s">
        <v>366</v>
      </c>
      <c r="I190" s="67">
        <v>0</v>
      </c>
    </row>
    <row r="191" spans="2:9" x14ac:dyDescent="0.25">
      <c r="B191" s="3">
        <v>2</v>
      </c>
      <c r="C191" s="3">
        <v>0</v>
      </c>
      <c r="D191" s="3">
        <v>7</v>
      </c>
      <c r="E191" s="29" t="s">
        <v>0</v>
      </c>
      <c r="F191" s="29" t="s">
        <v>59</v>
      </c>
      <c r="G191" s="20" t="s">
        <v>391</v>
      </c>
      <c r="H191" s="20" t="s">
        <v>367</v>
      </c>
      <c r="I191" s="67">
        <v>0.42963184931506848</v>
      </c>
    </row>
    <row r="192" spans="2:9" x14ac:dyDescent="0.25">
      <c r="B192" s="3">
        <v>2</v>
      </c>
      <c r="C192" s="3">
        <v>0</v>
      </c>
      <c r="D192" s="3">
        <v>8</v>
      </c>
      <c r="E192" s="29" t="s">
        <v>0</v>
      </c>
      <c r="F192" s="29" t="s">
        <v>59</v>
      </c>
      <c r="G192" s="20" t="s">
        <v>88</v>
      </c>
      <c r="H192" s="20" t="s">
        <v>335</v>
      </c>
      <c r="I192" s="67">
        <v>0</v>
      </c>
    </row>
    <row r="193" spans="2:9" x14ac:dyDescent="0.25">
      <c r="B193" s="3">
        <v>2</v>
      </c>
      <c r="C193" s="3">
        <v>0</v>
      </c>
      <c r="D193" s="3">
        <v>8</v>
      </c>
      <c r="E193" s="29" t="s">
        <v>0</v>
      </c>
      <c r="F193" s="29" t="s">
        <v>217</v>
      </c>
      <c r="G193" s="20" t="s">
        <v>60</v>
      </c>
      <c r="H193" s="20" t="s">
        <v>368</v>
      </c>
      <c r="I193" s="67">
        <v>0.81191306708493149</v>
      </c>
    </row>
    <row r="194" spans="2:9" x14ac:dyDescent="0.25">
      <c r="B194" s="3">
        <v>2</v>
      </c>
      <c r="C194" s="3">
        <v>0</v>
      </c>
      <c r="D194" s="3">
        <v>8</v>
      </c>
      <c r="E194" s="29" t="s">
        <v>0</v>
      </c>
      <c r="F194" s="29" t="s">
        <v>198</v>
      </c>
      <c r="G194" s="20" t="s">
        <v>63</v>
      </c>
      <c r="H194" s="20" t="s">
        <v>369</v>
      </c>
      <c r="I194" s="67">
        <v>0.4853197548027397</v>
      </c>
    </row>
    <row r="195" spans="2:9" x14ac:dyDescent="0.25">
      <c r="B195" s="3">
        <v>2</v>
      </c>
      <c r="C195" s="3">
        <v>0</v>
      </c>
      <c r="D195" s="3">
        <v>8</v>
      </c>
      <c r="E195" s="29" t="s">
        <v>0</v>
      </c>
      <c r="F195" s="29" t="s">
        <v>199</v>
      </c>
      <c r="G195" s="20" t="s">
        <v>66</v>
      </c>
      <c r="H195" s="20" t="s">
        <v>370</v>
      </c>
      <c r="I195" s="67">
        <v>0.63926763019726029</v>
      </c>
    </row>
    <row r="196" spans="2:9" x14ac:dyDescent="0.25">
      <c r="B196" s="3">
        <v>2</v>
      </c>
      <c r="C196" s="3">
        <v>0</v>
      </c>
      <c r="D196" s="3">
        <v>9</v>
      </c>
      <c r="E196" s="29" t="s">
        <v>0</v>
      </c>
      <c r="F196" s="29" t="s">
        <v>199</v>
      </c>
      <c r="G196" s="20" t="s">
        <v>88</v>
      </c>
      <c r="H196" s="20" t="s">
        <v>335</v>
      </c>
      <c r="I196" s="67">
        <v>0</v>
      </c>
    </row>
    <row r="197" spans="2:9" x14ac:dyDescent="0.25">
      <c r="B197" s="3">
        <v>2</v>
      </c>
      <c r="C197" s="3">
        <v>0</v>
      </c>
      <c r="D197" s="3">
        <v>9</v>
      </c>
      <c r="E197" s="29" t="s">
        <v>0</v>
      </c>
      <c r="F197" s="29" t="s">
        <v>57</v>
      </c>
      <c r="G197" s="20" t="s">
        <v>58</v>
      </c>
      <c r="H197" s="20" t="s">
        <v>371</v>
      </c>
      <c r="I197" s="67">
        <v>0.72983883979178077</v>
      </c>
    </row>
    <row r="198" spans="2:9" x14ac:dyDescent="0.25">
      <c r="B198" s="3">
        <v>2</v>
      </c>
      <c r="C198" s="3">
        <v>0</v>
      </c>
      <c r="D198" s="3">
        <v>9</v>
      </c>
      <c r="E198" s="29" t="s">
        <v>0</v>
      </c>
      <c r="F198" s="29" t="s">
        <v>210</v>
      </c>
      <c r="G198" s="20" t="s">
        <v>67</v>
      </c>
      <c r="H198" s="20" t="s">
        <v>372</v>
      </c>
      <c r="I198" s="67">
        <v>0.51745569932648394</v>
      </c>
    </row>
    <row r="199" spans="2:9" x14ac:dyDescent="0.25">
      <c r="B199" s="3">
        <v>2</v>
      </c>
      <c r="C199" s="3">
        <v>0</v>
      </c>
      <c r="D199" s="3">
        <v>9</v>
      </c>
      <c r="E199" s="29" t="s">
        <v>0</v>
      </c>
      <c r="F199" s="29" t="s">
        <v>211</v>
      </c>
      <c r="G199" s="20" t="s">
        <v>74</v>
      </c>
      <c r="H199" s="20" t="s">
        <v>373</v>
      </c>
      <c r="I199" s="67">
        <v>0.36881986195433786</v>
      </c>
    </row>
    <row r="200" spans="2:9" x14ac:dyDescent="0.25">
      <c r="B200" s="3">
        <v>2</v>
      </c>
      <c r="C200" s="3">
        <v>0</v>
      </c>
      <c r="D200" s="3">
        <v>9</v>
      </c>
      <c r="E200" s="29" t="s">
        <v>0</v>
      </c>
      <c r="F200" s="29" t="s">
        <v>206</v>
      </c>
      <c r="G200" s="20" t="s">
        <v>69</v>
      </c>
      <c r="H200" s="20" t="s">
        <v>374</v>
      </c>
      <c r="I200" s="67">
        <v>0.31692832208493155</v>
      </c>
    </row>
    <row r="201" spans="2:9" x14ac:dyDescent="0.25">
      <c r="B201" s="3">
        <v>2</v>
      </c>
      <c r="C201" s="3">
        <v>0</v>
      </c>
      <c r="D201" s="3">
        <v>9</v>
      </c>
      <c r="E201" s="29" t="s">
        <v>0</v>
      </c>
      <c r="F201" s="29" t="s">
        <v>207</v>
      </c>
      <c r="G201" s="20" t="s">
        <v>75</v>
      </c>
      <c r="H201" s="20" t="s">
        <v>375</v>
      </c>
      <c r="I201" s="67">
        <v>0.37564897960000004</v>
      </c>
    </row>
    <row r="202" spans="2:9" x14ac:dyDescent="0.25">
      <c r="B202" s="3">
        <v>2</v>
      </c>
      <c r="C202" s="3">
        <v>0</v>
      </c>
      <c r="D202" s="3">
        <v>10</v>
      </c>
      <c r="E202" s="29" t="s">
        <v>0</v>
      </c>
      <c r="F202" s="29" t="s">
        <v>207</v>
      </c>
      <c r="G202" s="20" t="s">
        <v>88</v>
      </c>
      <c r="H202" s="20" t="s">
        <v>335</v>
      </c>
      <c r="I202" s="67">
        <v>0</v>
      </c>
    </row>
    <row r="203" spans="2:9" x14ac:dyDescent="0.25">
      <c r="B203" s="3">
        <v>2</v>
      </c>
      <c r="C203" s="3">
        <v>0</v>
      </c>
      <c r="D203" s="3">
        <v>10</v>
      </c>
      <c r="E203" s="29" t="s">
        <v>0</v>
      </c>
      <c r="F203" s="29" t="s">
        <v>216</v>
      </c>
      <c r="G203" s="20" t="s">
        <v>77</v>
      </c>
      <c r="H203" s="20" t="s">
        <v>376</v>
      </c>
      <c r="I203" s="67">
        <v>0.1580933219178082</v>
      </c>
    </row>
    <row r="204" spans="2:9" x14ac:dyDescent="0.25">
      <c r="B204" s="3">
        <v>2</v>
      </c>
      <c r="C204" s="3">
        <v>1</v>
      </c>
      <c r="D204" s="3">
        <v>11</v>
      </c>
      <c r="E204" s="29" t="s">
        <v>0</v>
      </c>
      <c r="F204" s="29" t="s">
        <v>223</v>
      </c>
      <c r="G204" s="20" t="s">
        <v>88</v>
      </c>
      <c r="H204" s="20" t="s">
        <v>335</v>
      </c>
      <c r="I204" s="67">
        <v>0</v>
      </c>
    </row>
    <row r="205" spans="2:9" x14ac:dyDescent="0.25">
      <c r="B205" s="3">
        <v>2</v>
      </c>
      <c r="C205" s="3">
        <v>1</v>
      </c>
      <c r="D205" s="3">
        <v>11</v>
      </c>
      <c r="E205" s="29" t="s">
        <v>0</v>
      </c>
      <c r="F205" s="29" t="s">
        <v>224</v>
      </c>
      <c r="G205" s="20" t="s">
        <v>65</v>
      </c>
      <c r="H205" s="20" t="s">
        <v>336</v>
      </c>
      <c r="I205" s="67">
        <v>0.64589345500821915</v>
      </c>
    </row>
    <row r="206" spans="2:9" x14ac:dyDescent="0.25">
      <c r="B206" s="3">
        <v>2</v>
      </c>
      <c r="C206" s="3">
        <v>1</v>
      </c>
      <c r="D206" s="3">
        <v>11</v>
      </c>
      <c r="E206" s="29" t="s">
        <v>0</v>
      </c>
      <c r="F206" s="29" t="s">
        <v>225</v>
      </c>
      <c r="G206" s="20" t="s">
        <v>72</v>
      </c>
      <c r="H206" s="20" t="s">
        <v>337</v>
      </c>
      <c r="I206" s="67">
        <v>0.3094879332388128</v>
      </c>
    </row>
    <row r="207" spans="2:9" x14ac:dyDescent="0.25">
      <c r="B207" s="3">
        <v>2</v>
      </c>
      <c r="C207" s="3">
        <v>1</v>
      </c>
      <c r="D207" s="3">
        <v>11</v>
      </c>
      <c r="E207" s="29" t="s">
        <v>0</v>
      </c>
      <c r="F207" s="29" t="s">
        <v>201</v>
      </c>
      <c r="G207" s="20" t="s">
        <v>62</v>
      </c>
      <c r="H207" s="20" t="s">
        <v>338</v>
      </c>
      <c r="I207" s="67">
        <v>0.65732968036529693</v>
      </c>
    </row>
    <row r="208" spans="2:9" x14ac:dyDescent="0.25">
      <c r="B208" s="3">
        <v>2</v>
      </c>
      <c r="C208" s="3">
        <v>1</v>
      </c>
      <c r="D208" s="3">
        <v>11</v>
      </c>
      <c r="E208" s="29" t="s">
        <v>0</v>
      </c>
      <c r="F208" s="29" t="s">
        <v>202</v>
      </c>
      <c r="G208" s="20" t="s">
        <v>61</v>
      </c>
      <c r="H208" s="20" t="s">
        <v>339</v>
      </c>
      <c r="I208" s="67">
        <v>0.55673109394794518</v>
      </c>
    </row>
    <row r="209" spans="2:9" x14ac:dyDescent="0.25">
      <c r="B209" s="3">
        <v>2</v>
      </c>
      <c r="C209" s="3">
        <v>1</v>
      </c>
      <c r="D209" s="3">
        <v>11</v>
      </c>
      <c r="E209" s="29" t="s">
        <v>0</v>
      </c>
      <c r="F209" s="29" t="s">
        <v>227</v>
      </c>
      <c r="G209" s="20" t="s">
        <v>73</v>
      </c>
      <c r="H209" s="20" t="s">
        <v>340</v>
      </c>
      <c r="I209" s="67">
        <v>0.32272046992694065</v>
      </c>
    </row>
    <row r="210" spans="2:9" x14ac:dyDescent="0.25">
      <c r="B210" s="3">
        <v>2</v>
      </c>
      <c r="C210" s="3">
        <v>1</v>
      </c>
      <c r="D210" s="3">
        <v>12</v>
      </c>
      <c r="E210" s="29" t="s">
        <v>0</v>
      </c>
      <c r="F210" s="29" t="s">
        <v>227</v>
      </c>
      <c r="G210" s="20" t="s">
        <v>88</v>
      </c>
      <c r="H210" s="20" t="s">
        <v>335</v>
      </c>
      <c r="I210" s="67">
        <v>0</v>
      </c>
    </row>
    <row r="211" spans="2:9" x14ac:dyDescent="0.25">
      <c r="B211" s="3">
        <v>2</v>
      </c>
      <c r="C211" s="3">
        <v>1</v>
      </c>
      <c r="D211" s="3">
        <v>12</v>
      </c>
      <c r="E211" s="29" t="s">
        <v>0</v>
      </c>
      <c r="F211" s="29" t="s">
        <v>222</v>
      </c>
      <c r="G211" s="20" t="s">
        <v>71</v>
      </c>
      <c r="H211" s="20" t="s">
        <v>341</v>
      </c>
      <c r="I211" s="67">
        <v>0.32064800473424654</v>
      </c>
    </row>
    <row r="212" spans="2:9" x14ac:dyDescent="0.25">
      <c r="B212" s="3">
        <v>2</v>
      </c>
      <c r="C212" s="3">
        <v>1</v>
      </c>
      <c r="D212" s="3">
        <v>12</v>
      </c>
      <c r="E212" s="29" t="s">
        <v>0</v>
      </c>
      <c r="F212" s="29" t="s">
        <v>197</v>
      </c>
      <c r="G212" s="20" t="s">
        <v>78</v>
      </c>
      <c r="H212" s="20" t="s">
        <v>342</v>
      </c>
      <c r="I212" s="67">
        <v>0.20695025236529677</v>
      </c>
    </row>
    <row r="213" spans="2:9" x14ac:dyDescent="0.25">
      <c r="B213" s="3">
        <v>2</v>
      </c>
      <c r="C213" s="3">
        <v>1</v>
      </c>
      <c r="D213" s="3">
        <v>12</v>
      </c>
      <c r="E213" s="29" t="s">
        <v>0</v>
      </c>
      <c r="F213" s="29" t="s">
        <v>293</v>
      </c>
      <c r="G213" s="20" t="s">
        <v>377</v>
      </c>
      <c r="H213" s="20" t="s">
        <v>343</v>
      </c>
      <c r="I213" s="67">
        <v>0.14981244830136989</v>
      </c>
    </row>
    <row r="214" spans="2:9" x14ac:dyDescent="0.25">
      <c r="B214" s="3">
        <v>2</v>
      </c>
      <c r="C214" s="3">
        <v>1</v>
      </c>
      <c r="D214" s="3">
        <v>12</v>
      </c>
      <c r="E214" s="29" t="s">
        <v>0</v>
      </c>
      <c r="F214" s="29" t="s">
        <v>298</v>
      </c>
      <c r="G214" s="20" t="s">
        <v>378</v>
      </c>
      <c r="H214" s="20" t="s">
        <v>344</v>
      </c>
      <c r="I214" s="67">
        <v>0.17637358311963466</v>
      </c>
    </row>
    <row r="215" spans="2:9" x14ac:dyDescent="0.25">
      <c r="B215" s="3">
        <v>2</v>
      </c>
      <c r="C215" s="3">
        <v>1</v>
      </c>
      <c r="D215" s="3">
        <v>13</v>
      </c>
      <c r="E215" s="29" t="s">
        <v>0</v>
      </c>
      <c r="F215" s="29" t="s">
        <v>298</v>
      </c>
      <c r="G215" s="20" t="s">
        <v>88</v>
      </c>
      <c r="H215" s="20" t="s">
        <v>335</v>
      </c>
      <c r="I215" s="67">
        <v>0</v>
      </c>
    </row>
    <row r="216" spans="2:9" x14ac:dyDescent="0.25">
      <c r="B216" s="3">
        <v>2</v>
      </c>
      <c r="C216" s="3">
        <v>1</v>
      </c>
      <c r="D216" s="3">
        <v>13</v>
      </c>
      <c r="E216" s="29" t="s">
        <v>0</v>
      </c>
      <c r="F216" s="29" t="s">
        <v>294</v>
      </c>
      <c r="G216" s="20" t="s">
        <v>379</v>
      </c>
      <c r="H216" s="20" t="s">
        <v>345</v>
      </c>
      <c r="I216" s="67">
        <v>0.15421888664383562</v>
      </c>
    </row>
    <row r="217" spans="2:9" x14ac:dyDescent="0.25">
      <c r="B217" s="3">
        <v>2</v>
      </c>
      <c r="C217" s="3">
        <v>1</v>
      </c>
      <c r="D217" s="3">
        <v>13</v>
      </c>
      <c r="E217" s="29" t="s">
        <v>0</v>
      </c>
      <c r="F217" s="29" t="s">
        <v>0</v>
      </c>
      <c r="G217" s="20" t="s">
        <v>383</v>
      </c>
      <c r="H217" s="20" t="s">
        <v>346</v>
      </c>
      <c r="I217" s="67">
        <v>7.2168392920547927E-2</v>
      </c>
    </row>
    <row r="218" spans="2:9" x14ac:dyDescent="0.25">
      <c r="B218" s="3">
        <v>2</v>
      </c>
      <c r="C218" s="3">
        <v>1</v>
      </c>
      <c r="D218" s="3">
        <v>14</v>
      </c>
      <c r="E218" s="29" t="s">
        <v>0</v>
      </c>
      <c r="F218" s="29" t="s">
        <v>0</v>
      </c>
      <c r="G218" s="20" t="s">
        <v>88</v>
      </c>
      <c r="H218" s="20" t="s">
        <v>335</v>
      </c>
      <c r="I218" s="67">
        <v>0</v>
      </c>
    </row>
    <row r="219" spans="2:9" x14ac:dyDescent="0.25">
      <c r="B219" s="3">
        <v>2</v>
      </c>
      <c r="C219" s="3">
        <v>1</v>
      </c>
      <c r="D219" s="3">
        <v>14</v>
      </c>
      <c r="E219" s="29" t="s">
        <v>0</v>
      </c>
      <c r="F219" s="29" t="s">
        <v>204</v>
      </c>
      <c r="G219" s="20" t="s">
        <v>56</v>
      </c>
      <c r="H219" s="20" t="s">
        <v>347</v>
      </c>
      <c r="I219" s="67">
        <v>0.8259464764305936</v>
      </c>
    </row>
    <row r="220" spans="2:9" x14ac:dyDescent="0.25">
      <c r="B220" s="3">
        <v>2</v>
      </c>
      <c r="C220" s="3">
        <v>1</v>
      </c>
      <c r="D220" s="3">
        <v>14</v>
      </c>
      <c r="E220" s="29" t="s">
        <v>0</v>
      </c>
      <c r="F220" s="29" t="s">
        <v>205</v>
      </c>
      <c r="G220" s="20" t="s">
        <v>64</v>
      </c>
      <c r="H220" s="20" t="s">
        <v>348</v>
      </c>
      <c r="I220" s="67">
        <v>0.46479222465753423</v>
      </c>
    </row>
    <row r="221" spans="2:9" x14ac:dyDescent="0.25">
      <c r="B221" s="3">
        <v>2</v>
      </c>
      <c r="C221" s="3">
        <v>1</v>
      </c>
      <c r="D221" s="3">
        <v>14</v>
      </c>
      <c r="E221" s="29" t="s">
        <v>0</v>
      </c>
      <c r="F221" s="29" t="s">
        <v>209</v>
      </c>
      <c r="G221" s="20" t="s">
        <v>70</v>
      </c>
      <c r="H221" s="20" t="s">
        <v>349</v>
      </c>
      <c r="I221" s="67">
        <v>0.37341722638356162</v>
      </c>
    </row>
    <row r="222" spans="2:9" x14ac:dyDescent="0.25">
      <c r="B222" s="79">
        <v>2</v>
      </c>
      <c r="C222" s="79">
        <v>1</v>
      </c>
      <c r="D222" s="79">
        <v>14</v>
      </c>
      <c r="E222" s="80" t="s">
        <v>0</v>
      </c>
      <c r="F222" s="80" t="s">
        <v>232</v>
      </c>
      <c r="G222" s="20" t="s">
        <v>190</v>
      </c>
      <c r="H222" s="20" t="s">
        <v>350</v>
      </c>
      <c r="I222" s="67">
        <v>0.10728556374383563</v>
      </c>
    </row>
    <row r="223" spans="2:9" x14ac:dyDescent="0.25">
      <c r="B223" s="79">
        <v>2</v>
      </c>
      <c r="C223" s="79">
        <v>1</v>
      </c>
      <c r="D223" s="79">
        <v>15</v>
      </c>
      <c r="E223" s="80" t="s">
        <v>0</v>
      </c>
      <c r="F223" s="80" t="s">
        <v>232</v>
      </c>
      <c r="G223" s="20" t="s">
        <v>88</v>
      </c>
      <c r="H223" s="20" t="s">
        <v>335</v>
      </c>
      <c r="I223" s="67">
        <v>0</v>
      </c>
    </row>
    <row r="224" spans="2:9" x14ac:dyDescent="0.25">
      <c r="B224" s="79">
        <v>2</v>
      </c>
      <c r="C224" s="79">
        <v>1</v>
      </c>
      <c r="D224" s="79">
        <v>15</v>
      </c>
      <c r="E224" s="80" t="s">
        <v>0</v>
      </c>
      <c r="F224" s="80" t="s">
        <v>233</v>
      </c>
      <c r="G224" s="20" t="s">
        <v>185</v>
      </c>
      <c r="H224" s="20" t="s">
        <v>351</v>
      </c>
      <c r="I224" s="67">
        <v>1.0338830971479451</v>
      </c>
    </row>
    <row r="225" spans="2:9" x14ac:dyDescent="0.25">
      <c r="B225" s="79">
        <v>2</v>
      </c>
      <c r="C225" s="79">
        <v>1</v>
      </c>
      <c r="D225" s="79">
        <v>15</v>
      </c>
      <c r="E225" s="80" t="s">
        <v>0</v>
      </c>
      <c r="F225" s="80" t="s">
        <v>234</v>
      </c>
      <c r="G225" s="20" t="s">
        <v>183</v>
      </c>
      <c r="H225" s="20" t="s">
        <v>352</v>
      </c>
      <c r="I225" s="67">
        <v>0.8083388970429225</v>
      </c>
    </row>
    <row r="226" spans="2:9" x14ac:dyDescent="0.25">
      <c r="B226" s="79">
        <v>2</v>
      </c>
      <c r="C226" s="79">
        <v>1</v>
      </c>
      <c r="D226" s="79">
        <v>16</v>
      </c>
      <c r="E226" s="80" t="s">
        <v>0</v>
      </c>
      <c r="F226" s="80" t="s">
        <v>234</v>
      </c>
      <c r="G226" s="20" t="s">
        <v>88</v>
      </c>
      <c r="H226" s="20" t="s">
        <v>335</v>
      </c>
      <c r="I226" s="67">
        <v>0</v>
      </c>
    </row>
    <row r="227" spans="2:9" x14ac:dyDescent="0.25">
      <c r="B227" s="79">
        <v>2</v>
      </c>
      <c r="C227" s="79">
        <v>1</v>
      </c>
      <c r="D227" s="79">
        <v>16</v>
      </c>
      <c r="E227" s="80" t="s">
        <v>0</v>
      </c>
      <c r="F227" s="80" t="s">
        <v>231</v>
      </c>
      <c r="G227" s="20" t="s">
        <v>187</v>
      </c>
      <c r="H227" s="20" t="s">
        <v>353</v>
      </c>
      <c r="I227" s="67">
        <v>0.52547378178082194</v>
      </c>
    </row>
    <row r="228" spans="2:9" x14ac:dyDescent="0.25">
      <c r="B228" s="3">
        <v>2</v>
      </c>
      <c r="C228" s="3">
        <v>1</v>
      </c>
      <c r="D228" s="3">
        <v>16</v>
      </c>
      <c r="E228" s="29" t="s">
        <v>0</v>
      </c>
      <c r="F228" s="29" t="s">
        <v>235</v>
      </c>
      <c r="G228" s="20" t="s">
        <v>184</v>
      </c>
      <c r="H228" s="20" t="s">
        <v>354</v>
      </c>
      <c r="I228" s="67">
        <v>0.77679168639269414</v>
      </c>
    </row>
    <row r="229" spans="2:9" x14ac:dyDescent="0.25">
      <c r="B229" s="3">
        <v>2</v>
      </c>
      <c r="C229" s="3">
        <v>1</v>
      </c>
      <c r="D229" s="3">
        <v>16</v>
      </c>
      <c r="E229" s="29" t="s">
        <v>0</v>
      </c>
      <c r="F229" s="29" t="s">
        <v>230</v>
      </c>
      <c r="G229" s="20" t="s">
        <v>189</v>
      </c>
      <c r="H229" s="20" t="s">
        <v>355</v>
      </c>
      <c r="I229" s="67">
        <v>0.46517432052328772</v>
      </c>
    </row>
    <row r="230" spans="2:9" x14ac:dyDescent="0.25">
      <c r="B230" s="3">
        <v>2</v>
      </c>
      <c r="C230" s="3">
        <v>1</v>
      </c>
      <c r="D230" s="3">
        <v>17</v>
      </c>
      <c r="E230" s="29" t="s">
        <v>0</v>
      </c>
      <c r="F230" s="29" t="s">
        <v>230</v>
      </c>
      <c r="G230" s="20" t="s">
        <v>88</v>
      </c>
      <c r="H230" s="20" t="s">
        <v>335</v>
      </c>
      <c r="I230" s="67">
        <v>0</v>
      </c>
    </row>
    <row r="231" spans="2:9" x14ac:dyDescent="0.25">
      <c r="B231" s="3">
        <v>2</v>
      </c>
      <c r="C231" s="3">
        <v>1</v>
      </c>
      <c r="D231" s="3">
        <v>17</v>
      </c>
      <c r="E231" s="29" t="s">
        <v>0</v>
      </c>
      <c r="F231" s="29" t="s">
        <v>229</v>
      </c>
      <c r="G231" s="20" t="s">
        <v>188</v>
      </c>
      <c r="H231" s="20" t="s">
        <v>356</v>
      </c>
      <c r="I231" s="67">
        <v>0.32128193690410956</v>
      </c>
    </row>
    <row r="232" spans="2:9" x14ac:dyDescent="0.25">
      <c r="B232" s="3">
        <v>2</v>
      </c>
      <c r="C232" s="3">
        <v>1</v>
      </c>
      <c r="D232" s="3">
        <v>17</v>
      </c>
      <c r="E232" s="29" t="s">
        <v>0</v>
      </c>
      <c r="F232" s="29" t="s">
        <v>219</v>
      </c>
      <c r="G232" s="20" t="s">
        <v>186</v>
      </c>
      <c r="H232" s="20" t="s">
        <v>357</v>
      </c>
      <c r="I232" s="67">
        <v>0.28826495367397253</v>
      </c>
    </row>
    <row r="233" spans="2:9" x14ac:dyDescent="0.25">
      <c r="B233" s="79">
        <v>2</v>
      </c>
      <c r="C233" s="79">
        <v>1</v>
      </c>
      <c r="D233" s="79">
        <v>17</v>
      </c>
      <c r="E233" s="80" t="s">
        <v>0</v>
      </c>
      <c r="F233" s="80" t="s">
        <v>218</v>
      </c>
      <c r="G233" s="20" t="s">
        <v>76</v>
      </c>
      <c r="H233" s="20" t="s">
        <v>358</v>
      </c>
      <c r="I233" s="67">
        <v>0.2635068493150684</v>
      </c>
    </row>
    <row r="234" spans="2:9" x14ac:dyDescent="0.25">
      <c r="B234" s="79">
        <v>2</v>
      </c>
      <c r="C234" s="79">
        <v>1</v>
      </c>
      <c r="D234" s="79">
        <v>17</v>
      </c>
      <c r="E234" s="80" t="s">
        <v>0</v>
      </c>
      <c r="F234" s="80" t="s">
        <v>285</v>
      </c>
      <c r="G234" s="20" t="s">
        <v>319</v>
      </c>
      <c r="H234" s="20" t="s">
        <v>359</v>
      </c>
      <c r="I234" s="67">
        <v>4.5775192341095887E-2</v>
      </c>
    </row>
    <row r="235" spans="2:9" x14ac:dyDescent="0.25">
      <c r="B235" s="79">
        <v>2</v>
      </c>
      <c r="C235" s="79">
        <v>1</v>
      </c>
      <c r="D235" s="79">
        <v>17</v>
      </c>
      <c r="E235" s="80" t="s">
        <v>0</v>
      </c>
      <c r="F235" s="80" t="s">
        <v>283</v>
      </c>
      <c r="G235" s="20" t="s">
        <v>384</v>
      </c>
      <c r="H235" s="20" t="s">
        <v>360</v>
      </c>
      <c r="I235" s="67">
        <v>9.0073926694977172E-2</v>
      </c>
    </row>
    <row r="236" spans="2:9" x14ac:dyDescent="0.25">
      <c r="B236" s="79">
        <v>2</v>
      </c>
      <c r="C236" s="79">
        <v>1</v>
      </c>
      <c r="D236" s="79">
        <v>17</v>
      </c>
      <c r="E236" s="80" t="s">
        <v>0</v>
      </c>
      <c r="F236" s="80" t="s">
        <v>282</v>
      </c>
      <c r="G236" s="20" t="s">
        <v>385</v>
      </c>
      <c r="H236" s="20" t="s">
        <v>361</v>
      </c>
      <c r="I236" s="67">
        <v>0</v>
      </c>
    </row>
    <row r="237" spans="2:9" x14ac:dyDescent="0.25">
      <c r="B237" s="3">
        <v>2</v>
      </c>
      <c r="C237" s="3">
        <v>1</v>
      </c>
      <c r="D237" s="3">
        <v>17</v>
      </c>
      <c r="E237" s="29" t="s">
        <v>0</v>
      </c>
      <c r="F237" s="29" t="s">
        <v>281</v>
      </c>
      <c r="G237" s="20" t="s">
        <v>386</v>
      </c>
      <c r="H237" s="20" t="s">
        <v>362</v>
      </c>
      <c r="I237" s="67">
        <v>4.7421302768949777E-2</v>
      </c>
    </row>
    <row r="238" spans="2:9" x14ac:dyDescent="0.25">
      <c r="B238" s="77">
        <v>2</v>
      </c>
      <c r="C238" s="77">
        <v>1</v>
      </c>
      <c r="D238" s="77">
        <v>18</v>
      </c>
      <c r="E238" s="78" t="s">
        <v>0</v>
      </c>
      <c r="F238" s="78" t="s">
        <v>281</v>
      </c>
      <c r="G238" s="38" t="s">
        <v>88</v>
      </c>
      <c r="H238" s="20" t="s">
        <v>335</v>
      </c>
      <c r="I238" s="67">
        <v>0</v>
      </c>
    </row>
    <row r="239" spans="2:9" x14ac:dyDescent="0.25">
      <c r="B239" s="77">
        <v>2</v>
      </c>
      <c r="C239" s="77">
        <v>1</v>
      </c>
      <c r="D239" s="77">
        <v>18</v>
      </c>
      <c r="E239" s="78" t="s">
        <v>0</v>
      </c>
      <c r="F239" s="78" t="s">
        <v>280</v>
      </c>
      <c r="G239" s="38" t="s">
        <v>387</v>
      </c>
      <c r="H239" s="20" t="s">
        <v>363</v>
      </c>
      <c r="I239" s="67">
        <v>0.18479056424885842</v>
      </c>
    </row>
    <row r="240" spans="2:9" x14ac:dyDescent="0.25">
      <c r="B240" s="77">
        <v>2</v>
      </c>
      <c r="C240" s="77">
        <v>1</v>
      </c>
      <c r="D240" s="77">
        <v>18</v>
      </c>
      <c r="E240" s="78" t="s">
        <v>0</v>
      </c>
      <c r="F240" s="78" t="s">
        <v>279</v>
      </c>
      <c r="G240" s="38" t="s">
        <v>388</v>
      </c>
      <c r="H240" s="20" t="s">
        <v>364</v>
      </c>
      <c r="I240" s="67">
        <v>2.444618395616438E-2</v>
      </c>
    </row>
    <row r="241" spans="2:9" x14ac:dyDescent="0.25">
      <c r="B241" s="77">
        <v>2</v>
      </c>
      <c r="C241" s="77">
        <v>1</v>
      </c>
      <c r="D241" s="77">
        <v>18</v>
      </c>
      <c r="E241" s="78" t="s">
        <v>0</v>
      </c>
      <c r="F241" s="78" t="s">
        <v>278</v>
      </c>
      <c r="G241" s="38" t="s">
        <v>389</v>
      </c>
      <c r="H241" s="20" t="s">
        <v>365</v>
      </c>
      <c r="I241" s="67">
        <v>6.5289497716894976E-2</v>
      </c>
    </row>
    <row r="242" spans="2:9" x14ac:dyDescent="0.25">
      <c r="B242" s="77">
        <v>2</v>
      </c>
      <c r="C242" s="77">
        <v>1</v>
      </c>
      <c r="D242" s="77">
        <v>18</v>
      </c>
      <c r="E242" s="78" t="s">
        <v>0</v>
      </c>
      <c r="F242" s="78" t="s">
        <v>277</v>
      </c>
      <c r="G242" s="38" t="s">
        <v>390</v>
      </c>
      <c r="H242" s="20" t="s">
        <v>366</v>
      </c>
      <c r="I242" s="67">
        <v>0</v>
      </c>
    </row>
    <row r="243" spans="2:9" x14ac:dyDescent="0.25">
      <c r="B243" s="77">
        <v>2</v>
      </c>
      <c r="C243" s="77">
        <v>1</v>
      </c>
      <c r="D243" s="77">
        <v>18</v>
      </c>
      <c r="E243" s="78" t="s">
        <v>0</v>
      </c>
      <c r="F243" s="78" t="s">
        <v>59</v>
      </c>
      <c r="G243" s="38" t="s">
        <v>391</v>
      </c>
      <c r="H243" s="20" t="s">
        <v>367</v>
      </c>
      <c r="I243" s="67">
        <v>0.41527397260273974</v>
      </c>
    </row>
    <row r="244" spans="2:9" x14ac:dyDescent="0.25">
      <c r="B244" s="77">
        <v>2</v>
      </c>
      <c r="C244" s="77">
        <v>1</v>
      </c>
      <c r="D244" s="77">
        <v>19</v>
      </c>
      <c r="E244" s="78" t="s">
        <v>0</v>
      </c>
      <c r="F244" s="78" t="s">
        <v>59</v>
      </c>
      <c r="G244" s="38" t="s">
        <v>88</v>
      </c>
      <c r="H244" s="20" t="s">
        <v>335</v>
      </c>
      <c r="I244" s="67">
        <v>0</v>
      </c>
    </row>
    <row r="245" spans="2:9" x14ac:dyDescent="0.25">
      <c r="B245" s="77">
        <v>2</v>
      </c>
      <c r="C245" s="77">
        <v>1</v>
      </c>
      <c r="D245" s="77">
        <v>19</v>
      </c>
      <c r="E245" s="78" t="s">
        <v>0</v>
      </c>
      <c r="F245" s="78" t="s">
        <v>217</v>
      </c>
      <c r="G245" s="38" t="s">
        <v>60</v>
      </c>
      <c r="H245" s="20" t="s">
        <v>368</v>
      </c>
      <c r="I245" s="67">
        <v>0.77926240755068499</v>
      </c>
    </row>
    <row r="246" spans="2:9" x14ac:dyDescent="0.25">
      <c r="B246" s="77">
        <v>2</v>
      </c>
      <c r="C246" s="77">
        <v>1</v>
      </c>
      <c r="D246" s="77">
        <v>19</v>
      </c>
      <c r="E246" s="78" t="s">
        <v>0</v>
      </c>
      <c r="F246" s="78" t="s">
        <v>198</v>
      </c>
      <c r="G246" s="38" t="s">
        <v>63</v>
      </c>
      <c r="H246" s="20" t="s">
        <v>369</v>
      </c>
      <c r="I246" s="67">
        <v>0.46450468631232877</v>
      </c>
    </row>
    <row r="247" spans="2:9" x14ac:dyDescent="0.25">
      <c r="B247" s="77">
        <v>2</v>
      </c>
      <c r="C247" s="77">
        <v>1</v>
      </c>
      <c r="D247" s="77">
        <v>19</v>
      </c>
      <c r="E247" s="78" t="s">
        <v>0</v>
      </c>
      <c r="F247" s="78" t="s">
        <v>199</v>
      </c>
      <c r="G247" s="38" t="s">
        <v>66</v>
      </c>
      <c r="H247" s="20" t="s">
        <v>370</v>
      </c>
      <c r="I247" s="67">
        <v>0.62433781293150692</v>
      </c>
    </row>
    <row r="248" spans="2:9" x14ac:dyDescent="0.25">
      <c r="B248" s="77">
        <v>2</v>
      </c>
      <c r="C248" s="77">
        <v>1</v>
      </c>
      <c r="D248" s="77">
        <v>20</v>
      </c>
      <c r="E248" s="78" t="s">
        <v>0</v>
      </c>
      <c r="F248" s="78" t="s">
        <v>199</v>
      </c>
      <c r="G248" s="38" t="s">
        <v>88</v>
      </c>
      <c r="H248" s="20" t="s">
        <v>335</v>
      </c>
      <c r="I248" s="67">
        <v>0</v>
      </c>
    </row>
    <row r="249" spans="2:9" x14ac:dyDescent="0.25">
      <c r="B249" s="77">
        <v>2</v>
      </c>
      <c r="C249" s="77">
        <v>1</v>
      </c>
      <c r="D249" s="77">
        <v>20</v>
      </c>
      <c r="E249" s="78" t="s">
        <v>0</v>
      </c>
      <c r="F249" s="78" t="s">
        <v>57</v>
      </c>
      <c r="G249" s="38" t="s">
        <v>58</v>
      </c>
      <c r="H249" s="20" t="s">
        <v>371</v>
      </c>
      <c r="I249" s="67">
        <v>0.85630137003470319</v>
      </c>
    </row>
    <row r="250" spans="2:9" x14ac:dyDescent="0.25">
      <c r="B250" s="77">
        <v>2</v>
      </c>
      <c r="C250" s="77">
        <v>1</v>
      </c>
      <c r="D250" s="77">
        <v>20</v>
      </c>
      <c r="E250" s="78" t="s">
        <v>0</v>
      </c>
      <c r="F250" s="78" t="s">
        <v>210</v>
      </c>
      <c r="G250" s="38" t="s">
        <v>67</v>
      </c>
      <c r="H250" s="20" t="s">
        <v>372</v>
      </c>
      <c r="I250" s="67">
        <v>0.50874065596940643</v>
      </c>
    </row>
    <row r="251" spans="2:9" x14ac:dyDescent="0.25">
      <c r="B251" s="77">
        <v>2</v>
      </c>
      <c r="C251" s="77">
        <v>1</v>
      </c>
      <c r="D251" s="77">
        <v>20</v>
      </c>
      <c r="E251" s="78" t="s">
        <v>0</v>
      </c>
      <c r="F251" s="78" t="s">
        <v>211</v>
      </c>
      <c r="G251" s="38" t="s">
        <v>74</v>
      </c>
      <c r="H251" s="20" t="s">
        <v>373</v>
      </c>
      <c r="I251" s="67">
        <v>0.33852394472237435</v>
      </c>
    </row>
    <row r="252" spans="2:9" x14ac:dyDescent="0.25">
      <c r="B252" s="77">
        <v>2</v>
      </c>
      <c r="C252" s="77">
        <v>1</v>
      </c>
      <c r="D252" s="77">
        <v>20</v>
      </c>
      <c r="E252" s="78" t="s">
        <v>0</v>
      </c>
      <c r="F252" s="78" t="s">
        <v>206</v>
      </c>
      <c r="G252" s="38" t="s">
        <v>69</v>
      </c>
      <c r="H252" s="20" t="s">
        <v>374</v>
      </c>
      <c r="I252" s="67">
        <v>0.36188269401187212</v>
      </c>
    </row>
    <row r="253" spans="2:9" x14ac:dyDescent="0.25">
      <c r="B253" s="77">
        <v>2</v>
      </c>
      <c r="C253" s="77">
        <v>1</v>
      </c>
      <c r="D253" s="77">
        <v>20</v>
      </c>
      <c r="E253" s="78" t="s">
        <v>0</v>
      </c>
      <c r="F253" s="78" t="s">
        <v>207</v>
      </c>
      <c r="G253" s="38" t="s">
        <v>75</v>
      </c>
      <c r="H253" s="20" t="s">
        <v>375</v>
      </c>
      <c r="I253" s="67">
        <v>0.3859407324657535</v>
      </c>
    </row>
    <row r="254" spans="2:9" x14ac:dyDescent="0.25">
      <c r="B254" s="77">
        <v>2</v>
      </c>
      <c r="C254" s="77">
        <v>1</v>
      </c>
      <c r="D254" s="77">
        <v>21</v>
      </c>
      <c r="E254" s="78" t="s">
        <v>0</v>
      </c>
      <c r="F254" s="78" t="s">
        <v>207</v>
      </c>
      <c r="G254" s="38" t="s">
        <v>88</v>
      </c>
      <c r="H254" s="20" t="s">
        <v>335</v>
      </c>
      <c r="I254" s="67">
        <v>0</v>
      </c>
    </row>
    <row r="255" spans="2:9" x14ac:dyDescent="0.25">
      <c r="B255" s="77">
        <v>2</v>
      </c>
      <c r="C255" s="77">
        <v>1</v>
      </c>
      <c r="D255" s="77">
        <v>21</v>
      </c>
      <c r="E255" s="78" t="s">
        <v>0</v>
      </c>
      <c r="F255" s="78" t="s">
        <v>216</v>
      </c>
      <c r="G255" s="38" t="s">
        <v>77</v>
      </c>
      <c r="H255" s="20" t="s">
        <v>376</v>
      </c>
      <c r="I255" s="67">
        <v>0.13299914383561645</v>
      </c>
    </row>
    <row r="256" spans="2:9" x14ac:dyDescent="0.25">
      <c r="B256" s="77">
        <v>2</v>
      </c>
      <c r="C256" s="77">
        <v>2</v>
      </c>
      <c r="D256" s="77">
        <v>22</v>
      </c>
      <c r="E256" s="78" t="s">
        <v>0</v>
      </c>
      <c r="F256" s="78" t="s">
        <v>223</v>
      </c>
      <c r="G256" s="38" t="s">
        <v>88</v>
      </c>
      <c r="H256" s="20" t="s">
        <v>335</v>
      </c>
      <c r="I256" s="67">
        <v>0</v>
      </c>
    </row>
    <row r="257" spans="2:9" x14ac:dyDescent="0.25">
      <c r="B257" s="77">
        <v>2</v>
      </c>
      <c r="C257" s="77">
        <v>2</v>
      </c>
      <c r="D257" s="77">
        <v>22</v>
      </c>
      <c r="E257" s="78" t="s">
        <v>0</v>
      </c>
      <c r="F257" s="78" t="s">
        <v>224</v>
      </c>
      <c r="G257" s="38" t="s">
        <v>65</v>
      </c>
      <c r="H257" s="20" t="s">
        <v>336</v>
      </c>
      <c r="I257" s="67">
        <v>0.13438051748493149</v>
      </c>
    </row>
    <row r="258" spans="2:9" x14ac:dyDescent="0.25">
      <c r="B258" s="77">
        <v>2</v>
      </c>
      <c r="C258" s="77">
        <v>2</v>
      </c>
      <c r="D258" s="77">
        <v>22</v>
      </c>
      <c r="E258" s="78" t="s">
        <v>0</v>
      </c>
      <c r="F258" s="78" t="s">
        <v>225</v>
      </c>
      <c r="G258" s="38" t="s">
        <v>72</v>
      </c>
      <c r="H258" s="20" t="s">
        <v>337</v>
      </c>
      <c r="I258" s="67">
        <v>9.0010434766666647E-2</v>
      </c>
    </row>
    <row r="259" spans="2:9" x14ac:dyDescent="0.25">
      <c r="B259" s="77">
        <v>2</v>
      </c>
      <c r="C259" s="77">
        <v>2</v>
      </c>
      <c r="D259" s="77">
        <v>22</v>
      </c>
      <c r="E259" s="78" t="s">
        <v>0</v>
      </c>
      <c r="F259" s="78" t="s">
        <v>201</v>
      </c>
      <c r="G259" s="38" t="s">
        <v>62</v>
      </c>
      <c r="H259" s="20" t="s">
        <v>338</v>
      </c>
      <c r="I259" s="67">
        <v>0.1637260273972603</v>
      </c>
    </row>
    <row r="260" spans="2:9" x14ac:dyDescent="0.25">
      <c r="B260" s="77">
        <v>2</v>
      </c>
      <c r="C260" s="77">
        <v>2</v>
      </c>
      <c r="D260" s="77">
        <v>22</v>
      </c>
      <c r="E260" s="78" t="s">
        <v>0</v>
      </c>
      <c r="F260" s="78" t="s">
        <v>202</v>
      </c>
      <c r="G260" s="38" t="s">
        <v>61</v>
      </c>
      <c r="H260" s="20" t="s">
        <v>339</v>
      </c>
      <c r="I260" s="67">
        <v>0.13530118219452056</v>
      </c>
    </row>
    <row r="261" spans="2:9" x14ac:dyDescent="0.25">
      <c r="B261" s="77">
        <v>2</v>
      </c>
      <c r="C261" s="77">
        <v>2</v>
      </c>
      <c r="D261" s="77">
        <v>22</v>
      </c>
      <c r="E261" s="78" t="s">
        <v>0</v>
      </c>
      <c r="F261" s="78" t="s">
        <v>227</v>
      </c>
      <c r="G261" s="38" t="s">
        <v>73</v>
      </c>
      <c r="H261" s="20" t="s">
        <v>340</v>
      </c>
      <c r="I261" s="67">
        <v>5.1148149950684937E-2</v>
      </c>
    </row>
    <row r="262" spans="2:9" x14ac:dyDescent="0.25">
      <c r="B262" s="77">
        <v>2</v>
      </c>
      <c r="C262" s="77">
        <v>2</v>
      </c>
      <c r="D262" s="77">
        <v>22</v>
      </c>
      <c r="E262" s="78" t="s">
        <v>0</v>
      </c>
      <c r="F262" s="78" t="s">
        <v>222</v>
      </c>
      <c r="G262" s="38" t="s">
        <v>71</v>
      </c>
      <c r="H262" s="20" t="s">
        <v>341</v>
      </c>
      <c r="I262" s="67">
        <v>9.6444907673972596E-2</v>
      </c>
    </row>
    <row r="263" spans="2:9" x14ac:dyDescent="0.25">
      <c r="B263" s="77">
        <v>2</v>
      </c>
      <c r="C263" s="77">
        <v>2</v>
      </c>
      <c r="D263" s="77">
        <v>22</v>
      </c>
      <c r="E263" s="78" t="s">
        <v>0</v>
      </c>
      <c r="F263" s="78" t="s">
        <v>197</v>
      </c>
      <c r="G263" s="38" t="s">
        <v>78</v>
      </c>
      <c r="H263" s="20" t="s">
        <v>342</v>
      </c>
      <c r="I263" s="67">
        <v>3.831780821917808E-2</v>
      </c>
    </row>
    <row r="264" spans="2:9" x14ac:dyDescent="0.25">
      <c r="B264" s="77">
        <v>2</v>
      </c>
      <c r="C264" s="77">
        <v>2</v>
      </c>
      <c r="D264" s="77">
        <v>23</v>
      </c>
      <c r="E264" s="78" t="s">
        <v>0</v>
      </c>
      <c r="F264" s="78" t="s">
        <v>197</v>
      </c>
      <c r="G264" s="38" t="s">
        <v>88</v>
      </c>
      <c r="H264" s="20" t="s">
        <v>335</v>
      </c>
      <c r="I264" s="67">
        <v>0</v>
      </c>
    </row>
    <row r="265" spans="2:9" x14ac:dyDescent="0.25">
      <c r="B265" s="77">
        <v>2</v>
      </c>
      <c r="C265" s="77">
        <v>2</v>
      </c>
      <c r="D265" s="77">
        <v>23</v>
      </c>
      <c r="E265" s="78" t="s">
        <v>0</v>
      </c>
      <c r="F265" s="78" t="s">
        <v>293</v>
      </c>
      <c r="G265" s="38" t="s">
        <v>377</v>
      </c>
      <c r="H265" s="20" t="s">
        <v>343</v>
      </c>
      <c r="I265" s="67">
        <v>2.7896111063013703E-2</v>
      </c>
    </row>
    <row r="266" spans="2:9" x14ac:dyDescent="0.25">
      <c r="B266" s="3">
        <v>2</v>
      </c>
      <c r="C266" s="3">
        <v>2</v>
      </c>
      <c r="D266" s="3">
        <v>23</v>
      </c>
      <c r="E266" s="29" t="s">
        <v>0</v>
      </c>
      <c r="F266" s="29" t="s">
        <v>298</v>
      </c>
      <c r="G266" s="20" t="s">
        <v>378</v>
      </c>
      <c r="H266" s="20" t="s">
        <v>344</v>
      </c>
      <c r="I266" s="67">
        <v>3.3535822142465754E-2</v>
      </c>
    </row>
    <row r="267" spans="2:9" x14ac:dyDescent="0.25">
      <c r="B267" s="3">
        <v>2</v>
      </c>
      <c r="C267" s="3">
        <v>2</v>
      </c>
      <c r="D267" s="3">
        <v>23</v>
      </c>
      <c r="E267" s="29" t="s">
        <v>0</v>
      </c>
      <c r="F267" s="29" t="s">
        <v>294</v>
      </c>
      <c r="G267" s="20" t="s">
        <v>379</v>
      </c>
      <c r="H267" s="20" t="s">
        <v>345</v>
      </c>
      <c r="I267" s="67">
        <v>2.9610026235616441E-2</v>
      </c>
    </row>
    <row r="268" spans="2:9" x14ac:dyDescent="0.25">
      <c r="B268" s="3">
        <v>2</v>
      </c>
      <c r="C268" s="3">
        <v>2</v>
      </c>
      <c r="D268" s="3">
        <v>23</v>
      </c>
      <c r="E268" s="29" t="s">
        <v>0</v>
      </c>
      <c r="F268" s="29" t="s">
        <v>0</v>
      </c>
      <c r="G268" s="20" t="s">
        <v>383</v>
      </c>
      <c r="H268" s="20" t="s">
        <v>346</v>
      </c>
      <c r="I268" s="67">
        <v>2.7063147345205481E-2</v>
      </c>
    </row>
    <row r="269" spans="2:9" x14ac:dyDescent="0.25">
      <c r="B269" s="3">
        <v>2</v>
      </c>
      <c r="C269" s="3">
        <v>2</v>
      </c>
      <c r="D269" s="3">
        <v>24</v>
      </c>
      <c r="E269" s="29" t="s">
        <v>0</v>
      </c>
      <c r="F269" s="29" t="s">
        <v>0</v>
      </c>
      <c r="G269" s="20" t="s">
        <v>88</v>
      </c>
      <c r="H269" s="20" t="s">
        <v>335</v>
      </c>
      <c r="I269" s="67">
        <v>0</v>
      </c>
    </row>
    <row r="270" spans="2:9" x14ac:dyDescent="0.25">
      <c r="B270" s="3">
        <v>2</v>
      </c>
      <c r="C270" s="3">
        <v>2</v>
      </c>
      <c r="D270" s="3">
        <v>24</v>
      </c>
      <c r="E270" s="29" t="s">
        <v>0</v>
      </c>
      <c r="F270" s="29" t="s">
        <v>204</v>
      </c>
      <c r="G270" s="20" t="s">
        <v>56</v>
      </c>
      <c r="H270" s="20" t="s">
        <v>347</v>
      </c>
      <c r="I270" s="67">
        <v>0.2133003812876712</v>
      </c>
    </row>
    <row r="271" spans="2:9" x14ac:dyDescent="0.25">
      <c r="B271" s="3">
        <v>2</v>
      </c>
      <c r="C271" s="3">
        <v>2</v>
      </c>
      <c r="D271" s="3">
        <v>24</v>
      </c>
      <c r="E271" s="29" t="s">
        <v>0</v>
      </c>
      <c r="F271" s="29" t="s">
        <v>205</v>
      </c>
      <c r="G271" s="20" t="s">
        <v>64</v>
      </c>
      <c r="H271" s="20" t="s">
        <v>348</v>
      </c>
      <c r="I271" s="67">
        <v>0.1045782505479452</v>
      </c>
    </row>
    <row r="272" spans="2:9" x14ac:dyDescent="0.25">
      <c r="B272" s="3">
        <v>2</v>
      </c>
      <c r="C272" s="3">
        <v>2</v>
      </c>
      <c r="D272" s="3">
        <v>24</v>
      </c>
      <c r="E272" s="29" t="s">
        <v>0</v>
      </c>
      <c r="F272" s="29" t="s">
        <v>209</v>
      </c>
      <c r="G272" s="20" t="s">
        <v>70</v>
      </c>
      <c r="H272" s="20" t="s">
        <v>349</v>
      </c>
      <c r="I272" s="67">
        <v>8.9896739684931504E-2</v>
      </c>
    </row>
    <row r="273" spans="2:9" x14ac:dyDescent="0.25">
      <c r="B273" s="3">
        <v>2</v>
      </c>
      <c r="C273" s="3">
        <v>2</v>
      </c>
      <c r="D273" s="3">
        <v>24</v>
      </c>
      <c r="E273" s="29" t="s">
        <v>0</v>
      </c>
      <c r="F273" s="29" t="s">
        <v>232</v>
      </c>
      <c r="G273" s="20" t="s">
        <v>190</v>
      </c>
      <c r="H273" s="20" t="s">
        <v>350</v>
      </c>
      <c r="I273" s="67">
        <v>3.9287671230136982E-2</v>
      </c>
    </row>
    <row r="274" spans="2:9" x14ac:dyDescent="0.25">
      <c r="B274" s="3">
        <v>2</v>
      </c>
      <c r="C274" s="3">
        <v>2</v>
      </c>
      <c r="D274" s="3">
        <v>24</v>
      </c>
      <c r="E274" s="29" t="s">
        <v>0</v>
      </c>
      <c r="F274" s="29" t="s">
        <v>233</v>
      </c>
      <c r="G274" s="20" t="s">
        <v>185</v>
      </c>
      <c r="H274" s="20" t="s">
        <v>351</v>
      </c>
      <c r="I274" s="67">
        <v>0.24439168791780819</v>
      </c>
    </row>
    <row r="275" spans="2:9" x14ac:dyDescent="0.25">
      <c r="B275" s="3">
        <v>2</v>
      </c>
      <c r="C275" s="3">
        <v>2</v>
      </c>
      <c r="D275" s="3">
        <v>25</v>
      </c>
      <c r="E275" s="29" t="s">
        <v>0</v>
      </c>
      <c r="F275" s="29" t="s">
        <v>233</v>
      </c>
      <c r="G275" s="20" t="s">
        <v>88</v>
      </c>
      <c r="H275" s="20" t="s">
        <v>335</v>
      </c>
      <c r="I275" s="67">
        <v>0</v>
      </c>
    </row>
    <row r="276" spans="2:9" x14ac:dyDescent="0.25">
      <c r="B276" s="3">
        <v>2</v>
      </c>
      <c r="C276" s="3">
        <v>2</v>
      </c>
      <c r="D276" s="3">
        <v>25</v>
      </c>
      <c r="E276" s="29" t="s">
        <v>0</v>
      </c>
      <c r="F276" s="29" t="s">
        <v>234</v>
      </c>
      <c r="G276" s="20" t="s">
        <v>183</v>
      </c>
      <c r="H276" s="20" t="s">
        <v>352</v>
      </c>
      <c r="I276" s="67">
        <v>0.17225048920273972</v>
      </c>
    </row>
    <row r="277" spans="2:9" x14ac:dyDescent="0.25">
      <c r="B277" s="3">
        <v>2</v>
      </c>
      <c r="C277" s="3">
        <v>2</v>
      </c>
      <c r="D277" s="3">
        <v>25</v>
      </c>
      <c r="E277" s="29" t="s">
        <v>0</v>
      </c>
      <c r="F277" s="29" t="s">
        <v>231</v>
      </c>
      <c r="G277" s="20" t="s">
        <v>187</v>
      </c>
      <c r="H277" s="20" t="s">
        <v>353</v>
      </c>
      <c r="I277" s="67">
        <v>0.11880276805479449</v>
      </c>
    </row>
    <row r="278" spans="2:9" x14ac:dyDescent="0.25">
      <c r="B278" s="3">
        <v>2</v>
      </c>
      <c r="C278" s="3">
        <v>2</v>
      </c>
      <c r="D278" s="3">
        <v>25</v>
      </c>
      <c r="E278" s="29" t="s">
        <v>0</v>
      </c>
      <c r="F278" s="29" t="s">
        <v>235</v>
      </c>
      <c r="G278" s="20" t="s">
        <v>184</v>
      </c>
      <c r="H278" s="20" t="s">
        <v>354</v>
      </c>
      <c r="I278" s="67">
        <v>0.17977179027945206</v>
      </c>
    </row>
    <row r="279" spans="2:9" x14ac:dyDescent="0.25">
      <c r="B279" s="3">
        <v>2</v>
      </c>
      <c r="C279" s="3">
        <v>2</v>
      </c>
      <c r="D279" s="3">
        <v>25</v>
      </c>
      <c r="E279" s="29" t="s">
        <v>0</v>
      </c>
      <c r="F279" s="29" t="s">
        <v>230</v>
      </c>
      <c r="G279" s="20" t="s">
        <v>189</v>
      </c>
      <c r="H279" s="20" t="s">
        <v>355</v>
      </c>
      <c r="I279" s="67">
        <v>0.10625809352054792</v>
      </c>
    </row>
    <row r="280" spans="2:9" x14ac:dyDescent="0.25">
      <c r="B280" s="3">
        <v>2</v>
      </c>
      <c r="C280" s="3">
        <v>2</v>
      </c>
      <c r="D280" s="3">
        <v>26</v>
      </c>
      <c r="E280" s="29" t="s">
        <v>0</v>
      </c>
      <c r="F280" s="29" t="s">
        <v>230</v>
      </c>
      <c r="G280" s="20" t="s">
        <v>88</v>
      </c>
      <c r="H280" s="20" t="s">
        <v>335</v>
      </c>
      <c r="I280" s="67">
        <v>0</v>
      </c>
    </row>
    <row r="281" spans="2:9" x14ac:dyDescent="0.25">
      <c r="B281" s="3">
        <v>2</v>
      </c>
      <c r="C281" s="3">
        <v>2</v>
      </c>
      <c r="D281" s="3">
        <v>26</v>
      </c>
      <c r="E281" s="29" t="s">
        <v>0</v>
      </c>
      <c r="F281" s="29" t="s">
        <v>229</v>
      </c>
      <c r="G281" s="20" t="s">
        <v>188</v>
      </c>
      <c r="H281" s="20" t="s">
        <v>356</v>
      </c>
      <c r="I281" s="67">
        <v>6.2040649884931499E-2</v>
      </c>
    </row>
    <row r="282" spans="2:9" x14ac:dyDescent="0.25">
      <c r="B282" s="3">
        <v>2</v>
      </c>
      <c r="C282" s="3">
        <v>2</v>
      </c>
      <c r="D282" s="3">
        <v>26</v>
      </c>
      <c r="E282" s="29" t="s">
        <v>0</v>
      </c>
      <c r="F282" s="29" t="s">
        <v>219</v>
      </c>
      <c r="G282" s="20" t="s">
        <v>186</v>
      </c>
      <c r="H282" s="20" t="s">
        <v>357</v>
      </c>
      <c r="I282" s="67">
        <v>3.7079724331506851E-2</v>
      </c>
    </row>
    <row r="283" spans="2:9" x14ac:dyDescent="0.25">
      <c r="B283" s="3">
        <v>2</v>
      </c>
      <c r="C283" s="3">
        <v>2</v>
      </c>
      <c r="D283" s="3">
        <v>26</v>
      </c>
      <c r="E283" s="29" t="s">
        <v>0</v>
      </c>
      <c r="F283" s="29" t="s">
        <v>218</v>
      </c>
      <c r="G283" s="20" t="s">
        <v>76</v>
      </c>
      <c r="H283" s="20" t="s">
        <v>358</v>
      </c>
      <c r="I283" s="67">
        <v>7.1342465753424664E-2</v>
      </c>
    </row>
    <row r="284" spans="2:9" x14ac:dyDescent="0.25">
      <c r="B284" s="3">
        <v>2</v>
      </c>
      <c r="C284" s="3">
        <v>2</v>
      </c>
      <c r="D284" s="3">
        <v>26</v>
      </c>
      <c r="E284" s="29" t="s">
        <v>0</v>
      </c>
      <c r="F284" s="29" t="s">
        <v>285</v>
      </c>
      <c r="G284" s="20" t="s">
        <v>319</v>
      </c>
      <c r="H284" s="20" t="s">
        <v>359</v>
      </c>
      <c r="I284" s="67">
        <v>1.3871270406392694E-3</v>
      </c>
    </row>
    <row r="285" spans="2:9" x14ac:dyDescent="0.25">
      <c r="B285" s="3">
        <v>2</v>
      </c>
      <c r="C285" s="3">
        <v>2</v>
      </c>
      <c r="D285" s="3">
        <v>26</v>
      </c>
      <c r="E285" s="29" t="s">
        <v>0</v>
      </c>
      <c r="F285" s="29" t="s">
        <v>283</v>
      </c>
      <c r="G285" s="20" t="s">
        <v>384</v>
      </c>
      <c r="H285" s="20" t="s">
        <v>360</v>
      </c>
      <c r="I285" s="67">
        <v>1.8852682331506845E-2</v>
      </c>
    </row>
    <row r="286" spans="2:9" x14ac:dyDescent="0.25">
      <c r="B286" s="3">
        <v>2</v>
      </c>
      <c r="C286" s="3">
        <v>2</v>
      </c>
      <c r="D286" s="3">
        <v>26</v>
      </c>
      <c r="E286" s="29" t="s">
        <v>0</v>
      </c>
      <c r="F286" s="29" t="s">
        <v>282</v>
      </c>
      <c r="G286" s="20" t="s">
        <v>385</v>
      </c>
      <c r="H286" s="20" t="s">
        <v>361</v>
      </c>
      <c r="I286" s="67">
        <v>0</v>
      </c>
    </row>
    <row r="287" spans="2:9" x14ac:dyDescent="0.25">
      <c r="B287" s="3">
        <v>2</v>
      </c>
      <c r="C287" s="3">
        <v>2</v>
      </c>
      <c r="D287" s="3">
        <v>26</v>
      </c>
      <c r="E287" s="29" t="s">
        <v>0</v>
      </c>
      <c r="F287" s="29" t="s">
        <v>281</v>
      </c>
      <c r="G287" s="20" t="s">
        <v>386</v>
      </c>
      <c r="H287" s="20" t="s">
        <v>362</v>
      </c>
      <c r="I287" s="67">
        <v>2.0921162986301371E-2</v>
      </c>
    </row>
    <row r="288" spans="2:9" x14ac:dyDescent="0.25">
      <c r="B288" s="3">
        <v>2</v>
      </c>
      <c r="C288" s="3">
        <v>2</v>
      </c>
      <c r="D288" s="3">
        <v>26</v>
      </c>
      <c r="E288" s="29" t="s">
        <v>0</v>
      </c>
      <c r="F288" s="29" t="s">
        <v>280</v>
      </c>
      <c r="G288" s="20" t="s">
        <v>387</v>
      </c>
      <c r="H288" s="20" t="s">
        <v>363</v>
      </c>
      <c r="I288" s="67">
        <v>2.2939518320547945E-2</v>
      </c>
    </row>
    <row r="289" spans="2:9" x14ac:dyDescent="0.25">
      <c r="B289" s="3">
        <v>2</v>
      </c>
      <c r="C289" s="3">
        <v>2</v>
      </c>
      <c r="D289" s="3">
        <v>27</v>
      </c>
      <c r="E289" s="29" t="s">
        <v>0</v>
      </c>
      <c r="F289" s="29" t="s">
        <v>280</v>
      </c>
      <c r="G289" s="20" t="s">
        <v>88</v>
      </c>
      <c r="H289" s="20" t="s">
        <v>335</v>
      </c>
      <c r="I289" s="67">
        <v>0</v>
      </c>
    </row>
    <row r="290" spans="2:9" x14ac:dyDescent="0.25">
      <c r="B290" s="3">
        <v>2</v>
      </c>
      <c r="C290" s="3">
        <v>2</v>
      </c>
      <c r="D290" s="3">
        <v>27</v>
      </c>
      <c r="E290" s="29" t="s">
        <v>0</v>
      </c>
      <c r="F290" s="29" t="s">
        <v>279</v>
      </c>
      <c r="G290" s="20" t="s">
        <v>388</v>
      </c>
      <c r="H290" s="20" t="s">
        <v>364</v>
      </c>
      <c r="I290" s="67">
        <v>7.1301369872146117E-3</v>
      </c>
    </row>
    <row r="291" spans="2:9" x14ac:dyDescent="0.25">
      <c r="B291" s="3">
        <v>2</v>
      </c>
      <c r="C291" s="3">
        <v>2</v>
      </c>
      <c r="D291" s="3">
        <v>27</v>
      </c>
      <c r="E291" s="29" t="s">
        <v>0</v>
      </c>
      <c r="F291" s="29" t="s">
        <v>278</v>
      </c>
      <c r="G291" s="20" t="s">
        <v>389</v>
      </c>
      <c r="H291" s="20" t="s">
        <v>365</v>
      </c>
      <c r="I291" s="67">
        <v>9.6328767123287674E-3</v>
      </c>
    </row>
    <row r="292" spans="2:9" x14ac:dyDescent="0.25">
      <c r="B292" s="3">
        <v>2</v>
      </c>
      <c r="C292" s="3">
        <v>2</v>
      </c>
      <c r="D292" s="3">
        <v>27</v>
      </c>
      <c r="E292" s="29" t="s">
        <v>0</v>
      </c>
      <c r="F292" s="29" t="s">
        <v>277</v>
      </c>
      <c r="G292" s="20" t="s">
        <v>390</v>
      </c>
      <c r="H292" s="20" t="s">
        <v>366</v>
      </c>
      <c r="I292" s="67">
        <v>0</v>
      </c>
    </row>
    <row r="293" spans="2:9" x14ac:dyDescent="0.25">
      <c r="B293" s="3">
        <v>2</v>
      </c>
      <c r="C293" s="3">
        <v>2</v>
      </c>
      <c r="D293" s="3">
        <v>27</v>
      </c>
      <c r="E293" s="29" t="s">
        <v>0</v>
      </c>
      <c r="F293" s="29" t="s">
        <v>59</v>
      </c>
      <c r="G293" s="20" t="s">
        <v>391</v>
      </c>
      <c r="H293" s="20" t="s">
        <v>367</v>
      </c>
      <c r="I293" s="67">
        <v>0.10934075342465753</v>
      </c>
    </row>
    <row r="294" spans="2:9" x14ac:dyDescent="0.25">
      <c r="B294" s="3">
        <v>2</v>
      </c>
      <c r="C294" s="3">
        <v>2</v>
      </c>
      <c r="D294" s="3">
        <v>28</v>
      </c>
      <c r="E294" s="29" t="s">
        <v>0</v>
      </c>
      <c r="F294" s="29" t="s">
        <v>59</v>
      </c>
      <c r="G294" s="20" t="s">
        <v>88</v>
      </c>
      <c r="H294" s="20" t="s">
        <v>335</v>
      </c>
      <c r="I294" s="67">
        <v>0</v>
      </c>
    </row>
    <row r="295" spans="2:9" x14ac:dyDescent="0.25">
      <c r="B295" s="3">
        <v>2</v>
      </c>
      <c r="C295" s="3">
        <v>2</v>
      </c>
      <c r="D295" s="3">
        <v>28</v>
      </c>
      <c r="E295" s="29" t="s">
        <v>0</v>
      </c>
      <c r="F295" s="29" t="s">
        <v>217</v>
      </c>
      <c r="G295" s="20" t="s">
        <v>60</v>
      </c>
      <c r="H295" s="20" t="s">
        <v>368</v>
      </c>
      <c r="I295" s="67">
        <v>0.16978342957808218</v>
      </c>
    </row>
    <row r="296" spans="2:9" x14ac:dyDescent="0.25">
      <c r="B296" s="3">
        <v>2</v>
      </c>
      <c r="C296" s="3">
        <v>2</v>
      </c>
      <c r="D296" s="3">
        <v>28</v>
      </c>
      <c r="E296" s="29" t="s">
        <v>0</v>
      </c>
      <c r="F296" s="29" t="s">
        <v>198</v>
      </c>
      <c r="G296" s="20" t="s">
        <v>63</v>
      </c>
      <c r="H296" s="20" t="s">
        <v>369</v>
      </c>
      <c r="I296" s="67">
        <v>0.13255912038630135</v>
      </c>
    </row>
    <row r="297" spans="2:9" x14ac:dyDescent="0.25">
      <c r="B297" s="3">
        <v>2</v>
      </c>
      <c r="C297" s="3">
        <v>2</v>
      </c>
      <c r="D297" s="3">
        <v>28</v>
      </c>
      <c r="E297" s="29" t="s">
        <v>0</v>
      </c>
      <c r="F297" s="29" t="s">
        <v>199</v>
      </c>
      <c r="G297" s="20" t="s">
        <v>66</v>
      </c>
      <c r="H297" s="20" t="s">
        <v>370</v>
      </c>
      <c r="I297" s="67">
        <v>0.16694250215342465</v>
      </c>
    </row>
    <row r="298" spans="2:9" x14ac:dyDescent="0.25">
      <c r="B298" s="3">
        <v>2</v>
      </c>
      <c r="C298" s="3">
        <v>2</v>
      </c>
      <c r="D298" s="3">
        <v>28</v>
      </c>
      <c r="E298" s="29" t="s">
        <v>0</v>
      </c>
      <c r="F298" s="29" t="s">
        <v>57</v>
      </c>
      <c r="G298" s="20" t="s">
        <v>58</v>
      </c>
      <c r="H298" s="20" t="s">
        <v>371</v>
      </c>
      <c r="I298" s="67">
        <v>0.21755842067214609</v>
      </c>
    </row>
    <row r="299" spans="2:9" x14ac:dyDescent="0.25">
      <c r="B299" s="3">
        <v>2</v>
      </c>
      <c r="C299" s="3">
        <v>2</v>
      </c>
      <c r="D299" s="3">
        <v>29</v>
      </c>
      <c r="E299" s="29" t="s">
        <v>0</v>
      </c>
      <c r="F299" s="29" t="s">
        <v>57</v>
      </c>
      <c r="G299" s="20" t="s">
        <v>88</v>
      </c>
      <c r="H299" s="20" t="s">
        <v>335</v>
      </c>
      <c r="I299" s="67">
        <v>0</v>
      </c>
    </row>
    <row r="300" spans="2:9" x14ac:dyDescent="0.25">
      <c r="B300" s="3">
        <v>2</v>
      </c>
      <c r="C300" s="3">
        <v>2</v>
      </c>
      <c r="D300" s="3">
        <v>29</v>
      </c>
      <c r="E300" s="29" t="s">
        <v>0</v>
      </c>
      <c r="F300" s="29" t="s">
        <v>210</v>
      </c>
      <c r="G300" s="20" t="s">
        <v>67</v>
      </c>
      <c r="H300" s="20" t="s">
        <v>372</v>
      </c>
      <c r="I300" s="67">
        <v>0.16122830210593608</v>
      </c>
    </row>
    <row r="301" spans="2:9" x14ac:dyDescent="0.25">
      <c r="B301" s="3">
        <v>2</v>
      </c>
      <c r="C301" s="3">
        <v>2</v>
      </c>
      <c r="D301" s="3">
        <v>29</v>
      </c>
      <c r="E301" s="29" t="s">
        <v>0</v>
      </c>
      <c r="F301" s="29" t="s">
        <v>211</v>
      </c>
      <c r="G301" s="20" t="s">
        <v>74</v>
      </c>
      <c r="H301" s="20" t="s">
        <v>373</v>
      </c>
      <c r="I301" s="67">
        <v>0.10010824824474886</v>
      </c>
    </row>
    <row r="302" spans="2:9" x14ac:dyDescent="0.25">
      <c r="B302" s="3">
        <v>2</v>
      </c>
      <c r="C302" s="3">
        <v>2</v>
      </c>
      <c r="D302" s="3">
        <v>29</v>
      </c>
      <c r="E302" s="29" t="s">
        <v>0</v>
      </c>
      <c r="F302" s="29" t="s">
        <v>206</v>
      </c>
      <c r="G302" s="20" t="s">
        <v>69</v>
      </c>
      <c r="H302" s="20" t="s">
        <v>374</v>
      </c>
      <c r="I302" s="67">
        <v>7.5298572977625558E-2</v>
      </c>
    </row>
    <row r="303" spans="2:9" x14ac:dyDescent="0.25">
      <c r="B303" s="3">
        <v>2</v>
      </c>
      <c r="C303" s="3">
        <v>2</v>
      </c>
      <c r="D303" s="3">
        <v>29</v>
      </c>
      <c r="E303" s="29" t="s">
        <v>0</v>
      </c>
      <c r="F303" s="29" t="s">
        <v>207</v>
      </c>
      <c r="G303" s="20" t="s">
        <v>75</v>
      </c>
      <c r="H303" s="20" t="s">
        <v>375</v>
      </c>
      <c r="I303" s="67">
        <v>7.8903438637442938E-2</v>
      </c>
    </row>
    <row r="304" spans="2:9" x14ac:dyDescent="0.25">
      <c r="B304" s="3">
        <v>2</v>
      </c>
      <c r="C304" s="3">
        <v>2</v>
      </c>
      <c r="D304" s="3">
        <v>29</v>
      </c>
      <c r="E304" s="29" t="s">
        <v>0</v>
      </c>
      <c r="F304" s="29" t="s">
        <v>216</v>
      </c>
      <c r="G304" s="20" t="s">
        <v>77</v>
      </c>
      <c r="H304" s="20" t="s">
        <v>376</v>
      </c>
      <c r="I304" s="67">
        <v>3.0113013698630137E-2</v>
      </c>
    </row>
    <row r="305" spans="2:9" x14ac:dyDescent="0.25">
      <c r="B305" s="3">
        <v>3</v>
      </c>
      <c r="C305" s="3">
        <v>0</v>
      </c>
      <c r="D305" s="3">
        <v>0</v>
      </c>
      <c r="E305" s="29" t="s">
        <v>0</v>
      </c>
      <c r="F305" s="29" t="s">
        <v>223</v>
      </c>
      <c r="G305" s="20" t="s">
        <v>88</v>
      </c>
      <c r="H305" s="20" t="s">
        <v>335</v>
      </c>
      <c r="I305" s="67">
        <v>0</v>
      </c>
    </row>
    <row r="306" spans="2:9" x14ac:dyDescent="0.25">
      <c r="B306" s="3">
        <v>3</v>
      </c>
      <c r="C306" s="3">
        <v>0</v>
      </c>
      <c r="D306" s="3">
        <v>0</v>
      </c>
      <c r="E306" s="29" t="s">
        <v>0</v>
      </c>
      <c r="F306" s="29" t="s">
        <v>224</v>
      </c>
      <c r="G306" s="20" t="s">
        <v>65</v>
      </c>
      <c r="H306" s="20" t="s">
        <v>336</v>
      </c>
      <c r="I306" s="67">
        <v>0.62421917799452042</v>
      </c>
    </row>
    <row r="307" spans="2:9" x14ac:dyDescent="0.25">
      <c r="B307" s="3">
        <v>3</v>
      </c>
      <c r="C307" s="3">
        <v>0</v>
      </c>
      <c r="D307" s="3">
        <v>0</v>
      </c>
      <c r="E307" s="29" t="s">
        <v>0</v>
      </c>
      <c r="F307" s="29" t="s">
        <v>225</v>
      </c>
      <c r="G307" s="20" t="s">
        <v>72</v>
      </c>
      <c r="H307" s="20" t="s">
        <v>337</v>
      </c>
      <c r="I307" s="67">
        <v>0.3094879332388128</v>
      </c>
    </row>
    <row r="308" spans="2:9" x14ac:dyDescent="0.25">
      <c r="B308" s="3">
        <v>3</v>
      </c>
      <c r="C308" s="3">
        <v>0</v>
      </c>
      <c r="D308" s="3">
        <v>0</v>
      </c>
      <c r="E308" s="29" t="s">
        <v>0</v>
      </c>
      <c r="F308" s="29" t="s">
        <v>201</v>
      </c>
      <c r="G308" s="20" t="s">
        <v>62</v>
      </c>
      <c r="H308" s="20" t="s">
        <v>338</v>
      </c>
      <c r="I308" s="67">
        <v>0.64156347031963479</v>
      </c>
    </row>
    <row r="309" spans="2:9" x14ac:dyDescent="0.25">
      <c r="B309" s="3">
        <v>3</v>
      </c>
      <c r="C309" s="3">
        <v>0</v>
      </c>
      <c r="D309" s="3">
        <v>0</v>
      </c>
      <c r="E309" s="29" t="s">
        <v>0</v>
      </c>
      <c r="F309" s="29" t="s">
        <v>202</v>
      </c>
      <c r="G309" s="20" t="s">
        <v>61</v>
      </c>
      <c r="H309" s="20" t="s">
        <v>339</v>
      </c>
      <c r="I309" s="67">
        <v>0.52235128535753417</v>
      </c>
    </row>
    <row r="310" spans="2:9" x14ac:dyDescent="0.25">
      <c r="B310" s="3">
        <v>3</v>
      </c>
      <c r="C310" s="3">
        <v>0</v>
      </c>
      <c r="D310" s="3">
        <v>0</v>
      </c>
      <c r="E310" s="29" t="s">
        <v>0</v>
      </c>
      <c r="F310" s="29" t="s">
        <v>227</v>
      </c>
      <c r="G310" s="20" t="s">
        <v>73</v>
      </c>
      <c r="H310" s="20" t="s">
        <v>340</v>
      </c>
      <c r="I310" s="67">
        <v>0.31054233898630135</v>
      </c>
    </row>
    <row r="311" spans="2:9" x14ac:dyDescent="0.25">
      <c r="B311" s="3">
        <v>3</v>
      </c>
      <c r="C311" s="3">
        <v>0</v>
      </c>
      <c r="D311" s="3">
        <v>1</v>
      </c>
      <c r="E311" s="29" t="s">
        <v>0</v>
      </c>
      <c r="F311" s="29" t="s">
        <v>227</v>
      </c>
      <c r="G311" s="20" t="s">
        <v>88</v>
      </c>
      <c r="H311" s="20" t="s">
        <v>335</v>
      </c>
      <c r="I311" s="67">
        <v>0</v>
      </c>
    </row>
    <row r="312" spans="2:9" x14ac:dyDescent="0.25">
      <c r="B312" s="3">
        <v>3</v>
      </c>
      <c r="C312" s="3">
        <v>0</v>
      </c>
      <c r="D312" s="3">
        <v>1</v>
      </c>
      <c r="E312" s="29" t="s">
        <v>0</v>
      </c>
      <c r="F312" s="29" t="s">
        <v>222</v>
      </c>
      <c r="G312" s="20" t="s">
        <v>71</v>
      </c>
      <c r="H312" s="20" t="s">
        <v>341</v>
      </c>
      <c r="I312" s="67">
        <v>0.33192078615068482</v>
      </c>
    </row>
    <row r="313" spans="2:9" x14ac:dyDescent="0.25">
      <c r="B313" s="3">
        <v>3</v>
      </c>
      <c r="C313" s="3">
        <v>0</v>
      </c>
      <c r="D313" s="3">
        <v>1</v>
      </c>
      <c r="E313" s="29" t="s">
        <v>0</v>
      </c>
      <c r="F313" s="29" t="s">
        <v>197</v>
      </c>
      <c r="G313" s="20" t="s">
        <v>78</v>
      </c>
      <c r="H313" s="20" t="s">
        <v>342</v>
      </c>
      <c r="I313" s="67">
        <v>0.19903972602739725</v>
      </c>
    </row>
    <row r="314" spans="2:9" x14ac:dyDescent="0.25">
      <c r="B314" s="3">
        <v>3</v>
      </c>
      <c r="C314" s="3">
        <v>0</v>
      </c>
      <c r="D314" s="3">
        <v>1</v>
      </c>
      <c r="E314" s="29" t="s">
        <v>0</v>
      </c>
      <c r="F314" s="29" t="s">
        <v>293</v>
      </c>
      <c r="G314" s="20" t="s">
        <v>377</v>
      </c>
      <c r="H314" s="20" t="s">
        <v>343</v>
      </c>
      <c r="I314" s="67">
        <v>0.13018185162739723</v>
      </c>
    </row>
    <row r="315" spans="2:9" x14ac:dyDescent="0.25">
      <c r="B315" s="3">
        <v>3</v>
      </c>
      <c r="C315" s="3">
        <v>0</v>
      </c>
      <c r="D315" s="3">
        <v>1</v>
      </c>
      <c r="E315" s="29" t="s">
        <v>0</v>
      </c>
      <c r="F315" s="29" t="s">
        <v>298</v>
      </c>
      <c r="G315" s="20" t="s">
        <v>378</v>
      </c>
      <c r="H315" s="20" t="s">
        <v>344</v>
      </c>
      <c r="I315" s="67">
        <v>0.17885771809315065</v>
      </c>
    </row>
    <row r="316" spans="2:9" x14ac:dyDescent="0.25">
      <c r="B316" s="3">
        <v>3</v>
      </c>
      <c r="C316" s="3">
        <v>0</v>
      </c>
      <c r="D316" s="3">
        <v>2</v>
      </c>
      <c r="E316" s="29" t="s">
        <v>0</v>
      </c>
      <c r="F316" s="29" t="s">
        <v>298</v>
      </c>
      <c r="G316" s="20" t="s">
        <v>88</v>
      </c>
      <c r="H316" s="20" t="s">
        <v>335</v>
      </c>
      <c r="I316" s="67">
        <v>0</v>
      </c>
    </row>
    <row r="317" spans="2:9" x14ac:dyDescent="0.25">
      <c r="B317" s="3">
        <v>3</v>
      </c>
      <c r="C317" s="3">
        <v>0</v>
      </c>
      <c r="D317" s="3">
        <v>2</v>
      </c>
      <c r="E317" s="29" t="s">
        <v>0</v>
      </c>
      <c r="F317" s="29" t="s">
        <v>294</v>
      </c>
      <c r="G317" s="20" t="s">
        <v>379</v>
      </c>
      <c r="H317" s="20" t="s">
        <v>345</v>
      </c>
      <c r="I317" s="67">
        <v>0.16408889538904112</v>
      </c>
    </row>
    <row r="318" spans="2:9" x14ac:dyDescent="0.25">
      <c r="B318" s="3">
        <v>3</v>
      </c>
      <c r="C318" s="3">
        <v>0</v>
      </c>
      <c r="D318" s="3">
        <v>2</v>
      </c>
      <c r="E318" s="29" t="s">
        <v>0</v>
      </c>
      <c r="F318" s="29" t="s">
        <v>0</v>
      </c>
      <c r="G318" s="20" t="s">
        <v>383</v>
      </c>
      <c r="H318" s="20" t="s">
        <v>346</v>
      </c>
      <c r="I318" s="67">
        <v>8.569996659315067E-2</v>
      </c>
    </row>
    <row r="319" spans="2:9" x14ac:dyDescent="0.25">
      <c r="B319" s="3">
        <v>3</v>
      </c>
      <c r="C319" s="3">
        <v>0</v>
      </c>
      <c r="D319" s="3">
        <v>3</v>
      </c>
      <c r="E319" s="29" t="s">
        <v>0</v>
      </c>
      <c r="F319" s="29" t="s">
        <v>0</v>
      </c>
      <c r="G319" s="20" t="s">
        <v>88</v>
      </c>
      <c r="H319" s="20" t="s">
        <v>335</v>
      </c>
      <c r="I319" s="67">
        <v>0</v>
      </c>
    </row>
    <row r="320" spans="2:9" x14ac:dyDescent="0.25">
      <c r="B320" s="3">
        <v>3</v>
      </c>
      <c r="C320" s="3">
        <v>0</v>
      </c>
      <c r="D320" s="3">
        <v>3</v>
      </c>
      <c r="E320" s="29" t="s">
        <v>0</v>
      </c>
      <c r="F320" s="29" t="s">
        <v>204</v>
      </c>
      <c r="G320" s="20" t="s">
        <v>56</v>
      </c>
      <c r="H320" s="20" t="s">
        <v>347</v>
      </c>
      <c r="I320" s="67">
        <v>0.79987642982876717</v>
      </c>
    </row>
    <row r="321" spans="2:9" x14ac:dyDescent="0.25">
      <c r="B321" s="3">
        <v>3</v>
      </c>
      <c r="C321" s="3">
        <v>0</v>
      </c>
      <c r="D321" s="3">
        <v>3</v>
      </c>
      <c r="E321" s="29" t="s">
        <v>0</v>
      </c>
      <c r="F321" s="29" t="s">
        <v>205</v>
      </c>
      <c r="G321" s="20" t="s">
        <v>64</v>
      </c>
      <c r="H321" s="20" t="s">
        <v>348</v>
      </c>
      <c r="I321" s="67">
        <v>0.47060212746575342</v>
      </c>
    </row>
    <row r="322" spans="2:9" x14ac:dyDescent="0.25">
      <c r="B322" s="3">
        <v>3</v>
      </c>
      <c r="C322" s="3">
        <v>0</v>
      </c>
      <c r="D322" s="3">
        <v>3</v>
      </c>
      <c r="E322" s="29" t="s">
        <v>0</v>
      </c>
      <c r="F322" s="29" t="s">
        <v>209</v>
      </c>
      <c r="G322" s="20" t="s">
        <v>70</v>
      </c>
      <c r="H322" s="20" t="s">
        <v>349</v>
      </c>
      <c r="I322" s="67">
        <v>0.3100284996826484</v>
      </c>
    </row>
    <row r="323" spans="2:9" x14ac:dyDescent="0.25">
      <c r="B323" s="3">
        <v>3</v>
      </c>
      <c r="C323" s="3">
        <v>0</v>
      </c>
      <c r="D323" s="3">
        <v>3</v>
      </c>
      <c r="E323" s="29" t="s">
        <v>0</v>
      </c>
      <c r="F323" s="29" t="s">
        <v>232</v>
      </c>
      <c r="G323" s="20" t="s">
        <v>190</v>
      </c>
      <c r="H323" s="20" t="s">
        <v>350</v>
      </c>
      <c r="I323" s="67">
        <v>0.10879662802191779</v>
      </c>
    </row>
    <row r="324" spans="2:9" x14ac:dyDescent="0.25">
      <c r="B324" s="3">
        <v>3</v>
      </c>
      <c r="C324" s="3">
        <v>0</v>
      </c>
      <c r="D324" s="3">
        <v>4</v>
      </c>
      <c r="E324" s="29" t="s">
        <v>0</v>
      </c>
      <c r="F324" s="29" t="s">
        <v>232</v>
      </c>
      <c r="G324" s="20" t="s">
        <v>88</v>
      </c>
      <c r="H324" s="20" t="s">
        <v>335</v>
      </c>
      <c r="I324" s="67">
        <v>0</v>
      </c>
    </row>
    <row r="325" spans="2:9" x14ac:dyDescent="0.25">
      <c r="B325" s="3">
        <v>3</v>
      </c>
      <c r="C325" s="3">
        <v>0</v>
      </c>
      <c r="D325" s="3">
        <v>4</v>
      </c>
      <c r="E325" s="29" t="s">
        <v>0</v>
      </c>
      <c r="F325" s="29" t="s">
        <v>233</v>
      </c>
      <c r="G325" s="20" t="s">
        <v>185</v>
      </c>
      <c r="H325" s="20" t="s">
        <v>351</v>
      </c>
      <c r="I325" s="67">
        <v>0.97862932422739712</v>
      </c>
    </row>
    <row r="326" spans="2:9" x14ac:dyDescent="0.25">
      <c r="B326" s="3">
        <v>3</v>
      </c>
      <c r="C326" s="3">
        <v>0</v>
      </c>
      <c r="D326" s="3">
        <v>5</v>
      </c>
      <c r="E326" s="29" t="s">
        <v>0</v>
      </c>
      <c r="F326" s="29" t="s">
        <v>233</v>
      </c>
      <c r="G326" s="20" t="s">
        <v>88</v>
      </c>
      <c r="H326" s="20" t="s">
        <v>335</v>
      </c>
      <c r="I326" s="67">
        <v>0</v>
      </c>
    </row>
    <row r="327" spans="2:9" x14ac:dyDescent="0.25">
      <c r="B327" s="3">
        <v>3</v>
      </c>
      <c r="C327" s="3">
        <v>0</v>
      </c>
      <c r="D327" s="3">
        <v>5</v>
      </c>
      <c r="E327" s="29" t="s">
        <v>0</v>
      </c>
      <c r="F327" s="29" t="s">
        <v>234</v>
      </c>
      <c r="G327" s="20" t="s">
        <v>183</v>
      </c>
      <c r="H327" s="20" t="s">
        <v>352</v>
      </c>
      <c r="I327" s="67">
        <v>0.761054449026484</v>
      </c>
    </row>
    <row r="328" spans="2:9" x14ac:dyDescent="0.25">
      <c r="B328" s="3">
        <v>3</v>
      </c>
      <c r="C328" s="3">
        <v>0</v>
      </c>
      <c r="D328" s="3">
        <v>5</v>
      </c>
      <c r="E328" s="29" t="s">
        <v>0</v>
      </c>
      <c r="F328" s="29" t="s">
        <v>231</v>
      </c>
      <c r="G328" s="20" t="s">
        <v>187</v>
      </c>
      <c r="H328" s="20" t="s">
        <v>353</v>
      </c>
      <c r="I328" s="67">
        <v>0.57002481980136988</v>
      </c>
    </row>
    <row r="329" spans="2:9" x14ac:dyDescent="0.25">
      <c r="B329" s="3">
        <v>3</v>
      </c>
      <c r="C329" s="3">
        <v>0</v>
      </c>
      <c r="D329" s="3">
        <v>6</v>
      </c>
      <c r="E329" s="29" t="s">
        <v>0</v>
      </c>
      <c r="F329" s="29" t="s">
        <v>231</v>
      </c>
      <c r="G329" s="20" t="s">
        <v>88</v>
      </c>
      <c r="H329" s="20" t="s">
        <v>335</v>
      </c>
      <c r="I329" s="67">
        <v>0</v>
      </c>
    </row>
    <row r="330" spans="2:9" x14ac:dyDescent="0.25">
      <c r="B330" s="3">
        <v>3</v>
      </c>
      <c r="C330" s="3">
        <v>0</v>
      </c>
      <c r="D330" s="3">
        <v>6</v>
      </c>
      <c r="E330" s="29" t="s">
        <v>0</v>
      </c>
      <c r="F330" s="29" t="s">
        <v>235</v>
      </c>
      <c r="G330" s="20" t="s">
        <v>184</v>
      </c>
      <c r="H330" s="20" t="s">
        <v>354</v>
      </c>
      <c r="I330" s="67">
        <v>0.65250501656986304</v>
      </c>
    </row>
    <row r="331" spans="2:9" x14ac:dyDescent="0.25">
      <c r="B331" s="3">
        <v>3</v>
      </c>
      <c r="C331" s="3">
        <v>0</v>
      </c>
      <c r="D331" s="3">
        <v>6</v>
      </c>
      <c r="E331" s="29" t="s">
        <v>0</v>
      </c>
      <c r="F331" s="29" t="s">
        <v>230</v>
      </c>
      <c r="G331" s="20" t="s">
        <v>189</v>
      </c>
      <c r="H331" s="20" t="s">
        <v>355</v>
      </c>
      <c r="I331" s="67">
        <v>0.40023881892739721</v>
      </c>
    </row>
    <row r="332" spans="2:9" x14ac:dyDescent="0.25">
      <c r="B332" s="3">
        <v>3</v>
      </c>
      <c r="C332" s="3">
        <v>0</v>
      </c>
      <c r="D332" s="3">
        <v>7</v>
      </c>
      <c r="E332" s="29" t="s">
        <v>0</v>
      </c>
      <c r="F332" s="29" t="s">
        <v>230</v>
      </c>
      <c r="G332" s="20" t="s">
        <v>88</v>
      </c>
      <c r="H332" s="20" t="s">
        <v>335</v>
      </c>
      <c r="I332" s="67">
        <v>0</v>
      </c>
    </row>
    <row r="333" spans="2:9" x14ac:dyDescent="0.25">
      <c r="B333" s="3">
        <v>3</v>
      </c>
      <c r="C333" s="3">
        <v>0</v>
      </c>
      <c r="D333" s="3">
        <v>7</v>
      </c>
      <c r="E333" s="29" t="s">
        <v>0</v>
      </c>
      <c r="F333" s="29" t="s">
        <v>229</v>
      </c>
      <c r="G333" s="20" t="s">
        <v>188</v>
      </c>
      <c r="H333" s="20" t="s">
        <v>356</v>
      </c>
      <c r="I333" s="67">
        <v>0.33125275563561646</v>
      </c>
    </row>
    <row r="334" spans="2:9" x14ac:dyDescent="0.25">
      <c r="B334" s="3">
        <v>3</v>
      </c>
      <c r="C334" s="3">
        <v>0</v>
      </c>
      <c r="D334" s="3">
        <v>7</v>
      </c>
      <c r="E334" s="29" t="s">
        <v>0</v>
      </c>
      <c r="F334" s="29" t="s">
        <v>219</v>
      </c>
      <c r="G334" s="20" t="s">
        <v>186</v>
      </c>
      <c r="H334" s="20" t="s">
        <v>357</v>
      </c>
      <c r="I334" s="67">
        <v>0.25238134948219176</v>
      </c>
    </row>
    <row r="335" spans="2:9" x14ac:dyDescent="0.25">
      <c r="B335" s="3">
        <v>3</v>
      </c>
      <c r="C335" s="3">
        <v>0</v>
      </c>
      <c r="D335" s="3">
        <v>7</v>
      </c>
      <c r="E335" s="29" t="s">
        <v>0</v>
      </c>
      <c r="F335" s="29" t="s">
        <v>218</v>
      </c>
      <c r="G335" s="20" t="s">
        <v>76</v>
      </c>
      <c r="H335" s="20" t="s">
        <v>358</v>
      </c>
      <c r="I335" s="67">
        <v>0.32334246575342468</v>
      </c>
    </row>
    <row r="336" spans="2:9" x14ac:dyDescent="0.25">
      <c r="B336" s="3">
        <v>3</v>
      </c>
      <c r="C336" s="3">
        <v>0</v>
      </c>
      <c r="D336" s="3">
        <v>7</v>
      </c>
      <c r="E336" s="29" t="s">
        <v>0</v>
      </c>
      <c r="F336" s="29" t="s">
        <v>285</v>
      </c>
      <c r="G336" s="20" t="s">
        <v>319</v>
      </c>
      <c r="H336" s="20" t="s">
        <v>359</v>
      </c>
      <c r="I336" s="67">
        <v>5.409795458493151E-2</v>
      </c>
    </row>
    <row r="337" spans="2:9" x14ac:dyDescent="0.25">
      <c r="B337" s="3">
        <v>3</v>
      </c>
      <c r="C337" s="3">
        <v>0</v>
      </c>
      <c r="D337" s="3">
        <v>7</v>
      </c>
      <c r="E337" s="29" t="s">
        <v>0</v>
      </c>
      <c r="F337" s="29" t="s">
        <v>283</v>
      </c>
      <c r="G337" s="20" t="s">
        <v>384</v>
      </c>
      <c r="H337" s="20" t="s">
        <v>360</v>
      </c>
      <c r="I337" s="67">
        <v>7.8552843047945201E-2</v>
      </c>
    </row>
    <row r="338" spans="2:9" x14ac:dyDescent="0.25">
      <c r="B338" s="3">
        <v>3</v>
      </c>
      <c r="C338" s="3">
        <v>0</v>
      </c>
      <c r="D338" s="3">
        <v>8</v>
      </c>
      <c r="E338" s="29" t="s">
        <v>0</v>
      </c>
      <c r="F338" s="29" t="s">
        <v>283</v>
      </c>
      <c r="G338" s="20" t="s">
        <v>88</v>
      </c>
      <c r="H338" s="20" t="s">
        <v>335</v>
      </c>
      <c r="I338" s="67">
        <v>0</v>
      </c>
    </row>
    <row r="339" spans="2:9" x14ac:dyDescent="0.25">
      <c r="B339" s="3">
        <v>3</v>
      </c>
      <c r="C339" s="3">
        <v>0</v>
      </c>
      <c r="D339" s="3">
        <v>8</v>
      </c>
      <c r="E339" s="29" t="s">
        <v>0</v>
      </c>
      <c r="F339" s="29" t="s">
        <v>282</v>
      </c>
      <c r="G339" s="20" t="s">
        <v>385</v>
      </c>
      <c r="H339" s="20" t="s">
        <v>361</v>
      </c>
      <c r="I339" s="67">
        <v>0</v>
      </c>
    </row>
    <row r="340" spans="2:9" x14ac:dyDescent="0.25">
      <c r="B340" s="3">
        <v>3</v>
      </c>
      <c r="C340" s="3">
        <v>0</v>
      </c>
      <c r="D340" s="3">
        <v>8</v>
      </c>
      <c r="E340" s="29" t="s">
        <v>0</v>
      </c>
      <c r="F340" s="29" t="s">
        <v>281</v>
      </c>
      <c r="G340" s="20" t="s">
        <v>386</v>
      </c>
      <c r="H340" s="20" t="s">
        <v>362</v>
      </c>
      <c r="I340" s="67">
        <v>6.8342465755251144E-2</v>
      </c>
    </row>
    <row r="341" spans="2:9" x14ac:dyDescent="0.25">
      <c r="B341" s="3">
        <v>3</v>
      </c>
      <c r="C341" s="3">
        <v>0</v>
      </c>
      <c r="D341" s="3">
        <v>8</v>
      </c>
      <c r="E341" s="29" t="s">
        <v>0</v>
      </c>
      <c r="F341" s="29" t="s">
        <v>280</v>
      </c>
      <c r="G341" s="20" t="s">
        <v>387</v>
      </c>
      <c r="H341" s="20" t="s">
        <v>363</v>
      </c>
      <c r="I341" s="67">
        <v>0.14528361603013701</v>
      </c>
    </row>
    <row r="342" spans="2:9" x14ac:dyDescent="0.25">
      <c r="B342" s="3">
        <v>3</v>
      </c>
      <c r="C342" s="3">
        <v>0</v>
      </c>
      <c r="D342" s="3">
        <v>8</v>
      </c>
      <c r="E342" s="29" t="s">
        <v>0</v>
      </c>
      <c r="F342" s="29" t="s">
        <v>279</v>
      </c>
      <c r="G342" s="20" t="s">
        <v>388</v>
      </c>
      <c r="H342" s="20" t="s">
        <v>364</v>
      </c>
      <c r="I342" s="67">
        <v>2.5464774954337903E-2</v>
      </c>
    </row>
    <row r="343" spans="2:9" x14ac:dyDescent="0.25">
      <c r="B343" s="3">
        <v>3</v>
      </c>
      <c r="C343" s="3">
        <v>0</v>
      </c>
      <c r="D343" s="3">
        <v>8</v>
      </c>
      <c r="E343" s="29" t="s">
        <v>0</v>
      </c>
      <c r="F343" s="29" t="s">
        <v>278</v>
      </c>
      <c r="G343" s="20" t="s">
        <v>389</v>
      </c>
      <c r="H343" s="20" t="s">
        <v>365</v>
      </c>
      <c r="I343" s="67">
        <v>6.9570776255707761E-2</v>
      </c>
    </row>
    <row r="344" spans="2:9" x14ac:dyDescent="0.25">
      <c r="B344" s="3">
        <v>3</v>
      </c>
      <c r="C344" s="3">
        <v>0</v>
      </c>
      <c r="D344" s="3">
        <v>8</v>
      </c>
      <c r="E344" s="29" t="s">
        <v>0</v>
      </c>
      <c r="F344" s="29" t="s">
        <v>277</v>
      </c>
      <c r="G344" s="20" t="s">
        <v>390</v>
      </c>
      <c r="H344" s="20" t="s">
        <v>366</v>
      </c>
      <c r="I344" s="67">
        <v>0</v>
      </c>
    </row>
    <row r="345" spans="2:9" x14ac:dyDescent="0.25">
      <c r="B345" s="3">
        <v>3</v>
      </c>
      <c r="C345" s="3">
        <v>0</v>
      </c>
      <c r="D345" s="3">
        <v>9</v>
      </c>
      <c r="E345" s="29" t="s">
        <v>0</v>
      </c>
      <c r="F345" s="29" t="s">
        <v>277</v>
      </c>
      <c r="G345" s="20" t="s">
        <v>88</v>
      </c>
      <c r="H345" s="20" t="s">
        <v>335</v>
      </c>
      <c r="I345" s="67">
        <v>0</v>
      </c>
    </row>
    <row r="346" spans="2:9" x14ac:dyDescent="0.25">
      <c r="B346" s="3">
        <v>3</v>
      </c>
      <c r="C346" s="3">
        <v>0</v>
      </c>
      <c r="D346" s="3">
        <v>9</v>
      </c>
      <c r="E346" s="29" t="s">
        <v>0</v>
      </c>
      <c r="F346" s="29" t="s">
        <v>59</v>
      </c>
      <c r="G346" s="20" t="s">
        <v>391</v>
      </c>
      <c r="H346" s="20" t="s">
        <v>367</v>
      </c>
      <c r="I346" s="67">
        <v>0.42963184931506848</v>
      </c>
    </row>
    <row r="347" spans="2:9" x14ac:dyDescent="0.25">
      <c r="B347" s="3">
        <v>3</v>
      </c>
      <c r="C347" s="3">
        <v>0</v>
      </c>
      <c r="D347" s="3">
        <v>10</v>
      </c>
      <c r="E347" s="29" t="s">
        <v>0</v>
      </c>
      <c r="F347" s="29" t="s">
        <v>59</v>
      </c>
      <c r="G347" s="20" t="s">
        <v>88</v>
      </c>
      <c r="H347" s="20" t="s">
        <v>335</v>
      </c>
      <c r="I347" s="67">
        <v>0</v>
      </c>
    </row>
    <row r="348" spans="2:9" x14ac:dyDescent="0.25">
      <c r="B348" s="3">
        <v>3</v>
      </c>
      <c r="C348" s="3">
        <v>0</v>
      </c>
      <c r="D348" s="3">
        <v>10</v>
      </c>
      <c r="E348" s="29" t="s">
        <v>0</v>
      </c>
      <c r="F348" s="29" t="s">
        <v>217</v>
      </c>
      <c r="G348" s="20" t="s">
        <v>60</v>
      </c>
      <c r="H348" s="20" t="s">
        <v>368</v>
      </c>
      <c r="I348" s="67">
        <v>0.81191306708493149</v>
      </c>
    </row>
    <row r="349" spans="2:9" x14ac:dyDescent="0.25">
      <c r="B349" s="3">
        <v>3</v>
      </c>
      <c r="C349" s="3">
        <v>0</v>
      </c>
      <c r="D349" s="3">
        <v>10</v>
      </c>
      <c r="E349" s="29" t="s">
        <v>0</v>
      </c>
      <c r="F349" s="29" t="s">
        <v>198</v>
      </c>
      <c r="G349" s="20" t="s">
        <v>63</v>
      </c>
      <c r="H349" s="20" t="s">
        <v>369</v>
      </c>
      <c r="I349" s="67">
        <v>0.4853197548027397</v>
      </c>
    </row>
    <row r="350" spans="2:9" x14ac:dyDescent="0.25">
      <c r="B350" s="3">
        <v>3</v>
      </c>
      <c r="C350" s="3">
        <v>0</v>
      </c>
      <c r="D350" s="3">
        <v>11</v>
      </c>
      <c r="E350" s="29" t="s">
        <v>0</v>
      </c>
      <c r="F350" s="29" t="s">
        <v>198</v>
      </c>
      <c r="G350" s="20" t="s">
        <v>88</v>
      </c>
      <c r="H350" s="20" t="s">
        <v>335</v>
      </c>
      <c r="I350" s="67">
        <v>0</v>
      </c>
    </row>
    <row r="351" spans="2:9" x14ac:dyDescent="0.25">
      <c r="B351" s="3">
        <v>3</v>
      </c>
      <c r="C351" s="3">
        <v>0</v>
      </c>
      <c r="D351" s="3">
        <v>11</v>
      </c>
      <c r="E351" s="29" t="s">
        <v>0</v>
      </c>
      <c r="F351" s="29" t="s">
        <v>199</v>
      </c>
      <c r="G351" s="20" t="s">
        <v>66</v>
      </c>
      <c r="H351" s="20" t="s">
        <v>370</v>
      </c>
      <c r="I351" s="67">
        <v>0.63926763019726029</v>
      </c>
    </row>
    <row r="352" spans="2:9" x14ac:dyDescent="0.25">
      <c r="B352" s="3">
        <v>3</v>
      </c>
      <c r="C352" s="3">
        <v>0</v>
      </c>
      <c r="D352" s="3">
        <v>11</v>
      </c>
      <c r="E352" s="29" t="s">
        <v>0</v>
      </c>
      <c r="F352" s="29" t="s">
        <v>57</v>
      </c>
      <c r="G352" s="20" t="s">
        <v>58</v>
      </c>
      <c r="H352" s="20" t="s">
        <v>371</v>
      </c>
      <c r="I352" s="67">
        <v>0.72983883979178077</v>
      </c>
    </row>
    <row r="353" spans="2:9" x14ac:dyDescent="0.25">
      <c r="B353" s="3">
        <v>3</v>
      </c>
      <c r="C353" s="3">
        <v>0</v>
      </c>
      <c r="D353" s="3">
        <v>11</v>
      </c>
      <c r="E353" s="29" t="s">
        <v>0</v>
      </c>
      <c r="F353" s="29" t="s">
        <v>210</v>
      </c>
      <c r="G353" s="20" t="s">
        <v>67</v>
      </c>
      <c r="H353" s="20" t="s">
        <v>372</v>
      </c>
      <c r="I353" s="67">
        <v>0.51745569932648394</v>
      </c>
    </row>
    <row r="354" spans="2:9" x14ac:dyDescent="0.25">
      <c r="B354" s="3">
        <v>3</v>
      </c>
      <c r="C354" s="3">
        <v>0</v>
      </c>
      <c r="D354" s="3">
        <v>12</v>
      </c>
      <c r="E354" s="29" t="s">
        <v>0</v>
      </c>
      <c r="F354" s="29" t="s">
        <v>210</v>
      </c>
      <c r="G354" s="20" t="s">
        <v>88</v>
      </c>
      <c r="H354" s="20" t="s">
        <v>335</v>
      </c>
      <c r="I354" s="67">
        <v>0</v>
      </c>
    </row>
    <row r="355" spans="2:9" x14ac:dyDescent="0.25">
      <c r="B355" s="3">
        <v>3</v>
      </c>
      <c r="C355" s="3">
        <v>0</v>
      </c>
      <c r="D355" s="3">
        <v>12</v>
      </c>
      <c r="E355" s="29" t="s">
        <v>0</v>
      </c>
      <c r="F355" s="29" t="s">
        <v>211</v>
      </c>
      <c r="G355" s="20" t="s">
        <v>74</v>
      </c>
      <c r="H355" s="20" t="s">
        <v>373</v>
      </c>
      <c r="I355" s="67">
        <v>0.36881986195433786</v>
      </c>
    </row>
    <row r="356" spans="2:9" x14ac:dyDescent="0.25">
      <c r="B356" s="3">
        <v>3</v>
      </c>
      <c r="C356" s="3">
        <v>0</v>
      </c>
      <c r="D356" s="3">
        <v>12</v>
      </c>
      <c r="E356" s="29" t="s">
        <v>0</v>
      </c>
      <c r="F356" s="29" t="s">
        <v>206</v>
      </c>
      <c r="G356" s="20" t="s">
        <v>69</v>
      </c>
      <c r="H356" s="20" t="s">
        <v>374</v>
      </c>
      <c r="I356" s="67">
        <v>0.31692832208493155</v>
      </c>
    </row>
    <row r="357" spans="2:9" x14ac:dyDescent="0.25">
      <c r="B357" s="3">
        <v>3</v>
      </c>
      <c r="C357" s="3">
        <v>0</v>
      </c>
      <c r="D357" s="3">
        <v>12</v>
      </c>
      <c r="E357" s="29" t="s">
        <v>0</v>
      </c>
      <c r="F357" s="29" t="s">
        <v>207</v>
      </c>
      <c r="G357" s="20" t="s">
        <v>75</v>
      </c>
      <c r="H357" s="20" t="s">
        <v>375</v>
      </c>
      <c r="I357" s="67">
        <v>0.37564897960000004</v>
      </c>
    </row>
    <row r="358" spans="2:9" x14ac:dyDescent="0.25">
      <c r="B358" s="3">
        <v>3</v>
      </c>
      <c r="C358" s="3">
        <v>0</v>
      </c>
      <c r="D358" s="3">
        <v>12</v>
      </c>
      <c r="E358" s="29" t="s">
        <v>0</v>
      </c>
      <c r="F358" s="29" t="s">
        <v>216</v>
      </c>
      <c r="G358" s="20" t="s">
        <v>77</v>
      </c>
      <c r="H358" s="20" t="s">
        <v>376</v>
      </c>
      <c r="I358" s="67">
        <v>0.1580933219178082</v>
      </c>
    </row>
    <row r="359" spans="2:9" x14ac:dyDescent="0.25">
      <c r="B359" s="3">
        <v>3</v>
      </c>
      <c r="C359" s="3">
        <v>1</v>
      </c>
      <c r="D359" s="3">
        <v>13</v>
      </c>
      <c r="E359" s="29" t="s">
        <v>0</v>
      </c>
      <c r="F359" s="29" t="s">
        <v>223</v>
      </c>
      <c r="G359" s="20" t="s">
        <v>88</v>
      </c>
      <c r="H359" s="20" t="s">
        <v>335</v>
      </c>
      <c r="I359" s="67">
        <v>0</v>
      </c>
    </row>
    <row r="360" spans="2:9" x14ac:dyDescent="0.25">
      <c r="B360" s="3">
        <v>3</v>
      </c>
      <c r="C360" s="3">
        <v>1</v>
      </c>
      <c r="D360" s="3">
        <v>13</v>
      </c>
      <c r="E360" s="29" t="s">
        <v>0</v>
      </c>
      <c r="F360" s="29" t="s">
        <v>224</v>
      </c>
      <c r="G360" s="20" t="s">
        <v>65</v>
      </c>
      <c r="H360" s="20" t="s">
        <v>336</v>
      </c>
      <c r="I360" s="67">
        <v>0.64589345500821915</v>
      </c>
    </row>
    <row r="361" spans="2:9" x14ac:dyDescent="0.25">
      <c r="B361" s="3">
        <v>3</v>
      </c>
      <c r="C361" s="3">
        <v>1</v>
      </c>
      <c r="D361" s="3">
        <v>13</v>
      </c>
      <c r="E361" s="29" t="s">
        <v>0</v>
      </c>
      <c r="F361" s="29" t="s">
        <v>225</v>
      </c>
      <c r="G361" s="20" t="s">
        <v>72</v>
      </c>
      <c r="H361" s="20" t="s">
        <v>337</v>
      </c>
      <c r="I361" s="67">
        <v>0.3094879332388128</v>
      </c>
    </row>
    <row r="362" spans="2:9" x14ac:dyDescent="0.25">
      <c r="B362" s="3">
        <v>3</v>
      </c>
      <c r="C362" s="3">
        <v>1</v>
      </c>
      <c r="D362" s="3">
        <v>13</v>
      </c>
      <c r="E362" s="29" t="s">
        <v>0</v>
      </c>
      <c r="F362" s="29" t="s">
        <v>201</v>
      </c>
      <c r="G362" s="20" t="s">
        <v>62</v>
      </c>
      <c r="H362" s="20" t="s">
        <v>338</v>
      </c>
      <c r="I362" s="67">
        <v>0.65732968036529693</v>
      </c>
    </row>
    <row r="363" spans="2:9" x14ac:dyDescent="0.25">
      <c r="B363" s="3">
        <v>3</v>
      </c>
      <c r="C363" s="3">
        <v>1</v>
      </c>
      <c r="D363" s="3">
        <v>13</v>
      </c>
      <c r="E363" s="29" t="s">
        <v>0</v>
      </c>
      <c r="F363" s="29" t="s">
        <v>202</v>
      </c>
      <c r="G363" s="20" t="s">
        <v>61</v>
      </c>
      <c r="H363" s="20" t="s">
        <v>339</v>
      </c>
      <c r="I363" s="67">
        <v>0.55673109394794518</v>
      </c>
    </row>
    <row r="364" spans="2:9" x14ac:dyDescent="0.25">
      <c r="B364" s="3">
        <v>3</v>
      </c>
      <c r="C364" s="3">
        <v>1</v>
      </c>
      <c r="D364" s="3">
        <v>13</v>
      </c>
      <c r="E364" s="29" t="s">
        <v>0</v>
      </c>
      <c r="F364" s="29" t="s">
        <v>227</v>
      </c>
      <c r="G364" s="20" t="s">
        <v>73</v>
      </c>
      <c r="H364" s="20" t="s">
        <v>340</v>
      </c>
      <c r="I364" s="67">
        <v>0.32272046992694065</v>
      </c>
    </row>
    <row r="365" spans="2:9" x14ac:dyDescent="0.25">
      <c r="B365" s="3">
        <v>3</v>
      </c>
      <c r="C365" s="3">
        <v>1</v>
      </c>
      <c r="D365" s="3">
        <v>14</v>
      </c>
      <c r="E365" s="29" t="s">
        <v>0</v>
      </c>
      <c r="F365" s="29" t="s">
        <v>227</v>
      </c>
      <c r="G365" s="20" t="s">
        <v>88</v>
      </c>
      <c r="H365" s="20" t="s">
        <v>335</v>
      </c>
      <c r="I365" s="67">
        <v>0</v>
      </c>
    </row>
    <row r="366" spans="2:9" x14ac:dyDescent="0.25">
      <c r="B366" s="3">
        <v>3</v>
      </c>
      <c r="C366" s="3">
        <v>1</v>
      </c>
      <c r="D366" s="3">
        <v>14</v>
      </c>
      <c r="E366" s="29" t="s">
        <v>0</v>
      </c>
      <c r="F366" s="29" t="s">
        <v>222</v>
      </c>
      <c r="G366" s="20" t="s">
        <v>71</v>
      </c>
      <c r="H366" s="20" t="s">
        <v>341</v>
      </c>
      <c r="I366" s="67">
        <v>0.32064800473424654</v>
      </c>
    </row>
    <row r="367" spans="2:9" x14ac:dyDescent="0.25">
      <c r="B367" s="3">
        <v>3</v>
      </c>
      <c r="C367" s="3">
        <v>1</v>
      </c>
      <c r="D367" s="3">
        <v>14</v>
      </c>
      <c r="E367" s="29" t="s">
        <v>0</v>
      </c>
      <c r="F367" s="29" t="s">
        <v>197</v>
      </c>
      <c r="G367" s="20" t="s">
        <v>78</v>
      </c>
      <c r="H367" s="20" t="s">
        <v>342</v>
      </c>
      <c r="I367" s="67">
        <v>0.20695025236529677</v>
      </c>
    </row>
    <row r="368" spans="2:9" x14ac:dyDescent="0.25">
      <c r="B368" s="3">
        <v>3</v>
      </c>
      <c r="C368" s="3">
        <v>1</v>
      </c>
      <c r="D368" s="3">
        <v>14</v>
      </c>
      <c r="E368" s="29" t="s">
        <v>0</v>
      </c>
      <c r="F368" s="29" t="s">
        <v>293</v>
      </c>
      <c r="G368" s="20" t="s">
        <v>377</v>
      </c>
      <c r="H368" s="20" t="s">
        <v>343</v>
      </c>
      <c r="I368" s="67">
        <v>0.14981244830136989</v>
      </c>
    </row>
    <row r="369" spans="2:9" x14ac:dyDescent="0.25">
      <c r="B369" s="3">
        <v>3</v>
      </c>
      <c r="C369" s="3">
        <v>1</v>
      </c>
      <c r="D369" s="3">
        <v>14</v>
      </c>
      <c r="E369" s="29" t="s">
        <v>0</v>
      </c>
      <c r="F369" s="29" t="s">
        <v>298</v>
      </c>
      <c r="G369" s="20" t="s">
        <v>378</v>
      </c>
      <c r="H369" s="20" t="s">
        <v>344</v>
      </c>
      <c r="I369" s="67">
        <v>0.17637358311963466</v>
      </c>
    </row>
    <row r="370" spans="2:9" x14ac:dyDescent="0.25">
      <c r="B370" s="3">
        <v>3</v>
      </c>
      <c r="C370" s="3">
        <v>1</v>
      </c>
      <c r="D370" s="3">
        <v>15</v>
      </c>
      <c r="E370" s="29" t="s">
        <v>0</v>
      </c>
      <c r="F370" s="29" t="s">
        <v>298</v>
      </c>
      <c r="G370" s="20" t="s">
        <v>88</v>
      </c>
      <c r="H370" s="20" t="s">
        <v>335</v>
      </c>
      <c r="I370" s="67">
        <v>0</v>
      </c>
    </row>
    <row r="371" spans="2:9" x14ac:dyDescent="0.25">
      <c r="B371" s="3">
        <v>3</v>
      </c>
      <c r="C371" s="3">
        <v>1</v>
      </c>
      <c r="D371" s="3">
        <v>15</v>
      </c>
      <c r="E371" s="29" t="s">
        <v>0</v>
      </c>
      <c r="F371" s="29" t="s">
        <v>294</v>
      </c>
      <c r="G371" s="20" t="s">
        <v>379</v>
      </c>
      <c r="H371" s="20" t="s">
        <v>345</v>
      </c>
      <c r="I371" s="67">
        <v>0.15421888664383562</v>
      </c>
    </row>
    <row r="372" spans="2:9" x14ac:dyDescent="0.25">
      <c r="B372" s="3">
        <v>3</v>
      </c>
      <c r="C372" s="3">
        <v>1</v>
      </c>
      <c r="D372" s="3">
        <v>15</v>
      </c>
      <c r="E372" s="29" t="s">
        <v>0</v>
      </c>
      <c r="F372" s="29" t="s">
        <v>0</v>
      </c>
      <c r="G372" s="20" t="s">
        <v>383</v>
      </c>
      <c r="H372" s="20" t="s">
        <v>346</v>
      </c>
      <c r="I372" s="67">
        <v>7.2168392920547927E-2</v>
      </c>
    </row>
    <row r="373" spans="2:9" x14ac:dyDescent="0.25">
      <c r="B373" s="3">
        <v>3</v>
      </c>
      <c r="C373" s="3">
        <v>1</v>
      </c>
      <c r="D373" s="3">
        <v>16</v>
      </c>
      <c r="E373" s="29" t="s">
        <v>0</v>
      </c>
      <c r="F373" s="29" t="s">
        <v>0</v>
      </c>
      <c r="G373" s="20" t="s">
        <v>88</v>
      </c>
      <c r="H373" s="20" t="s">
        <v>335</v>
      </c>
      <c r="I373" s="67">
        <v>0</v>
      </c>
    </row>
    <row r="374" spans="2:9" x14ac:dyDescent="0.25">
      <c r="B374" s="3">
        <v>3</v>
      </c>
      <c r="C374" s="3">
        <v>1</v>
      </c>
      <c r="D374" s="3">
        <v>16</v>
      </c>
      <c r="E374" s="29" t="s">
        <v>0</v>
      </c>
      <c r="F374" s="29" t="s">
        <v>204</v>
      </c>
      <c r="G374" s="20" t="s">
        <v>56</v>
      </c>
      <c r="H374" s="20" t="s">
        <v>347</v>
      </c>
      <c r="I374" s="67">
        <v>0.8259464764305936</v>
      </c>
    </row>
    <row r="375" spans="2:9" x14ac:dyDescent="0.25">
      <c r="B375" s="3">
        <v>3</v>
      </c>
      <c r="C375" s="3">
        <v>1</v>
      </c>
      <c r="D375" s="3">
        <v>16</v>
      </c>
      <c r="E375" s="29" t="s">
        <v>0</v>
      </c>
      <c r="F375" s="29" t="s">
        <v>205</v>
      </c>
      <c r="G375" s="20" t="s">
        <v>64</v>
      </c>
      <c r="H375" s="20" t="s">
        <v>348</v>
      </c>
      <c r="I375" s="67">
        <v>0.46479222465753423</v>
      </c>
    </row>
    <row r="376" spans="2:9" x14ac:dyDescent="0.25">
      <c r="B376" s="3">
        <v>3</v>
      </c>
      <c r="C376" s="3">
        <v>1</v>
      </c>
      <c r="D376" s="3">
        <v>16</v>
      </c>
      <c r="E376" s="29" t="s">
        <v>0</v>
      </c>
      <c r="F376" s="29" t="s">
        <v>209</v>
      </c>
      <c r="G376" s="20" t="s">
        <v>70</v>
      </c>
      <c r="H376" s="20" t="s">
        <v>349</v>
      </c>
      <c r="I376" s="67">
        <v>0.37341722638356162</v>
      </c>
    </row>
    <row r="377" spans="2:9" x14ac:dyDescent="0.25">
      <c r="B377" s="3">
        <v>3</v>
      </c>
      <c r="C377" s="3">
        <v>1</v>
      </c>
      <c r="D377" s="3">
        <v>16</v>
      </c>
      <c r="E377" s="29" t="s">
        <v>0</v>
      </c>
      <c r="F377" s="29" t="s">
        <v>232</v>
      </c>
      <c r="G377" s="20" t="s">
        <v>190</v>
      </c>
      <c r="H377" s="20" t="s">
        <v>350</v>
      </c>
      <c r="I377" s="67">
        <v>0.10728556374383563</v>
      </c>
    </row>
    <row r="378" spans="2:9" x14ac:dyDescent="0.25">
      <c r="B378" s="3">
        <v>3</v>
      </c>
      <c r="C378" s="3">
        <v>1</v>
      </c>
      <c r="D378" s="3">
        <v>17</v>
      </c>
      <c r="E378" s="29" t="s">
        <v>0</v>
      </c>
      <c r="F378" s="29" t="s">
        <v>232</v>
      </c>
      <c r="G378" s="20" t="s">
        <v>88</v>
      </c>
      <c r="H378" s="20" t="s">
        <v>335</v>
      </c>
      <c r="I378" s="67">
        <v>0</v>
      </c>
    </row>
    <row r="379" spans="2:9" x14ac:dyDescent="0.25">
      <c r="B379" s="3">
        <v>3</v>
      </c>
      <c r="C379" s="3">
        <v>1</v>
      </c>
      <c r="D379" s="3">
        <v>17</v>
      </c>
      <c r="E379" s="29" t="s">
        <v>0</v>
      </c>
      <c r="F379" s="29" t="s">
        <v>233</v>
      </c>
      <c r="G379" s="20" t="s">
        <v>185</v>
      </c>
      <c r="H379" s="20" t="s">
        <v>351</v>
      </c>
      <c r="I379" s="67">
        <v>1.0338830971479451</v>
      </c>
    </row>
    <row r="380" spans="2:9" x14ac:dyDescent="0.25">
      <c r="B380" s="3">
        <v>3</v>
      </c>
      <c r="C380" s="3">
        <v>1</v>
      </c>
      <c r="D380" s="3">
        <v>18</v>
      </c>
      <c r="E380" s="29" t="s">
        <v>0</v>
      </c>
      <c r="F380" s="29" t="s">
        <v>233</v>
      </c>
      <c r="G380" s="20" t="s">
        <v>88</v>
      </c>
      <c r="H380" s="20" t="s">
        <v>335</v>
      </c>
      <c r="I380" s="67">
        <v>0</v>
      </c>
    </row>
    <row r="381" spans="2:9" x14ac:dyDescent="0.25">
      <c r="B381" s="3">
        <v>3</v>
      </c>
      <c r="C381" s="3">
        <v>1</v>
      </c>
      <c r="D381" s="3">
        <v>18</v>
      </c>
      <c r="E381" s="29" t="s">
        <v>0</v>
      </c>
      <c r="F381" s="29" t="s">
        <v>234</v>
      </c>
      <c r="G381" s="20" t="s">
        <v>183</v>
      </c>
      <c r="H381" s="20" t="s">
        <v>352</v>
      </c>
      <c r="I381" s="67">
        <v>0.8083388970429225</v>
      </c>
    </row>
    <row r="382" spans="2:9" x14ac:dyDescent="0.25">
      <c r="B382" s="3">
        <v>3</v>
      </c>
      <c r="C382" s="3">
        <v>1</v>
      </c>
      <c r="D382" s="3">
        <v>18</v>
      </c>
      <c r="E382" s="29" t="s">
        <v>0</v>
      </c>
      <c r="F382" s="29" t="s">
        <v>231</v>
      </c>
      <c r="G382" s="20" t="s">
        <v>187</v>
      </c>
      <c r="H382" s="20" t="s">
        <v>353</v>
      </c>
      <c r="I382" s="67">
        <v>0.52547378178082194</v>
      </c>
    </row>
    <row r="383" spans="2:9" x14ac:dyDescent="0.25">
      <c r="B383" s="3">
        <v>3</v>
      </c>
      <c r="C383" s="3">
        <v>1</v>
      </c>
      <c r="D383" s="3">
        <v>19</v>
      </c>
      <c r="E383" s="29" t="s">
        <v>0</v>
      </c>
      <c r="F383" s="29" t="s">
        <v>231</v>
      </c>
      <c r="G383" s="20" t="s">
        <v>88</v>
      </c>
      <c r="H383" s="20" t="s">
        <v>335</v>
      </c>
      <c r="I383" s="67">
        <v>0</v>
      </c>
    </row>
    <row r="384" spans="2:9" x14ac:dyDescent="0.25">
      <c r="B384" s="3">
        <v>3</v>
      </c>
      <c r="C384" s="3">
        <v>1</v>
      </c>
      <c r="D384" s="3">
        <v>19</v>
      </c>
      <c r="E384" s="29" t="s">
        <v>0</v>
      </c>
      <c r="F384" s="29" t="s">
        <v>235</v>
      </c>
      <c r="G384" s="20" t="s">
        <v>184</v>
      </c>
      <c r="H384" s="20" t="s">
        <v>354</v>
      </c>
      <c r="I384" s="67">
        <v>0.77679168639269414</v>
      </c>
    </row>
    <row r="385" spans="2:9" x14ac:dyDescent="0.25">
      <c r="B385" s="3">
        <v>3</v>
      </c>
      <c r="C385" s="3">
        <v>1</v>
      </c>
      <c r="D385" s="3">
        <v>19</v>
      </c>
      <c r="E385" s="29" t="s">
        <v>0</v>
      </c>
      <c r="F385" s="29" t="s">
        <v>230</v>
      </c>
      <c r="G385" s="20" t="s">
        <v>189</v>
      </c>
      <c r="H385" s="20" t="s">
        <v>355</v>
      </c>
      <c r="I385" s="67">
        <v>0.46517432052328772</v>
      </c>
    </row>
    <row r="386" spans="2:9" x14ac:dyDescent="0.25">
      <c r="B386" s="3">
        <v>3</v>
      </c>
      <c r="C386" s="3">
        <v>1</v>
      </c>
      <c r="D386" s="3">
        <v>20</v>
      </c>
      <c r="E386" s="29" t="s">
        <v>0</v>
      </c>
      <c r="F386" s="29" t="s">
        <v>230</v>
      </c>
      <c r="G386" s="20" t="s">
        <v>88</v>
      </c>
      <c r="H386" s="20" t="s">
        <v>335</v>
      </c>
      <c r="I386" s="67">
        <v>0</v>
      </c>
    </row>
    <row r="387" spans="2:9" x14ac:dyDescent="0.25">
      <c r="B387" s="3">
        <v>3</v>
      </c>
      <c r="C387" s="3">
        <v>1</v>
      </c>
      <c r="D387" s="3">
        <v>20</v>
      </c>
      <c r="E387" s="29" t="s">
        <v>0</v>
      </c>
      <c r="F387" s="29" t="s">
        <v>229</v>
      </c>
      <c r="G387" s="20" t="s">
        <v>188</v>
      </c>
      <c r="H387" s="20" t="s">
        <v>356</v>
      </c>
      <c r="I387" s="67">
        <v>0.32128193690410956</v>
      </c>
    </row>
    <row r="388" spans="2:9" x14ac:dyDescent="0.25">
      <c r="B388" s="3">
        <v>3</v>
      </c>
      <c r="C388" s="3">
        <v>1</v>
      </c>
      <c r="D388" s="3">
        <v>20</v>
      </c>
      <c r="E388" s="29" t="s">
        <v>0</v>
      </c>
      <c r="F388" s="29" t="s">
        <v>219</v>
      </c>
      <c r="G388" s="20" t="s">
        <v>186</v>
      </c>
      <c r="H388" s="20" t="s">
        <v>357</v>
      </c>
      <c r="I388" s="67">
        <v>0.28826495367397253</v>
      </c>
    </row>
    <row r="389" spans="2:9" x14ac:dyDescent="0.25">
      <c r="B389" s="3">
        <v>3</v>
      </c>
      <c r="C389" s="3">
        <v>1</v>
      </c>
      <c r="D389" s="3">
        <v>20</v>
      </c>
      <c r="E389" s="29" t="s">
        <v>0</v>
      </c>
      <c r="F389" s="29" t="s">
        <v>218</v>
      </c>
      <c r="G389" s="20" t="s">
        <v>76</v>
      </c>
      <c r="H389" s="20" t="s">
        <v>358</v>
      </c>
      <c r="I389" s="67">
        <v>0.2635068493150684</v>
      </c>
    </row>
    <row r="390" spans="2:9" x14ac:dyDescent="0.25">
      <c r="B390" s="3">
        <v>3</v>
      </c>
      <c r="C390" s="3">
        <v>1</v>
      </c>
      <c r="D390" s="3">
        <v>20</v>
      </c>
      <c r="E390" s="29" t="s">
        <v>0</v>
      </c>
      <c r="F390" s="29" t="s">
        <v>285</v>
      </c>
      <c r="G390" s="20" t="s">
        <v>319</v>
      </c>
      <c r="H390" s="20" t="s">
        <v>359</v>
      </c>
      <c r="I390" s="67">
        <v>4.5775192341095887E-2</v>
      </c>
    </row>
    <row r="391" spans="2:9" x14ac:dyDescent="0.25">
      <c r="B391" s="3">
        <v>3</v>
      </c>
      <c r="C391" s="3">
        <v>1</v>
      </c>
      <c r="D391" s="3">
        <v>20</v>
      </c>
      <c r="E391" s="29" t="s">
        <v>0</v>
      </c>
      <c r="F391" s="29" t="s">
        <v>283</v>
      </c>
      <c r="G391" s="20" t="s">
        <v>384</v>
      </c>
      <c r="H391" s="20" t="s">
        <v>360</v>
      </c>
      <c r="I391" s="67">
        <v>9.0073926694977172E-2</v>
      </c>
    </row>
    <row r="392" spans="2:9" x14ac:dyDescent="0.25">
      <c r="B392" s="3">
        <v>3</v>
      </c>
      <c r="C392" s="3">
        <v>1</v>
      </c>
      <c r="D392" s="3">
        <v>21</v>
      </c>
      <c r="E392" s="29" t="s">
        <v>0</v>
      </c>
      <c r="F392" s="29" t="s">
        <v>283</v>
      </c>
      <c r="G392" s="20" t="s">
        <v>88</v>
      </c>
      <c r="H392" s="20" t="s">
        <v>335</v>
      </c>
      <c r="I392" s="67">
        <v>0</v>
      </c>
    </row>
    <row r="393" spans="2:9" x14ac:dyDescent="0.25">
      <c r="B393" s="3">
        <v>3</v>
      </c>
      <c r="C393" s="3">
        <v>1</v>
      </c>
      <c r="D393" s="3">
        <v>21</v>
      </c>
      <c r="E393" s="29" t="s">
        <v>0</v>
      </c>
      <c r="F393" s="29" t="s">
        <v>282</v>
      </c>
      <c r="G393" s="20" t="s">
        <v>385</v>
      </c>
      <c r="H393" s="20" t="s">
        <v>361</v>
      </c>
      <c r="I393" s="67">
        <v>0</v>
      </c>
    </row>
    <row r="394" spans="2:9" x14ac:dyDescent="0.25">
      <c r="B394" s="3">
        <v>3</v>
      </c>
      <c r="C394" s="3">
        <v>1</v>
      </c>
      <c r="D394" s="3">
        <v>21</v>
      </c>
      <c r="E394" s="29" t="s">
        <v>0</v>
      </c>
      <c r="F394" s="29" t="s">
        <v>281</v>
      </c>
      <c r="G394" s="20" t="s">
        <v>386</v>
      </c>
      <c r="H394" s="20" t="s">
        <v>362</v>
      </c>
      <c r="I394" s="67">
        <v>4.7421302768949777E-2</v>
      </c>
    </row>
    <row r="395" spans="2:9" x14ac:dyDescent="0.25">
      <c r="B395" s="3">
        <v>3</v>
      </c>
      <c r="C395" s="3">
        <v>1</v>
      </c>
      <c r="D395" s="3">
        <v>21</v>
      </c>
      <c r="E395" s="29" t="s">
        <v>0</v>
      </c>
      <c r="F395" s="29" t="s">
        <v>280</v>
      </c>
      <c r="G395" s="20" t="s">
        <v>387</v>
      </c>
      <c r="H395" s="20" t="s">
        <v>363</v>
      </c>
      <c r="I395" s="67">
        <v>0.18479056424885842</v>
      </c>
    </row>
    <row r="396" spans="2:9" x14ac:dyDescent="0.25">
      <c r="B396" s="3">
        <v>3</v>
      </c>
      <c r="C396" s="3">
        <v>1</v>
      </c>
      <c r="D396" s="3">
        <v>21</v>
      </c>
      <c r="E396" s="29" t="s">
        <v>0</v>
      </c>
      <c r="F396" s="29" t="s">
        <v>279</v>
      </c>
      <c r="G396" s="20" t="s">
        <v>388</v>
      </c>
      <c r="H396" s="20" t="s">
        <v>364</v>
      </c>
      <c r="I396" s="67">
        <v>2.444618395616438E-2</v>
      </c>
    </row>
    <row r="397" spans="2:9" x14ac:dyDescent="0.25">
      <c r="B397" s="3">
        <v>3</v>
      </c>
      <c r="C397" s="3">
        <v>1</v>
      </c>
      <c r="D397" s="3">
        <v>21</v>
      </c>
      <c r="E397" s="29" t="s">
        <v>0</v>
      </c>
      <c r="F397" s="29" t="s">
        <v>278</v>
      </c>
      <c r="G397" s="20" t="s">
        <v>389</v>
      </c>
      <c r="H397" s="20" t="s">
        <v>365</v>
      </c>
      <c r="I397" s="67">
        <v>6.5289497716894976E-2</v>
      </c>
    </row>
    <row r="398" spans="2:9" x14ac:dyDescent="0.25">
      <c r="B398" s="3">
        <v>3</v>
      </c>
      <c r="C398" s="3">
        <v>1</v>
      </c>
      <c r="D398" s="3">
        <v>21</v>
      </c>
      <c r="E398" s="29" t="s">
        <v>0</v>
      </c>
      <c r="F398" s="29" t="s">
        <v>277</v>
      </c>
      <c r="G398" s="20" t="s">
        <v>390</v>
      </c>
      <c r="H398" s="20" t="s">
        <v>366</v>
      </c>
      <c r="I398" s="67">
        <v>0</v>
      </c>
    </row>
    <row r="399" spans="2:9" x14ac:dyDescent="0.25">
      <c r="B399" s="3">
        <v>3</v>
      </c>
      <c r="C399" s="3">
        <v>1</v>
      </c>
      <c r="D399" s="3">
        <v>22</v>
      </c>
      <c r="E399" s="29" t="s">
        <v>0</v>
      </c>
      <c r="F399" s="29" t="s">
        <v>277</v>
      </c>
      <c r="G399" s="20" t="s">
        <v>88</v>
      </c>
      <c r="H399" s="20" t="s">
        <v>335</v>
      </c>
      <c r="I399" s="67">
        <v>0</v>
      </c>
    </row>
    <row r="400" spans="2:9" x14ac:dyDescent="0.25">
      <c r="B400" s="3">
        <v>3</v>
      </c>
      <c r="C400" s="3">
        <v>1</v>
      </c>
      <c r="D400" s="3">
        <v>22</v>
      </c>
      <c r="E400" s="29" t="s">
        <v>0</v>
      </c>
      <c r="F400" s="29" t="s">
        <v>59</v>
      </c>
      <c r="G400" s="20" t="s">
        <v>391</v>
      </c>
      <c r="H400" s="20" t="s">
        <v>367</v>
      </c>
      <c r="I400" s="67">
        <v>0.41527397260273974</v>
      </c>
    </row>
    <row r="401" spans="2:9" x14ac:dyDescent="0.25">
      <c r="B401" s="3">
        <v>3</v>
      </c>
      <c r="C401" s="3">
        <v>1</v>
      </c>
      <c r="D401" s="3">
        <v>23</v>
      </c>
      <c r="E401" s="29" t="s">
        <v>0</v>
      </c>
      <c r="F401" s="29" t="s">
        <v>59</v>
      </c>
      <c r="G401" s="20" t="s">
        <v>88</v>
      </c>
      <c r="H401" s="20" t="s">
        <v>335</v>
      </c>
      <c r="I401" s="67">
        <v>0</v>
      </c>
    </row>
    <row r="402" spans="2:9" x14ac:dyDescent="0.25">
      <c r="B402" s="3">
        <v>3</v>
      </c>
      <c r="C402" s="3">
        <v>1</v>
      </c>
      <c r="D402" s="3">
        <v>23</v>
      </c>
      <c r="E402" s="29" t="s">
        <v>0</v>
      </c>
      <c r="F402" s="29" t="s">
        <v>217</v>
      </c>
      <c r="G402" s="20" t="s">
        <v>60</v>
      </c>
      <c r="H402" s="20" t="s">
        <v>368</v>
      </c>
      <c r="I402" s="67">
        <v>0.77926240755068499</v>
      </c>
    </row>
    <row r="403" spans="2:9" x14ac:dyDescent="0.25">
      <c r="B403" s="3">
        <v>3</v>
      </c>
      <c r="C403" s="3">
        <v>1</v>
      </c>
      <c r="D403" s="3">
        <v>23</v>
      </c>
      <c r="E403" s="29" t="s">
        <v>0</v>
      </c>
      <c r="F403" s="29" t="s">
        <v>198</v>
      </c>
      <c r="G403" s="20" t="s">
        <v>63</v>
      </c>
      <c r="H403" s="20" t="s">
        <v>369</v>
      </c>
      <c r="I403" s="67">
        <v>0.46450468631232877</v>
      </c>
    </row>
    <row r="404" spans="2:9" x14ac:dyDescent="0.25">
      <c r="B404" s="3">
        <v>3</v>
      </c>
      <c r="C404" s="3">
        <v>1</v>
      </c>
      <c r="D404" s="3">
        <v>24</v>
      </c>
      <c r="E404" s="29" t="s">
        <v>0</v>
      </c>
      <c r="F404" s="29" t="s">
        <v>198</v>
      </c>
      <c r="G404" s="20" t="s">
        <v>88</v>
      </c>
      <c r="H404" s="20" t="s">
        <v>335</v>
      </c>
      <c r="I404" s="67">
        <v>0</v>
      </c>
    </row>
    <row r="405" spans="2:9" x14ac:dyDescent="0.25">
      <c r="B405" s="3">
        <v>3</v>
      </c>
      <c r="C405" s="3">
        <v>1</v>
      </c>
      <c r="D405" s="3">
        <v>24</v>
      </c>
      <c r="E405" s="29" t="s">
        <v>0</v>
      </c>
      <c r="F405" s="29" t="s">
        <v>199</v>
      </c>
      <c r="G405" s="20" t="s">
        <v>66</v>
      </c>
      <c r="H405" s="20" t="s">
        <v>370</v>
      </c>
      <c r="I405" s="67">
        <v>0.62433781293150692</v>
      </c>
    </row>
    <row r="406" spans="2:9" x14ac:dyDescent="0.25">
      <c r="B406" s="3">
        <v>3</v>
      </c>
      <c r="C406" s="3">
        <v>1</v>
      </c>
      <c r="D406" s="3">
        <v>24</v>
      </c>
      <c r="E406" s="29" t="s">
        <v>0</v>
      </c>
      <c r="F406" s="29" t="s">
        <v>57</v>
      </c>
      <c r="G406" s="20" t="s">
        <v>58</v>
      </c>
      <c r="H406" s="20" t="s">
        <v>371</v>
      </c>
      <c r="I406" s="67">
        <v>0.85630137003470319</v>
      </c>
    </row>
    <row r="407" spans="2:9" x14ac:dyDescent="0.25">
      <c r="B407" s="3">
        <v>3</v>
      </c>
      <c r="C407" s="3">
        <v>1</v>
      </c>
      <c r="D407" s="3">
        <v>24</v>
      </c>
      <c r="E407" s="29" t="s">
        <v>0</v>
      </c>
      <c r="F407" s="29" t="s">
        <v>210</v>
      </c>
      <c r="G407" s="20" t="s">
        <v>67</v>
      </c>
      <c r="H407" s="20" t="s">
        <v>372</v>
      </c>
      <c r="I407" s="67">
        <v>0.50874065596940643</v>
      </c>
    </row>
    <row r="408" spans="2:9" x14ac:dyDescent="0.25">
      <c r="B408" s="3">
        <v>3</v>
      </c>
      <c r="C408" s="3">
        <v>1</v>
      </c>
      <c r="D408" s="3">
        <v>25</v>
      </c>
      <c r="E408" s="29" t="s">
        <v>0</v>
      </c>
      <c r="F408" s="29" t="s">
        <v>210</v>
      </c>
      <c r="G408" s="20" t="s">
        <v>88</v>
      </c>
      <c r="H408" s="20" t="s">
        <v>335</v>
      </c>
      <c r="I408" s="67">
        <v>0</v>
      </c>
    </row>
    <row r="409" spans="2:9" x14ac:dyDescent="0.25">
      <c r="B409" s="3">
        <v>3</v>
      </c>
      <c r="C409" s="3">
        <v>1</v>
      </c>
      <c r="D409" s="3">
        <v>25</v>
      </c>
      <c r="E409" s="29" t="s">
        <v>0</v>
      </c>
      <c r="F409" s="29" t="s">
        <v>211</v>
      </c>
      <c r="G409" s="20" t="s">
        <v>74</v>
      </c>
      <c r="H409" s="20" t="s">
        <v>373</v>
      </c>
      <c r="I409" s="67">
        <v>0.33852394472237435</v>
      </c>
    </row>
    <row r="410" spans="2:9" x14ac:dyDescent="0.25">
      <c r="B410" s="3">
        <v>3</v>
      </c>
      <c r="C410" s="3">
        <v>1</v>
      </c>
      <c r="D410" s="3">
        <v>25</v>
      </c>
      <c r="E410" s="29" t="s">
        <v>0</v>
      </c>
      <c r="F410" s="29" t="s">
        <v>206</v>
      </c>
      <c r="G410" s="20" t="s">
        <v>69</v>
      </c>
      <c r="H410" s="20" t="s">
        <v>374</v>
      </c>
      <c r="I410" s="67">
        <v>0.36188269401187212</v>
      </c>
    </row>
    <row r="411" spans="2:9" x14ac:dyDescent="0.25">
      <c r="B411" s="3">
        <v>3</v>
      </c>
      <c r="C411" s="3">
        <v>1</v>
      </c>
      <c r="D411" s="3">
        <v>25</v>
      </c>
      <c r="E411" s="29" t="s">
        <v>0</v>
      </c>
      <c r="F411" s="29" t="s">
        <v>207</v>
      </c>
      <c r="G411" s="20" t="s">
        <v>75</v>
      </c>
      <c r="H411" s="20" t="s">
        <v>375</v>
      </c>
      <c r="I411" s="67">
        <v>0.3859407324657535</v>
      </c>
    </row>
    <row r="412" spans="2:9" x14ac:dyDescent="0.25">
      <c r="B412" s="3">
        <v>3</v>
      </c>
      <c r="C412" s="3">
        <v>1</v>
      </c>
      <c r="D412" s="3">
        <v>25</v>
      </c>
      <c r="E412" s="29" t="s">
        <v>0</v>
      </c>
      <c r="F412" s="29" t="s">
        <v>216</v>
      </c>
      <c r="G412" s="20" t="s">
        <v>77</v>
      </c>
      <c r="H412" s="20" t="s">
        <v>376</v>
      </c>
      <c r="I412" s="67">
        <v>0.13299914383561645</v>
      </c>
    </row>
    <row r="413" spans="2:9" x14ac:dyDescent="0.25">
      <c r="B413" s="3">
        <v>3</v>
      </c>
      <c r="C413" s="3">
        <v>2</v>
      </c>
      <c r="D413" s="3">
        <v>26</v>
      </c>
      <c r="E413" s="29" t="s">
        <v>0</v>
      </c>
      <c r="F413" s="29" t="s">
        <v>223</v>
      </c>
      <c r="G413" s="20" t="s">
        <v>88</v>
      </c>
      <c r="H413" s="20" t="s">
        <v>335</v>
      </c>
      <c r="I413" s="67">
        <v>0</v>
      </c>
    </row>
    <row r="414" spans="2:9" x14ac:dyDescent="0.25">
      <c r="B414" s="3">
        <v>3</v>
      </c>
      <c r="C414" s="3">
        <v>2</v>
      </c>
      <c r="D414" s="3">
        <v>26</v>
      </c>
      <c r="E414" s="29" t="s">
        <v>0</v>
      </c>
      <c r="F414" s="29" t="s">
        <v>224</v>
      </c>
      <c r="G414" s="20" t="s">
        <v>65</v>
      </c>
      <c r="H414" s="20" t="s">
        <v>336</v>
      </c>
      <c r="I414" s="67">
        <v>0.13438051748493149</v>
      </c>
    </row>
    <row r="415" spans="2:9" x14ac:dyDescent="0.25">
      <c r="B415" s="3">
        <v>3</v>
      </c>
      <c r="C415" s="3">
        <v>2</v>
      </c>
      <c r="D415" s="3">
        <v>26</v>
      </c>
      <c r="E415" s="29" t="s">
        <v>0</v>
      </c>
      <c r="F415" s="29" t="s">
        <v>225</v>
      </c>
      <c r="G415" s="20" t="s">
        <v>72</v>
      </c>
      <c r="H415" s="20" t="s">
        <v>337</v>
      </c>
      <c r="I415" s="67">
        <v>9.0010434766666647E-2</v>
      </c>
    </row>
    <row r="416" spans="2:9" x14ac:dyDescent="0.25">
      <c r="B416" s="3">
        <v>3</v>
      </c>
      <c r="C416" s="3">
        <v>2</v>
      </c>
      <c r="D416" s="3">
        <v>26</v>
      </c>
      <c r="E416" s="29" t="s">
        <v>0</v>
      </c>
      <c r="F416" s="29" t="s">
        <v>201</v>
      </c>
      <c r="G416" s="20" t="s">
        <v>62</v>
      </c>
      <c r="H416" s="20" t="s">
        <v>338</v>
      </c>
      <c r="I416" s="67">
        <v>0.1637260273972603</v>
      </c>
    </row>
    <row r="417" spans="2:9" x14ac:dyDescent="0.25">
      <c r="B417" s="3">
        <v>3</v>
      </c>
      <c r="C417" s="3">
        <v>2</v>
      </c>
      <c r="D417" s="3">
        <v>26</v>
      </c>
      <c r="E417" s="29" t="s">
        <v>0</v>
      </c>
      <c r="F417" s="29" t="s">
        <v>202</v>
      </c>
      <c r="G417" s="20" t="s">
        <v>61</v>
      </c>
      <c r="H417" s="20" t="s">
        <v>339</v>
      </c>
      <c r="I417" s="67">
        <v>0.13530118219452056</v>
      </c>
    </row>
    <row r="418" spans="2:9" x14ac:dyDescent="0.25">
      <c r="B418" s="3">
        <v>3</v>
      </c>
      <c r="C418" s="3">
        <v>2</v>
      </c>
      <c r="D418" s="3">
        <v>26</v>
      </c>
      <c r="E418" s="29" t="s">
        <v>0</v>
      </c>
      <c r="F418" s="29" t="s">
        <v>227</v>
      </c>
      <c r="G418" s="20" t="s">
        <v>73</v>
      </c>
      <c r="H418" s="20" t="s">
        <v>340</v>
      </c>
      <c r="I418" s="67">
        <v>5.1148149950684937E-2</v>
      </c>
    </row>
    <row r="419" spans="2:9" x14ac:dyDescent="0.25">
      <c r="B419" s="3">
        <v>3</v>
      </c>
      <c r="C419" s="3">
        <v>2</v>
      </c>
      <c r="D419" s="3">
        <v>26</v>
      </c>
      <c r="E419" s="29" t="s">
        <v>0</v>
      </c>
      <c r="F419" s="29" t="s">
        <v>222</v>
      </c>
      <c r="G419" s="20" t="s">
        <v>71</v>
      </c>
      <c r="H419" s="20" t="s">
        <v>341</v>
      </c>
      <c r="I419" s="67">
        <v>9.6444907673972596E-2</v>
      </c>
    </row>
    <row r="420" spans="2:9" x14ac:dyDescent="0.25">
      <c r="B420" s="3">
        <v>3</v>
      </c>
      <c r="C420" s="3">
        <v>2</v>
      </c>
      <c r="D420" s="3">
        <v>26</v>
      </c>
      <c r="E420" s="29" t="s">
        <v>0</v>
      </c>
      <c r="F420" s="29" t="s">
        <v>197</v>
      </c>
      <c r="G420" s="20" t="s">
        <v>78</v>
      </c>
      <c r="H420" s="20" t="s">
        <v>342</v>
      </c>
      <c r="I420" s="67">
        <v>3.831780821917808E-2</v>
      </c>
    </row>
    <row r="421" spans="2:9" x14ac:dyDescent="0.25">
      <c r="B421" s="3">
        <v>3</v>
      </c>
      <c r="C421" s="3">
        <v>2</v>
      </c>
      <c r="D421" s="3">
        <v>27</v>
      </c>
      <c r="E421" s="29" t="s">
        <v>0</v>
      </c>
      <c r="F421" s="29" t="s">
        <v>197</v>
      </c>
      <c r="G421" s="20" t="s">
        <v>88</v>
      </c>
      <c r="H421" s="20" t="s">
        <v>335</v>
      </c>
      <c r="I421" s="67">
        <v>0</v>
      </c>
    </row>
    <row r="422" spans="2:9" x14ac:dyDescent="0.25">
      <c r="B422" s="3">
        <v>3</v>
      </c>
      <c r="C422" s="3">
        <v>2</v>
      </c>
      <c r="D422" s="3">
        <v>27</v>
      </c>
      <c r="E422" s="29" t="s">
        <v>0</v>
      </c>
      <c r="F422" s="29" t="s">
        <v>293</v>
      </c>
      <c r="G422" s="20" t="s">
        <v>377</v>
      </c>
      <c r="H422" s="20" t="s">
        <v>343</v>
      </c>
      <c r="I422" s="67">
        <v>2.7896111063013703E-2</v>
      </c>
    </row>
    <row r="423" spans="2:9" x14ac:dyDescent="0.25">
      <c r="B423" s="3">
        <v>3</v>
      </c>
      <c r="C423" s="3">
        <v>2</v>
      </c>
      <c r="D423" s="3">
        <v>27</v>
      </c>
      <c r="E423" s="29" t="s">
        <v>0</v>
      </c>
      <c r="F423" s="29" t="s">
        <v>298</v>
      </c>
      <c r="G423" s="20" t="s">
        <v>378</v>
      </c>
      <c r="H423" s="20" t="s">
        <v>344</v>
      </c>
      <c r="I423" s="67">
        <v>3.3535822142465754E-2</v>
      </c>
    </row>
    <row r="424" spans="2:9" x14ac:dyDescent="0.25">
      <c r="B424" s="3">
        <v>3</v>
      </c>
      <c r="C424" s="3">
        <v>2</v>
      </c>
      <c r="D424" s="3">
        <v>27</v>
      </c>
      <c r="E424" s="29" t="s">
        <v>0</v>
      </c>
      <c r="F424" s="29" t="s">
        <v>294</v>
      </c>
      <c r="G424" s="20" t="s">
        <v>379</v>
      </c>
      <c r="H424" s="20" t="s">
        <v>345</v>
      </c>
      <c r="I424" s="67">
        <v>2.9610026235616441E-2</v>
      </c>
    </row>
    <row r="425" spans="2:9" x14ac:dyDescent="0.25">
      <c r="B425" s="3">
        <v>3</v>
      </c>
      <c r="C425" s="3">
        <v>2</v>
      </c>
      <c r="D425" s="3">
        <v>28</v>
      </c>
      <c r="E425" s="29" t="s">
        <v>205</v>
      </c>
      <c r="F425" s="29" t="s">
        <v>294</v>
      </c>
      <c r="G425" s="20" t="s">
        <v>88</v>
      </c>
      <c r="H425" s="20" t="s">
        <v>335</v>
      </c>
      <c r="I425" s="67">
        <v>0</v>
      </c>
    </row>
    <row r="426" spans="2:9" x14ac:dyDescent="0.25">
      <c r="B426" s="3">
        <v>3</v>
      </c>
      <c r="C426" s="3">
        <v>2</v>
      </c>
      <c r="D426" s="3">
        <v>28</v>
      </c>
      <c r="E426" s="29" t="s">
        <v>205</v>
      </c>
      <c r="F426" s="29" t="s">
        <v>0</v>
      </c>
      <c r="G426" s="20" t="s">
        <v>383</v>
      </c>
      <c r="H426" s="20" t="s">
        <v>346</v>
      </c>
      <c r="I426" s="67">
        <v>2.7063147345205481E-2</v>
      </c>
    </row>
    <row r="427" spans="2:9" x14ac:dyDescent="0.25">
      <c r="B427" s="3">
        <v>3</v>
      </c>
      <c r="C427" s="3">
        <v>2</v>
      </c>
      <c r="D427" s="3">
        <v>28</v>
      </c>
      <c r="E427" s="29" t="s">
        <v>205</v>
      </c>
      <c r="F427" s="29" t="s">
        <v>204</v>
      </c>
      <c r="G427" s="20" t="s">
        <v>56</v>
      </c>
      <c r="H427" s="20" t="s">
        <v>347</v>
      </c>
      <c r="I427" s="67">
        <v>0.2133003812876712</v>
      </c>
    </row>
    <row r="428" spans="2:9" x14ac:dyDescent="0.25">
      <c r="B428" s="3">
        <v>3</v>
      </c>
      <c r="C428" s="3">
        <v>2</v>
      </c>
      <c r="D428" s="3">
        <v>28</v>
      </c>
      <c r="E428" s="29" t="s">
        <v>205</v>
      </c>
      <c r="F428" s="29" t="s">
        <v>205</v>
      </c>
      <c r="G428" s="20" t="s">
        <v>64</v>
      </c>
      <c r="H428" s="20" t="s">
        <v>348</v>
      </c>
      <c r="I428" s="67">
        <v>0.1045782505479452</v>
      </c>
    </row>
    <row r="429" spans="2:9" x14ac:dyDescent="0.25">
      <c r="B429" s="3">
        <v>3</v>
      </c>
      <c r="C429" s="3">
        <v>2</v>
      </c>
      <c r="D429" s="3">
        <v>28</v>
      </c>
      <c r="E429" s="29" t="s">
        <v>205</v>
      </c>
      <c r="F429" s="29" t="s">
        <v>209</v>
      </c>
      <c r="G429" s="20" t="s">
        <v>70</v>
      </c>
      <c r="H429" s="20" t="s">
        <v>349</v>
      </c>
      <c r="I429" s="67">
        <v>8.9896739684931504E-2</v>
      </c>
    </row>
    <row r="430" spans="2:9" x14ac:dyDescent="0.25">
      <c r="B430" s="3">
        <v>3</v>
      </c>
      <c r="C430" s="3">
        <v>2</v>
      </c>
      <c r="D430" s="3">
        <v>29</v>
      </c>
      <c r="E430" s="29" t="s">
        <v>0</v>
      </c>
      <c r="F430" s="29" t="s">
        <v>209</v>
      </c>
      <c r="G430" s="20" t="s">
        <v>88</v>
      </c>
      <c r="H430" s="20" t="s">
        <v>335</v>
      </c>
      <c r="I430" s="67">
        <v>0</v>
      </c>
    </row>
    <row r="431" spans="2:9" x14ac:dyDescent="0.25">
      <c r="B431" s="3">
        <v>3</v>
      </c>
      <c r="C431" s="3">
        <v>2</v>
      </c>
      <c r="D431" s="3">
        <v>29</v>
      </c>
      <c r="E431" s="29" t="s">
        <v>0</v>
      </c>
      <c r="F431" s="29" t="s">
        <v>232</v>
      </c>
      <c r="G431" s="20" t="s">
        <v>190</v>
      </c>
      <c r="H431" s="20" t="s">
        <v>350</v>
      </c>
      <c r="I431" s="67">
        <v>3.9287671230136982E-2</v>
      </c>
    </row>
    <row r="432" spans="2:9" x14ac:dyDescent="0.25">
      <c r="B432" s="3">
        <v>3</v>
      </c>
      <c r="C432" s="3">
        <v>2</v>
      </c>
      <c r="D432" s="3">
        <v>29</v>
      </c>
      <c r="E432" s="29" t="s">
        <v>0</v>
      </c>
      <c r="F432" s="29" t="s">
        <v>233</v>
      </c>
      <c r="G432" s="20" t="s">
        <v>185</v>
      </c>
      <c r="H432" s="20" t="s">
        <v>351</v>
      </c>
      <c r="I432" s="67">
        <v>0.24439168791780819</v>
      </c>
    </row>
    <row r="433" spans="2:9" x14ac:dyDescent="0.25">
      <c r="B433" s="3">
        <v>3</v>
      </c>
      <c r="C433" s="3">
        <v>2</v>
      </c>
      <c r="D433" s="3">
        <v>29</v>
      </c>
      <c r="E433" s="29" t="s">
        <v>0</v>
      </c>
      <c r="F433" s="29" t="s">
        <v>234</v>
      </c>
      <c r="G433" s="20" t="s">
        <v>183</v>
      </c>
      <c r="H433" s="20" t="s">
        <v>352</v>
      </c>
      <c r="I433" s="67">
        <v>0.17225048920273972</v>
      </c>
    </row>
    <row r="434" spans="2:9" x14ac:dyDescent="0.25">
      <c r="B434" s="3">
        <v>3</v>
      </c>
      <c r="C434" s="3">
        <v>2</v>
      </c>
      <c r="D434" s="3">
        <v>30</v>
      </c>
      <c r="E434" s="29" t="s">
        <v>0</v>
      </c>
      <c r="F434" s="29" t="s">
        <v>234</v>
      </c>
      <c r="G434" s="20" t="s">
        <v>88</v>
      </c>
      <c r="H434" s="20" t="s">
        <v>335</v>
      </c>
      <c r="I434" s="67">
        <v>0</v>
      </c>
    </row>
    <row r="435" spans="2:9" x14ac:dyDescent="0.25">
      <c r="B435" s="3">
        <v>3</v>
      </c>
      <c r="C435" s="3">
        <v>2</v>
      </c>
      <c r="D435" s="3">
        <v>30</v>
      </c>
      <c r="E435" s="29" t="s">
        <v>0</v>
      </c>
      <c r="F435" s="29" t="s">
        <v>231</v>
      </c>
      <c r="G435" s="20" t="s">
        <v>187</v>
      </c>
      <c r="H435" s="20" t="s">
        <v>353</v>
      </c>
      <c r="I435" s="67">
        <v>0.11880276805479449</v>
      </c>
    </row>
    <row r="436" spans="2:9" x14ac:dyDescent="0.25">
      <c r="B436" s="3">
        <v>3</v>
      </c>
      <c r="C436" s="3">
        <v>2</v>
      </c>
      <c r="D436" s="3">
        <v>30</v>
      </c>
      <c r="E436" s="29" t="s">
        <v>0</v>
      </c>
      <c r="F436" s="29" t="s">
        <v>235</v>
      </c>
      <c r="G436" s="20" t="s">
        <v>184</v>
      </c>
      <c r="H436" s="20" t="s">
        <v>354</v>
      </c>
      <c r="I436" s="67">
        <v>0.17977179027945206</v>
      </c>
    </row>
    <row r="437" spans="2:9" x14ac:dyDescent="0.25">
      <c r="B437" s="3">
        <v>3</v>
      </c>
      <c r="C437" s="3">
        <v>2</v>
      </c>
      <c r="D437" s="3">
        <v>30</v>
      </c>
      <c r="E437" s="29" t="s">
        <v>0</v>
      </c>
      <c r="F437" s="29" t="s">
        <v>230</v>
      </c>
      <c r="G437" s="20" t="s">
        <v>189</v>
      </c>
      <c r="H437" s="20" t="s">
        <v>355</v>
      </c>
      <c r="I437" s="67">
        <v>0.10625809352054792</v>
      </c>
    </row>
    <row r="438" spans="2:9" x14ac:dyDescent="0.25">
      <c r="B438" s="3">
        <v>3</v>
      </c>
      <c r="C438" s="3">
        <v>2</v>
      </c>
      <c r="D438" s="3">
        <v>31</v>
      </c>
      <c r="E438" s="29" t="s">
        <v>0</v>
      </c>
      <c r="F438" s="29" t="s">
        <v>230</v>
      </c>
      <c r="G438" s="20" t="s">
        <v>88</v>
      </c>
      <c r="H438" s="20" t="s">
        <v>335</v>
      </c>
      <c r="I438" s="67">
        <v>0</v>
      </c>
    </row>
    <row r="439" spans="2:9" x14ac:dyDescent="0.25">
      <c r="B439" s="3">
        <v>3</v>
      </c>
      <c r="C439" s="3">
        <v>2</v>
      </c>
      <c r="D439" s="3">
        <v>31</v>
      </c>
      <c r="E439" s="29" t="s">
        <v>0</v>
      </c>
      <c r="F439" s="29" t="s">
        <v>229</v>
      </c>
      <c r="G439" s="20" t="s">
        <v>188</v>
      </c>
      <c r="H439" s="20" t="s">
        <v>356</v>
      </c>
      <c r="I439" s="67">
        <v>6.2040649884931499E-2</v>
      </c>
    </row>
    <row r="440" spans="2:9" x14ac:dyDescent="0.25">
      <c r="B440" s="3">
        <v>3</v>
      </c>
      <c r="C440" s="3">
        <v>2</v>
      </c>
      <c r="D440" s="3">
        <v>31</v>
      </c>
      <c r="E440" s="29" t="s">
        <v>0</v>
      </c>
      <c r="F440" s="29" t="s">
        <v>219</v>
      </c>
      <c r="G440" s="20" t="s">
        <v>186</v>
      </c>
      <c r="H440" s="20" t="s">
        <v>357</v>
      </c>
      <c r="I440" s="67">
        <v>3.7079724331506851E-2</v>
      </c>
    </row>
    <row r="441" spans="2:9" x14ac:dyDescent="0.25">
      <c r="B441" s="3">
        <v>3</v>
      </c>
      <c r="C441" s="3">
        <v>2</v>
      </c>
      <c r="D441" s="3">
        <v>31</v>
      </c>
      <c r="E441" s="29" t="s">
        <v>0</v>
      </c>
      <c r="F441" s="29" t="s">
        <v>218</v>
      </c>
      <c r="G441" s="20" t="s">
        <v>76</v>
      </c>
      <c r="H441" s="20" t="s">
        <v>358</v>
      </c>
      <c r="I441" s="67">
        <v>7.1342465753424664E-2</v>
      </c>
    </row>
    <row r="442" spans="2:9" x14ac:dyDescent="0.25">
      <c r="B442" s="3">
        <v>3</v>
      </c>
      <c r="C442" s="3">
        <v>2</v>
      </c>
      <c r="D442" s="3">
        <v>31</v>
      </c>
      <c r="E442" s="29" t="s">
        <v>0</v>
      </c>
      <c r="F442" s="29" t="s">
        <v>285</v>
      </c>
      <c r="G442" s="20" t="s">
        <v>319</v>
      </c>
      <c r="H442" s="20" t="s">
        <v>359</v>
      </c>
      <c r="I442" s="67">
        <v>1.3871270406392694E-3</v>
      </c>
    </row>
    <row r="443" spans="2:9" x14ac:dyDescent="0.25">
      <c r="B443" s="3">
        <v>3</v>
      </c>
      <c r="C443" s="3">
        <v>2</v>
      </c>
      <c r="D443" s="3">
        <v>31</v>
      </c>
      <c r="E443" s="29" t="s">
        <v>0</v>
      </c>
      <c r="F443" s="29" t="s">
        <v>283</v>
      </c>
      <c r="G443" s="20" t="s">
        <v>384</v>
      </c>
      <c r="H443" s="20" t="s">
        <v>360</v>
      </c>
      <c r="I443" s="67">
        <v>1.8852682331506845E-2</v>
      </c>
    </row>
    <row r="444" spans="2:9" x14ac:dyDescent="0.25">
      <c r="B444" s="3">
        <v>3</v>
      </c>
      <c r="C444" s="3">
        <v>2</v>
      </c>
      <c r="D444" s="3">
        <v>31</v>
      </c>
      <c r="E444" s="29" t="s">
        <v>0</v>
      </c>
      <c r="F444" s="29" t="s">
        <v>282</v>
      </c>
      <c r="G444" s="20" t="s">
        <v>385</v>
      </c>
      <c r="H444" s="20" t="s">
        <v>361</v>
      </c>
      <c r="I444" s="67">
        <v>0</v>
      </c>
    </row>
    <row r="445" spans="2:9" x14ac:dyDescent="0.25">
      <c r="B445" s="3">
        <v>3</v>
      </c>
      <c r="C445" s="3">
        <v>2</v>
      </c>
      <c r="D445" s="3">
        <v>32</v>
      </c>
      <c r="E445" s="29" t="s">
        <v>0</v>
      </c>
      <c r="F445" s="29" t="s">
        <v>282</v>
      </c>
      <c r="G445" s="20" t="s">
        <v>88</v>
      </c>
      <c r="H445" s="20" t="s">
        <v>335</v>
      </c>
      <c r="I445" s="67">
        <v>0</v>
      </c>
    </row>
    <row r="446" spans="2:9" x14ac:dyDescent="0.25">
      <c r="B446" s="3">
        <v>3</v>
      </c>
      <c r="C446" s="3">
        <v>2</v>
      </c>
      <c r="D446" s="3">
        <v>32</v>
      </c>
      <c r="E446" s="29" t="s">
        <v>0</v>
      </c>
      <c r="F446" s="29" t="s">
        <v>281</v>
      </c>
      <c r="G446" s="20" t="s">
        <v>386</v>
      </c>
      <c r="H446" s="20" t="s">
        <v>362</v>
      </c>
      <c r="I446" s="67">
        <v>2.0921162986301371E-2</v>
      </c>
    </row>
    <row r="447" spans="2:9" x14ac:dyDescent="0.25">
      <c r="B447" s="3">
        <v>3</v>
      </c>
      <c r="C447" s="3">
        <v>2</v>
      </c>
      <c r="D447" s="3">
        <v>32</v>
      </c>
      <c r="E447" s="29" t="s">
        <v>0</v>
      </c>
      <c r="F447" s="29" t="s">
        <v>280</v>
      </c>
      <c r="G447" s="20" t="s">
        <v>387</v>
      </c>
      <c r="H447" s="20" t="s">
        <v>363</v>
      </c>
      <c r="I447" s="67">
        <v>2.2939518320547945E-2</v>
      </c>
    </row>
    <row r="448" spans="2:9" x14ac:dyDescent="0.25">
      <c r="B448" s="3">
        <v>3</v>
      </c>
      <c r="C448" s="3">
        <v>2</v>
      </c>
      <c r="D448" s="3">
        <v>32</v>
      </c>
      <c r="E448" s="29" t="s">
        <v>0</v>
      </c>
      <c r="F448" s="29" t="s">
        <v>279</v>
      </c>
      <c r="G448" s="20" t="s">
        <v>388</v>
      </c>
      <c r="H448" s="20" t="s">
        <v>364</v>
      </c>
      <c r="I448" s="67">
        <v>7.1301369872146117E-3</v>
      </c>
    </row>
    <row r="449" spans="2:9" x14ac:dyDescent="0.25">
      <c r="B449" s="3">
        <v>3</v>
      </c>
      <c r="C449" s="3">
        <v>2</v>
      </c>
      <c r="D449" s="3">
        <v>32</v>
      </c>
      <c r="E449" s="29" t="s">
        <v>0</v>
      </c>
      <c r="F449" s="29" t="s">
        <v>278</v>
      </c>
      <c r="G449" s="20" t="s">
        <v>389</v>
      </c>
      <c r="H449" s="20" t="s">
        <v>365</v>
      </c>
      <c r="I449" s="67">
        <v>9.6328767123287674E-3</v>
      </c>
    </row>
    <row r="450" spans="2:9" x14ac:dyDescent="0.25">
      <c r="B450" s="3">
        <v>3</v>
      </c>
      <c r="C450" s="3">
        <v>2</v>
      </c>
      <c r="D450" s="3">
        <v>32</v>
      </c>
      <c r="E450" s="29" t="s">
        <v>0</v>
      </c>
      <c r="F450" s="29" t="s">
        <v>277</v>
      </c>
      <c r="G450" s="20" t="s">
        <v>390</v>
      </c>
      <c r="H450" s="20" t="s">
        <v>366</v>
      </c>
      <c r="I450" s="67">
        <v>0</v>
      </c>
    </row>
    <row r="451" spans="2:9" x14ac:dyDescent="0.25">
      <c r="B451" s="3">
        <v>3</v>
      </c>
      <c r="C451" s="3">
        <v>2</v>
      </c>
      <c r="D451" s="3">
        <v>33</v>
      </c>
      <c r="E451" s="29" t="s">
        <v>0</v>
      </c>
      <c r="F451" s="29" t="s">
        <v>277</v>
      </c>
      <c r="G451" s="20" t="s">
        <v>88</v>
      </c>
      <c r="H451" s="20" t="s">
        <v>335</v>
      </c>
      <c r="I451" s="67">
        <v>0</v>
      </c>
    </row>
    <row r="452" spans="2:9" x14ac:dyDescent="0.25">
      <c r="B452" s="3">
        <v>3</v>
      </c>
      <c r="C452" s="3">
        <v>2</v>
      </c>
      <c r="D452" s="3">
        <v>33</v>
      </c>
      <c r="E452" s="29" t="s">
        <v>0</v>
      </c>
      <c r="F452" s="29" t="s">
        <v>59</v>
      </c>
      <c r="G452" s="20" t="s">
        <v>391</v>
      </c>
      <c r="H452" s="20" t="s">
        <v>367</v>
      </c>
      <c r="I452" s="67">
        <v>0.10934075342465753</v>
      </c>
    </row>
    <row r="453" spans="2:9" x14ac:dyDescent="0.25">
      <c r="B453" s="3">
        <v>3</v>
      </c>
      <c r="C453" s="3">
        <v>2</v>
      </c>
      <c r="D453" s="3">
        <v>34</v>
      </c>
      <c r="E453" s="29" t="s">
        <v>0</v>
      </c>
      <c r="F453" s="29" t="s">
        <v>59</v>
      </c>
      <c r="G453" s="20" t="s">
        <v>88</v>
      </c>
      <c r="H453" s="20" t="s">
        <v>335</v>
      </c>
      <c r="I453" s="67">
        <v>0</v>
      </c>
    </row>
    <row r="454" spans="2:9" x14ac:dyDescent="0.25">
      <c r="B454" s="3">
        <v>3</v>
      </c>
      <c r="C454" s="3">
        <v>2</v>
      </c>
      <c r="D454" s="3">
        <v>34</v>
      </c>
      <c r="E454" s="29" t="s">
        <v>0</v>
      </c>
      <c r="F454" s="29" t="s">
        <v>217</v>
      </c>
      <c r="G454" s="20" t="s">
        <v>60</v>
      </c>
      <c r="H454" s="20" t="s">
        <v>368</v>
      </c>
      <c r="I454" s="67">
        <v>0.16978342957808218</v>
      </c>
    </row>
    <row r="455" spans="2:9" x14ac:dyDescent="0.25">
      <c r="B455" s="3">
        <v>3</v>
      </c>
      <c r="C455" s="3">
        <v>2</v>
      </c>
      <c r="D455" s="3">
        <v>34</v>
      </c>
      <c r="E455" s="29" t="s">
        <v>0</v>
      </c>
      <c r="F455" s="29" t="s">
        <v>198</v>
      </c>
      <c r="G455" s="20" t="s">
        <v>63</v>
      </c>
      <c r="H455" s="20" t="s">
        <v>369</v>
      </c>
      <c r="I455" s="67">
        <v>0.13255912038630135</v>
      </c>
    </row>
    <row r="456" spans="2:9" x14ac:dyDescent="0.25">
      <c r="B456" s="3">
        <v>3</v>
      </c>
      <c r="C456" s="3">
        <v>2</v>
      </c>
      <c r="D456" s="3">
        <v>34</v>
      </c>
      <c r="E456" s="29" t="s">
        <v>0</v>
      </c>
      <c r="F456" s="29" t="s">
        <v>199</v>
      </c>
      <c r="G456" s="20" t="s">
        <v>66</v>
      </c>
      <c r="H456" s="20" t="s">
        <v>370</v>
      </c>
      <c r="I456" s="67">
        <v>0.16694250215342465</v>
      </c>
    </row>
    <row r="457" spans="2:9" x14ac:dyDescent="0.25">
      <c r="B457" s="3">
        <v>3</v>
      </c>
      <c r="C457" s="3">
        <v>2</v>
      </c>
      <c r="D457" s="3">
        <v>35</v>
      </c>
      <c r="E457" s="29" t="s">
        <v>0</v>
      </c>
      <c r="F457" s="29" t="s">
        <v>199</v>
      </c>
      <c r="G457" s="20" t="s">
        <v>88</v>
      </c>
      <c r="H457" s="20" t="s">
        <v>335</v>
      </c>
      <c r="I457" s="67">
        <v>0</v>
      </c>
    </row>
    <row r="458" spans="2:9" x14ac:dyDescent="0.25">
      <c r="B458" s="3">
        <v>3</v>
      </c>
      <c r="C458" s="3">
        <v>2</v>
      </c>
      <c r="D458" s="3">
        <v>35</v>
      </c>
      <c r="E458" s="29" t="s">
        <v>0</v>
      </c>
      <c r="F458" s="29" t="s">
        <v>57</v>
      </c>
      <c r="G458" s="20" t="s">
        <v>58</v>
      </c>
      <c r="H458" s="20" t="s">
        <v>371</v>
      </c>
      <c r="I458" s="67">
        <v>0.21755842067214609</v>
      </c>
    </row>
    <row r="459" spans="2:9" x14ac:dyDescent="0.25">
      <c r="B459" s="3">
        <v>3</v>
      </c>
      <c r="C459" s="3">
        <v>2</v>
      </c>
      <c r="D459" s="3">
        <v>35</v>
      </c>
      <c r="E459" s="29" t="s">
        <v>0</v>
      </c>
      <c r="F459" s="29" t="s">
        <v>210</v>
      </c>
      <c r="G459" s="20" t="s">
        <v>67</v>
      </c>
      <c r="H459" s="20" t="s">
        <v>372</v>
      </c>
      <c r="I459" s="67">
        <v>0.16122830210593608</v>
      </c>
    </row>
    <row r="460" spans="2:9" x14ac:dyDescent="0.25">
      <c r="B460" s="3">
        <v>3</v>
      </c>
      <c r="C460" s="3">
        <v>2</v>
      </c>
      <c r="D460" s="3">
        <v>35</v>
      </c>
      <c r="E460" s="29" t="s">
        <v>0</v>
      </c>
      <c r="F460" s="29" t="s">
        <v>211</v>
      </c>
      <c r="G460" s="20" t="s">
        <v>74</v>
      </c>
      <c r="H460" s="20" t="s">
        <v>373</v>
      </c>
      <c r="I460" s="67">
        <v>0.10010824824474886</v>
      </c>
    </row>
    <row r="461" spans="2:9" x14ac:dyDescent="0.25">
      <c r="B461" s="3">
        <v>3</v>
      </c>
      <c r="C461" s="3">
        <v>2</v>
      </c>
      <c r="D461" s="3">
        <v>35</v>
      </c>
      <c r="E461" s="29" t="s">
        <v>0</v>
      </c>
      <c r="F461" s="29" t="s">
        <v>206</v>
      </c>
      <c r="G461" s="20" t="s">
        <v>69</v>
      </c>
      <c r="H461" s="20" t="s">
        <v>374</v>
      </c>
      <c r="I461" s="67">
        <v>7.5298572977625558E-2</v>
      </c>
    </row>
    <row r="462" spans="2:9" x14ac:dyDescent="0.25">
      <c r="B462" s="3">
        <v>3</v>
      </c>
      <c r="C462" s="3">
        <v>2</v>
      </c>
      <c r="D462" s="3">
        <v>35</v>
      </c>
      <c r="E462" s="29" t="s">
        <v>0</v>
      </c>
      <c r="F462" s="29" t="s">
        <v>207</v>
      </c>
      <c r="G462" s="20" t="s">
        <v>75</v>
      </c>
      <c r="H462" s="20" t="s">
        <v>375</v>
      </c>
      <c r="I462" s="67">
        <v>7.8903438637442938E-2</v>
      </c>
    </row>
    <row r="463" spans="2:9" x14ac:dyDescent="0.25">
      <c r="B463" s="3">
        <v>3</v>
      </c>
      <c r="C463" s="3">
        <v>2</v>
      </c>
      <c r="D463" s="3">
        <v>35</v>
      </c>
      <c r="E463" s="29" t="s">
        <v>0</v>
      </c>
      <c r="F463" s="29" t="s">
        <v>216</v>
      </c>
      <c r="G463" s="20" t="s">
        <v>77</v>
      </c>
      <c r="H463" s="20" t="s">
        <v>376</v>
      </c>
      <c r="I463" s="67">
        <v>3.0113013698630137E-2</v>
      </c>
    </row>
    <row r="464" spans="2:9" x14ac:dyDescent="0.25">
      <c r="B464" s="3">
        <v>4</v>
      </c>
      <c r="C464" s="3">
        <v>0</v>
      </c>
      <c r="D464" s="3">
        <v>0</v>
      </c>
      <c r="E464" s="29" t="s">
        <v>0</v>
      </c>
      <c r="F464" s="29" t="s">
        <v>223</v>
      </c>
      <c r="G464" s="20" t="s">
        <v>88</v>
      </c>
      <c r="H464" s="20" t="s">
        <v>335</v>
      </c>
      <c r="I464" s="67">
        <v>0</v>
      </c>
    </row>
    <row r="465" spans="2:9" x14ac:dyDescent="0.25">
      <c r="B465" s="3">
        <v>4</v>
      </c>
      <c r="C465" s="3">
        <v>0</v>
      </c>
      <c r="D465" s="3">
        <v>0</v>
      </c>
      <c r="E465" s="29" t="s">
        <v>0</v>
      </c>
      <c r="F465" s="29" t="s">
        <v>224</v>
      </c>
      <c r="G465" s="20" t="s">
        <v>65</v>
      </c>
      <c r="H465" s="20" t="s">
        <v>336</v>
      </c>
      <c r="I465" s="67">
        <v>0.62421917799452042</v>
      </c>
    </row>
    <row r="466" spans="2:9" x14ac:dyDescent="0.25">
      <c r="B466" s="3">
        <v>4</v>
      </c>
      <c r="C466" s="3">
        <v>0</v>
      </c>
      <c r="D466" s="3">
        <v>0</v>
      </c>
      <c r="E466" s="29" t="s">
        <v>0</v>
      </c>
      <c r="F466" s="29" t="s">
        <v>225</v>
      </c>
      <c r="G466" s="20" t="s">
        <v>72</v>
      </c>
      <c r="H466" s="20" t="s">
        <v>337</v>
      </c>
      <c r="I466" s="67">
        <v>0.3094879332388128</v>
      </c>
    </row>
    <row r="467" spans="2:9" x14ac:dyDescent="0.25">
      <c r="B467" s="3">
        <v>4</v>
      </c>
      <c r="C467" s="3">
        <v>0</v>
      </c>
      <c r="D467" s="3">
        <v>0</v>
      </c>
      <c r="E467" s="29" t="s">
        <v>0</v>
      </c>
      <c r="F467" s="29" t="s">
        <v>201</v>
      </c>
      <c r="G467" s="20" t="s">
        <v>62</v>
      </c>
      <c r="H467" s="20" t="s">
        <v>338</v>
      </c>
      <c r="I467" s="67">
        <v>0.64156347031963479</v>
      </c>
    </row>
    <row r="468" spans="2:9" x14ac:dyDescent="0.25">
      <c r="B468" s="3">
        <v>4</v>
      </c>
      <c r="C468" s="3">
        <v>0</v>
      </c>
      <c r="D468" s="3">
        <v>0</v>
      </c>
      <c r="E468" s="29" t="s">
        <v>0</v>
      </c>
      <c r="F468" s="29" t="s">
        <v>202</v>
      </c>
      <c r="G468" s="20" t="s">
        <v>61</v>
      </c>
      <c r="H468" s="20" t="s">
        <v>339</v>
      </c>
      <c r="I468" s="67">
        <v>0.52235128535753417</v>
      </c>
    </row>
    <row r="469" spans="2:9" x14ac:dyDescent="0.25">
      <c r="B469" s="3">
        <v>4</v>
      </c>
      <c r="C469" s="3">
        <v>0</v>
      </c>
      <c r="D469" s="3">
        <v>1</v>
      </c>
      <c r="E469" s="29" t="s">
        <v>0</v>
      </c>
      <c r="F469" s="29" t="s">
        <v>202</v>
      </c>
      <c r="G469" s="20" t="s">
        <v>88</v>
      </c>
      <c r="H469" s="20" t="s">
        <v>335</v>
      </c>
      <c r="I469" s="67">
        <v>0</v>
      </c>
    </row>
    <row r="470" spans="2:9" x14ac:dyDescent="0.25">
      <c r="B470" s="3">
        <v>4</v>
      </c>
      <c r="C470" s="3">
        <v>0</v>
      </c>
      <c r="D470" s="3">
        <v>1</v>
      </c>
      <c r="E470" s="29" t="s">
        <v>0</v>
      </c>
      <c r="F470" s="29" t="s">
        <v>227</v>
      </c>
      <c r="G470" s="20" t="s">
        <v>73</v>
      </c>
      <c r="H470" s="20" t="s">
        <v>340</v>
      </c>
      <c r="I470" s="67">
        <v>0.31054233898630135</v>
      </c>
    </row>
    <row r="471" spans="2:9" x14ac:dyDescent="0.25">
      <c r="B471" s="3">
        <v>4</v>
      </c>
      <c r="C471" s="3">
        <v>0</v>
      </c>
      <c r="D471" s="3">
        <v>1</v>
      </c>
      <c r="E471" s="29" t="s">
        <v>0</v>
      </c>
      <c r="F471" s="29" t="s">
        <v>222</v>
      </c>
      <c r="G471" s="20" t="s">
        <v>71</v>
      </c>
      <c r="H471" s="20" t="s">
        <v>341</v>
      </c>
      <c r="I471" s="67">
        <v>0.33192078615068482</v>
      </c>
    </row>
    <row r="472" spans="2:9" x14ac:dyDescent="0.25">
      <c r="B472" s="3">
        <v>4</v>
      </c>
      <c r="C472" s="3">
        <v>0</v>
      </c>
      <c r="D472" s="3">
        <v>1</v>
      </c>
      <c r="E472" s="29" t="s">
        <v>0</v>
      </c>
      <c r="F472" s="29" t="s">
        <v>197</v>
      </c>
      <c r="G472" s="20" t="s">
        <v>78</v>
      </c>
      <c r="H472" s="20" t="s">
        <v>342</v>
      </c>
      <c r="I472" s="67">
        <v>0.19903972602739725</v>
      </c>
    </row>
    <row r="473" spans="2:9" x14ac:dyDescent="0.25">
      <c r="B473" s="3">
        <v>4</v>
      </c>
      <c r="C473" s="3">
        <v>0</v>
      </c>
      <c r="D473" s="3">
        <v>1</v>
      </c>
      <c r="E473" s="29" t="s">
        <v>0</v>
      </c>
      <c r="F473" s="29" t="s">
        <v>293</v>
      </c>
      <c r="G473" s="20" t="s">
        <v>377</v>
      </c>
      <c r="H473" s="20" t="s">
        <v>343</v>
      </c>
      <c r="I473" s="67">
        <v>0.13018185162739723</v>
      </c>
    </row>
    <row r="474" spans="2:9" x14ac:dyDescent="0.25">
      <c r="B474" s="3">
        <v>4</v>
      </c>
      <c r="C474" s="3">
        <v>0</v>
      </c>
      <c r="D474" s="3">
        <v>2</v>
      </c>
      <c r="E474" s="29" t="s">
        <v>0</v>
      </c>
      <c r="F474" s="29" t="s">
        <v>293</v>
      </c>
      <c r="G474" s="20" t="s">
        <v>88</v>
      </c>
      <c r="H474" s="20" t="s">
        <v>335</v>
      </c>
      <c r="I474" s="67">
        <v>0</v>
      </c>
    </row>
    <row r="475" spans="2:9" x14ac:dyDescent="0.25">
      <c r="B475" s="3">
        <v>4</v>
      </c>
      <c r="C475" s="3">
        <v>0</v>
      </c>
      <c r="D475" s="3">
        <v>2</v>
      </c>
      <c r="E475" s="29" t="s">
        <v>0</v>
      </c>
      <c r="F475" s="29" t="s">
        <v>298</v>
      </c>
      <c r="G475" s="20" t="s">
        <v>378</v>
      </c>
      <c r="H475" s="20" t="s">
        <v>344</v>
      </c>
      <c r="I475" s="67">
        <v>0.17885771809315065</v>
      </c>
    </row>
    <row r="476" spans="2:9" x14ac:dyDescent="0.25">
      <c r="B476" s="3">
        <v>4</v>
      </c>
      <c r="C476" s="3">
        <v>0</v>
      </c>
      <c r="D476" s="3">
        <v>2</v>
      </c>
      <c r="E476" s="29" t="s">
        <v>0</v>
      </c>
      <c r="F476" s="29" t="s">
        <v>294</v>
      </c>
      <c r="G476" s="20" t="s">
        <v>379</v>
      </c>
      <c r="H476" s="20" t="s">
        <v>345</v>
      </c>
      <c r="I476" s="67">
        <v>0.16408889538904112</v>
      </c>
    </row>
    <row r="477" spans="2:9" x14ac:dyDescent="0.25">
      <c r="B477" s="3">
        <v>4</v>
      </c>
      <c r="C477" s="3">
        <v>0</v>
      </c>
      <c r="D477" s="3">
        <v>3</v>
      </c>
      <c r="E477" s="29" t="s">
        <v>205</v>
      </c>
      <c r="F477" s="29" t="s">
        <v>294</v>
      </c>
      <c r="G477" s="20" t="s">
        <v>88</v>
      </c>
      <c r="H477" s="20" t="s">
        <v>335</v>
      </c>
      <c r="I477" s="67">
        <v>0</v>
      </c>
    </row>
    <row r="478" spans="2:9" x14ac:dyDescent="0.25">
      <c r="B478" s="3">
        <v>4</v>
      </c>
      <c r="C478" s="3">
        <v>0</v>
      </c>
      <c r="D478" s="3">
        <v>3</v>
      </c>
      <c r="E478" s="29" t="s">
        <v>205</v>
      </c>
      <c r="F478" s="29" t="s">
        <v>0</v>
      </c>
      <c r="G478" s="20" t="s">
        <v>383</v>
      </c>
      <c r="H478" s="20" t="s">
        <v>346</v>
      </c>
      <c r="I478" s="67">
        <v>8.569996659315067E-2</v>
      </c>
    </row>
    <row r="479" spans="2:9" x14ac:dyDescent="0.25">
      <c r="B479" s="3">
        <v>4</v>
      </c>
      <c r="C479" s="3">
        <v>0</v>
      </c>
      <c r="D479" s="3">
        <v>3</v>
      </c>
      <c r="E479" s="29" t="s">
        <v>205</v>
      </c>
      <c r="F479" s="29" t="s">
        <v>204</v>
      </c>
      <c r="G479" s="20" t="s">
        <v>56</v>
      </c>
      <c r="H479" s="20" t="s">
        <v>347</v>
      </c>
      <c r="I479" s="67">
        <v>0.79987642982876717</v>
      </c>
    </row>
    <row r="480" spans="2:9" x14ac:dyDescent="0.25">
      <c r="B480" s="3">
        <v>4</v>
      </c>
      <c r="C480" s="3">
        <v>0</v>
      </c>
      <c r="D480" s="3">
        <v>4</v>
      </c>
      <c r="E480" s="29" t="s">
        <v>231</v>
      </c>
      <c r="F480" s="29" t="s">
        <v>204</v>
      </c>
      <c r="G480" s="20" t="s">
        <v>88</v>
      </c>
      <c r="H480" s="20" t="s">
        <v>335</v>
      </c>
      <c r="I480" s="67">
        <v>0</v>
      </c>
    </row>
    <row r="481" spans="2:9" x14ac:dyDescent="0.25">
      <c r="B481" s="3">
        <v>4</v>
      </c>
      <c r="C481" s="3">
        <v>0</v>
      </c>
      <c r="D481" s="3">
        <v>4</v>
      </c>
      <c r="E481" s="29" t="s">
        <v>231</v>
      </c>
      <c r="F481" s="29" t="s">
        <v>205</v>
      </c>
      <c r="G481" s="20" t="s">
        <v>64</v>
      </c>
      <c r="H481" s="20" t="s">
        <v>348</v>
      </c>
      <c r="I481" s="67">
        <v>0.47060212746575342</v>
      </c>
    </row>
    <row r="482" spans="2:9" x14ac:dyDescent="0.25">
      <c r="B482" s="3">
        <v>4</v>
      </c>
      <c r="C482" s="3">
        <v>0</v>
      </c>
      <c r="D482" s="3">
        <v>4</v>
      </c>
      <c r="E482" s="29" t="s">
        <v>231</v>
      </c>
      <c r="F482" s="29" t="s">
        <v>209</v>
      </c>
      <c r="G482" s="20" t="s">
        <v>70</v>
      </c>
      <c r="H482" s="20" t="s">
        <v>349</v>
      </c>
      <c r="I482" s="67">
        <v>0.3100284996826484</v>
      </c>
    </row>
    <row r="483" spans="2:9" x14ac:dyDescent="0.25">
      <c r="B483" s="3">
        <v>4</v>
      </c>
      <c r="C483" s="3">
        <v>0</v>
      </c>
      <c r="D483" s="3">
        <v>4</v>
      </c>
      <c r="E483" s="29" t="s">
        <v>231</v>
      </c>
      <c r="F483" s="29" t="s">
        <v>232</v>
      </c>
      <c r="G483" s="20" t="s">
        <v>190</v>
      </c>
      <c r="H483" s="20" t="s">
        <v>350</v>
      </c>
      <c r="I483" s="67">
        <v>0.10879662802191779</v>
      </c>
    </row>
    <row r="484" spans="2:9" x14ac:dyDescent="0.25">
      <c r="B484" s="3">
        <v>4</v>
      </c>
      <c r="C484" s="3">
        <v>0</v>
      </c>
      <c r="D484" s="3">
        <v>5</v>
      </c>
      <c r="E484" s="29" t="s">
        <v>0</v>
      </c>
      <c r="F484" s="29" t="s">
        <v>232</v>
      </c>
      <c r="G484" s="20" t="s">
        <v>88</v>
      </c>
      <c r="H484" s="20" t="s">
        <v>335</v>
      </c>
      <c r="I484" s="67">
        <v>0</v>
      </c>
    </row>
    <row r="485" spans="2:9" x14ac:dyDescent="0.25">
      <c r="B485" s="3">
        <v>4</v>
      </c>
      <c r="C485" s="3">
        <v>0</v>
      </c>
      <c r="D485" s="3">
        <v>5</v>
      </c>
      <c r="E485" s="29" t="s">
        <v>0</v>
      </c>
      <c r="F485" s="29" t="s">
        <v>233</v>
      </c>
      <c r="G485" s="20" t="s">
        <v>185</v>
      </c>
      <c r="H485" s="20" t="s">
        <v>351</v>
      </c>
      <c r="I485" s="67">
        <v>0.97862932422739712</v>
      </c>
    </row>
    <row r="486" spans="2:9" x14ac:dyDescent="0.25">
      <c r="B486" s="3">
        <v>4</v>
      </c>
      <c r="C486" s="3">
        <v>0</v>
      </c>
      <c r="D486" s="3">
        <v>6</v>
      </c>
      <c r="E486" s="29" t="s">
        <v>0</v>
      </c>
      <c r="F486" s="29" t="s">
        <v>233</v>
      </c>
      <c r="G486" s="20" t="s">
        <v>88</v>
      </c>
      <c r="H486" s="20" t="s">
        <v>335</v>
      </c>
      <c r="I486" s="67">
        <v>0</v>
      </c>
    </row>
    <row r="487" spans="2:9" x14ac:dyDescent="0.25">
      <c r="B487" s="3">
        <v>4</v>
      </c>
      <c r="C487" s="3">
        <v>0</v>
      </c>
      <c r="D487" s="3">
        <v>6</v>
      </c>
      <c r="E487" s="29" t="s">
        <v>0</v>
      </c>
      <c r="F487" s="29" t="s">
        <v>234</v>
      </c>
      <c r="G487" s="20" t="s">
        <v>183</v>
      </c>
      <c r="H487" s="20" t="s">
        <v>352</v>
      </c>
      <c r="I487" s="67">
        <v>0.761054449026484</v>
      </c>
    </row>
    <row r="488" spans="2:9" x14ac:dyDescent="0.25">
      <c r="B488" s="3">
        <v>4</v>
      </c>
      <c r="C488" s="3">
        <v>0</v>
      </c>
      <c r="D488" s="3">
        <v>6</v>
      </c>
      <c r="E488" s="29" t="s">
        <v>0</v>
      </c>
      <c r="F488" s="29" t="s">
        <v>231</v>
      </c>
      <c r="G488" s="20" t="s">
        <v>187</v>
      </c>
      <c r="H488" s="20" t="s">
        <v>353</v>
      </c>
      <c r="I488" s="67">
        <v>0.57002481980136988</v>
      </c>
    </row>
    <row r="489" spans="2:9" x14ac:dyDescent="0.25">
      <c r="B489" s="3">
        <v>4</v>
      </c>
      <c r="C489" s="3">
        <v>0</v>
      </c>
      <c r="D489" s="3">
        <v>7</v>
      </c>
      <c r="E489" s="29" t="s">
        <v>0</v>
      </c>
      <c r="F489" s="29" t="s">
        <v>231</v>
      </c>
      <c r="G489" s="20" t="s">
        <v>88</v>
      </c>
      <c r="H489" s="20" t="s">
        <v>335</v>
      </c>
      <c r="I489" s="67">
        <v>0</v>
      </c>
    </row>
    <row r="490" spans="2:9" x14ac:dyDescent="0.25">
      <c r="B490" s="3">
        <v>4</v>
      </c>
      <c r="C490" s="3">
        <v>0</v>
      </c>
      <c r="D490" s="3">
        <v>7</v>
      </c>
      <c r="E490" s="29" t="s">
        <v>0</v>
      </c>
      <c r="F490" s="29" t="s">
        <v>235</v>
      </c>
      <c r="G490" s="20" t="s">
        <v>184</v>
      </c>
      <c r="H490" s="20" t="s">
        <v>354</v>
      </c>
      <c r="I490" s="67">
        <v>0.65250501656986304</v>
      </c>
    </row>
    <row r="491" spans="2:9" x14ac:dyDescent="0.25">
      <c r="B491" s="3">
        <v>4</v>
      </c>
      <c r="C491" s="3">
        <v>0</v>
      </c>
      <c r="D491" s="3">
        <v>7</v>
      </c>
      <c r="E491" s="29" t="s">
        <v>0</v>
      </c>
      <c r="F491" s="29" t="s">
        <v>230</v>
      </c>
      <c r="G491" s="20" t="s">
        <v>189</v>
      </c>
      <c r="H491" s="20" t="s">
        <v>355</v>
      </c>
      <c r="I491" s="67">
        <v>0.40023881892739721</v>
      </c>
    </row>
    <row r="492" spans="2:9" x14ac:dyDescent="0.25">
      <c r="B492" s="3">
        <v>4</v>
      </c>
      <c r="C492" s="3">
        <v>0</v>
      </c>
      <c r="D492" s="3">
        <v>8</v>
      </c>
      <c r="E492" s="29" t="s">
        <v>0</v>
      </c>
      <c r="F492" s="29" t="s">
        <v>230</v>
      </c>
      <c r="G492" s="20" t="s">
        <v>88</v>
      </c>
      <c r="H492" s="20" t="s">
        <v>335</v>
      </c>
      <c r="I492" s="67">
        <v>0</v>
      </c>
    </row>
    <row r="493" spans="2:9" x14ac:dyDescent="0.25">
      <c r="B493" s="3">
        <v>4</v>
      </c>
      <c r="C493" s="3">
        <v>0</v>
      </c>
      <c r="D493" s="3">
        <v>8</v>
      </c>
      <c r="E493" s="29" t="s">
        <v>0</v>
      </c>
      <c r="F493" s="29" t="s">
        <v>229</v>
      </c>
      <c r="G493" s="20" t="s">
        <v>188</v>
      </c>
      <c r="H493" s="20" t="s">
        <v>356</v>
      </c>
      <c r="I493" s="67">
        <v>0.33125275563561646</v>
      </c>
    </row>
    <row r="494" spans="2:9" x14ac:dyDescent="0.25">
      <c r="B494" s="3">
        <v>4</v>
      </c>
      <c r="C494" s="3">
        <v>0</v>
      </c>
      <c r="D494" s="3">
        <v>8</v>
      </c>
      <c r="E494" s="29" t="s">
        <v>0</v>
      </c>
      <c r="F494" s="29" t="s">
        <v>219</v>
      </c>
      <c r="G494" s="20" t="s">
        <v>186</v>
      </c>
      <c r="H494" s="20" t="s">
        <v>357</v>
      </c>
      <c r="I494" s="67">
        <v>0.25238134948219176</v>
      </c>
    </row>
    <row r="495" spans="2:9" x14ac:dyDescent="0.25">
      <c r="B495" s="3">
        <v>4</v>
      </c>
      <c r="C495" s="3">
        <v>0</v>
      </c>
      <c r="D495" s="3">
        <v>8</v>
      </c>
      <c r="E495" s="29" t="s">
        <v>0</v>
      </c>
      <c r="F495" s="29" t="s">
        <v>218</v>
      </c>
      <c r="G495" s="20" t="s">
        <v>76</v>
      </c>
      <c r="H495" s="20" t="s">
        <v>358</v>
      </c>
      <c r="I495" s="67">
        <v>0.32334246575342468</v>
      </c>
    </row>
    <row r="496" spans="2:9" x14ac:dyDescent="0.25">
      <c r="B496" s="3">
        <v>4</v>
      </c>
      <c r="C496" s="3">
        <v>0</v>
      </c>
      <c r="D496" s="3">
        <v>8</v>
      </c>
      <c r="E496" s="29" t="s">
        <v>0</v>
      </c>
      <c r="F496" s="29" t="s">
        <v>285</v>
      </c>
      <c r="G496" s="20" t="s">
        <v>319</v>
      </c>
      <c r="H496" s="20" t="s">
        <v>359</v>
      </c>
      <c r="I496" s="67">
        <v>5.409795458493151E-2</v>
      </c>
    </row>
    <row r="497" spans="2:9" x14ac:dyDescent="0.25">
      <c r="B497" s="3">
        <v>4</v>
      </c>
      <c r="C497" s="3">
        <v>0</v>
      </c>
      <c r="D497" s="3">
        <v>9</v>
      </c>
      <c r="E497" s="29" t="s">
        <v>0</v>
      </c>
      <c r="F497" s="29" t="s">
        <v>285</v>
      </c>
      <c r="G497" s="20" t="s">
        <v>88</v>
      </c>
      <c r="H497" s="20" t="s">
        <v>335</v>
      </c>
      <c r="I497" s="67">
        <v>0</v>
      </c>
    </row>
    <row r="498" spans="2:9" x14ac:dyDescent="0.25">
      <c r="B498" s="3">
        <v>4</v>
      </c>
      <c r="C498" s="3">
        <v>0</v>
      </c>
      <c r="D498" s="3">
        <v>9</v>
      </c>
      <c r="E498" s="29" t="s">
        <v>0</v>
      </c>
      <c r="F498" s="29" t="s">
        <v>283</v>
      </c>
      <c r="G498" s="20" t="s">
        <v>384</v>
      </c>
      <c r="H498" s="20" t="s">
        <v>360</v>
      </c>
      <c r="I498" s="67">
        <v>7.8552843047945201E-2</v>
      </c>
    </row>
    <row r="499" spans="2:9" x14ac:dyDescent="0.25">
      <c r="B499" s="3">
        <v>4</v>
      </c>
      <c r="C499" s="3">
        <v>0</v>
      </c>
      <c r="D499" s="3">
        <v>9</v>
      </c>
      <c r="E499" s="29" t="s">
        <v>0</v>
      </c>
      <c r="F499" s="29" t="s">
        <v>282</v>
      </c>
      <c r="G499" s="20" t="s">
        <v>385</v>
      </c>
      <c r="H499" s="20" t="s">
        <v>361</v>
      </c>
      <c r="I499" s="67">
        <v>0</v>
      </c>
    </row>
    <row r="500" spans="2:9" x14ac:dyDescent="0.25">
      <c r="B500" s="3">
        <v>4</v>
      </c>
      <c r="C500" s="3">
        <v>0</v>
      </c>
      <c r="D500" s="3">
        <v>9</v>
      </c>
      <c r="E500" s="29" t="s">
        <v>0</v>
      </c>
      <c r="F500" s="29" t="s">
        <v>281</v>
      </c>
      <c r="G500" s="20" t="s">
        <v>386</v>
      </c>
      <c r="H500" s="20" t="s">
        <v>362</v>
      </c>
      <c r="I500" s="67">
        <v>6.8342465755251144E-2</v>
      </c>
    </row>
    <row r="501" spans="2:9" x14ac:dyDescent="0.25">
      <c r="B501" s="3">
        <v>4</v>
      </c>
      <c r="C501" s="3">
        <v>0</v>
      </c>
      <c r="D501" s="3">
        <v>9</v>
      </c>
      <c r="E501" s="29" t="s">
        <v>0</v>
      </c>
      <c r="F501" s="29" t="s">
        <v>280</v>
      </c>
      <c r="G501" s="20" t="s">
        <v>387</v>
      </c>
      <c r="H501" s="20" t="s">
        <v>363</v>
      </c>
      <c r="I501" s="67">
        <v>0.14528361603013701</v>
      </c>
    </row>
    <row r="502" spans="2:9" x14ac:dyDescent="0.25">
      <c r="B502" s="3">
        <v>4</v>
      </c>
      <c r="C502" s="3">
        <v>0</v>
      </c>
      <c r="D502" s="3">
        <v>9</v>
      </c>
      <c r="E502" s="29" t="s">
        <v>0</v>
      </c>
      <c r="F502" s="29" t="s">
        <v>279</v>
      </c>
      <c r="G502" s="20" t="s">
        <v>388</v>
      </c>
      <c r="H502" s="20" t="s">
        <v>364</v>
      </c>
      <c r="I502" s="67">
        <v>2.5464774954337903E-2</v>
      </c>
    </row>
    <row r="503" spans="2:9" x14ac:dyDescent="0.25">
      <c r="B503" s="3">
        <v>4</v>
      </c>
      <c r="C503" s="3">
        <v>0</v>
      </c>
      <c r="D503" s="3">
        <v>9</v>
      </c>
      <c r="E503" s="29" t="s">
        <v>0</v>
      </c>
      <c r="F503" s="29" t="s">
        <v>278</v>
      </c>
      <c r="G503" s="20" t="s">
        <v>389</v>
      </c>
      <c r="H503" s="20" t="s">
        <v>365</v>
      </c>
      <c r="I503" s="67">
        <v>6.9570776255707761E-2</v>
      </c>
    </row>
    <row r="504" spans="2:9" x14ac:dyDescent="0.25">
      <c r="B504" s="3">
        <v>4</v>
      </c>
      <c r="C504" s="3">
        <v>0</v>
      </c>
      <c r="D504" s="3">
        <v>10</v>
      </c>
      <c r="E504" s="29" t="s">
        <v>0</v>
      </c>
      <c r="F504" s="29" t="s">
        <v>278</v>
      </c>
      <c r="G504" s="20" t="s">
        <v>88</v>
      </c>
      <c r="H504" s="20" t="s">
        <v>335</v>
      </c>
      <c r="I504" s="67">
        <v>0</v>
      </c>
    </row>
    <row r="505" spans="2:9" x14ac:dyDescent="0.25">
      <c r="B505" s="3">
        <v>4</v>
      </c>
      <c r="C505" s="3">
        <v>0</v>
      </c>
      <c r="D505" s="3">
        <v>10</v>
      </c>
      <c r="E505" s="29" t="s">
        <v>0</v>
      </c>
      <c r="F505" s="29" t="s">
        <v>277</v>
      </c>
      <c r="G505" s="20" t="s">
        <v>390</v>
      </c>
      <c r="H505" s="20" t="s">
        <v>366</v>
      </c>
      <c r="I505" s="67">
        <v>0</v>
      </c>
    </row>
    <row r="506" spans="2:9" x14ac:dyDescent="0.25">
      <c r="B506" s="3">
        <v>4</v>
      </c>
      <c r="C506" s="3">
        <v>0</v>
      </c>
      <c r="D506" s="3">
        <v>11</v>
      </c>
      <c r="E506" s="29" t="s">
        <v>0</v>
      </c>
      <c r="F506" s="29" t="s">
        <v>277</v>
      </c>
      <c r="G506" s="20" t="s">
        <v>88</v>
      </c>
      <c r="H506" s="20" t="s">
        <v>335</v>
      </c>
      <c r="I506" s="67">
        <v>0</v>
      </c>
    </row>
    <row r="507" spans="2:9" x14ac:dyDescent="0.25">
      <c r="B507" s="3">
        <v>4</v>
      </c>
      <c r="C507" s="3">
        <v>0</v>
      </c>
      <c r="D507" s="3">
        <v>11</v>
      </c>
      <c r="E507" s="29" t="s">
        <v>0</v>
      </c>
      <c r="F507" s="29" t="s">
        <v>59</v>
      </c>
      <c r="G507" s="20" t="s">
        <v>391</v>
      </c>
      <c r="H507" s="20" t="s">
        <v>367</v>
      </c>
      <c r="I507" s="67">
        <v>0.42963184931506848</v>
      </c>
    </row>
    <row r="508" spans="2:9" x14ac:dyDescent="0.25">
      <c r="B508" s="3">
        <v>4</v>
      </c>
      <c r="C508" s="3">
        <v>0</v>
      </c>
      <c r="D508" s="3">
        <v>12</v>
      </c>
      <c r="E508" s="29" t="s">
        <v>0</v>
      </c>
      <c r="F508" s="29" t="s">
        <v>59</v>
      </c>
      <c r="G508" s="20" t="s">
        <v>88</v>
      </c>
      <c r="H508" s="20" t="s">
        <v>335</v>
      </c>
      <c r="I508" s="67">
        <v>0</v>
      </c>
    </row>
    <row r="509" spans="2:9" x14ac:dyDescent="0.25">
      <c r="B509" s="3">
        <v>4</v>
      </c>
      <c r="C509" s="3">
        <v>0</v>
      </c>
      <c r="D509" s="3">
        <v>12</v>
      </c>
      <c r="E509" s="29" t="s">
        <v>0</v>
      </c>
      <c r="F509" s="29" t="s">
        <v>217</v>
      </c>
      <c r="G509" s="20" t="s">
        <v>60</v>
      </c>
      <c r="H509" s="20" t="s">
        <v>368</v>
      </c>
      <c r="I509" s="67">
        <v>0.81191306708493149</v>
      </c>
    </row>
    <row r="510" spans="2:9" x14ac:dyDescent="0.25">
      <c r="B510" s="3">
        <v>4</v>
      </c>
      <c r="C510" s="3">
        <v>0</v>
      </c>
      <c r="D510" s="3">
        <v>12</v>
      </c>
      <c r="E510" s="29" t="s">
        <v>0</v>
      </c>
      <c r="F510" s="29" t="s">
        <v>198</v>
      </c>
      <c r="G510" s="20" t="s">
        <v>63</v>
      </c>
      <c r="H510" s="20" t="s">
        <v>369</v>
      </c>
      <c r="I510" s="67">
        <v>0.4853197548027397</v>
      </c>
    </row>
    <row r="511" spans="2:9" x14ac:dyDescent="0.25">
      <c r="B511" s="3">
        <v>4</v>
      </c>
      <c r="C511" s="3">
        <v>0</v>
      </c>
      <c r="D511" s="3">
        <v>13</v>
      </c>
      <c r="E511" s="29" t="s">
        <v>0</v>
      </c>
      <c r="F511" s="29" t="s">
        <v>198</v>
      </c>
      <c r="G511" s="20" t="s">
        <v>88</v>
      </c>
      <c r="H511" s="20" t="s">
        <v>335</v>
      </c>
      <c r="I511" s="67">
        <v>0</v>
      </c>
    </row>
    <row r="512" spans="2:9" x14ac:dyDescent="0.25">
      <c r="B512" s="3">
        <v>4</v>
      </c>
      <c r="C512" s="3">
        <v>0</v>
      </c>
      <c r="D512" s="3">
        <v>13</v>
      </c>
      <c r="E512" s="29" t="s">
        <v>0</v>
      </c>
      <c r="F512" s="29" t="s">
        <v>199</v>
      </c>
      <c r="G512" s="20" t="s">
        <v>66</v>
      </c>
      <c r="H512" s="20" t="s">
        <v>370</v>
      </c>
      <c r="I512" s="67">
        <v>0.63926763019726029</v>
      </c>
    </row>
    <row r="513" spans="2:9" x14ac:dyDescent="0.25">
      <c r="B513" s="3">
        <v>4</v>
      </c>
      <c r="C513" s="3">
        <v>0</v>
      </c>
      <c r="D513" s="3">
        <v>13</v>
      </c>
      <c r="E513" s="29" t="s">
        <v>0</v>
      </c>
      <c r="F513" s="29" t="s">
        <v>57</v>
      </c>
      <c r="G513" s="20" t="s">
        <v>58</v>
      </c>
      <c r="H513" s="20" t="s">
        <v>371</v>
      </c>
      <c r="I513" s="67">
        <v>0.72983883979178077</v>
      </c>
    </row>
    <row r="514" spans="2:9" x14ac:dyDescent="0.25">
      <c r="B514" s="3">
        <v>4</v>
      </c>
      <c r="C514" s="3">
        <v>0</v>
      </c>
      <c r="D514" s="3">
        <v>14</v>
      </c>
      <c r="E514" s="29" t="s">
        <v>0</v>
      </c>
      <c r="F514" s="29" t="s">
        <v>57</v>
      </c>
      <c r="G514" s="20" t="s">
        <v>88</v>
      </c>
      <c r="H514" s="20" t="s">
        <v>335</v>
      </c>
      <c r="I514" s="67">
        <v>0</v>
      </c>
    </row>
    <row r="515" spans="2:9" x14ac:dyDescent="0.25">
      <c r="B515" s="3">
        <v>4</v>
      </c>
      <c r="C515" s="3">
        <v>0</v>
      </c>
      <c r="D515" s="3">
        <v>14</v>
      </c>
      <c r="E515" s="29" t="s">
        <v>0</v>
      </c>
      <c r="F515" s="29" t="s">
        <v>210</v>
      </c>
      <c r="G515" s="20" t="s">
        <v>67</v>
      </c>
      <c r="H515" s="20" t="s">
        <v>372</v>
      </c>
      <c r="I515" s="67">
        <v>0.51745569932648394</v>
      </c>
    </row>
    <row r="516" spans="2:9" x14ac:dyDescent="0.25">
      <c r="B516" s="3">
        <v>4</v>
      </c>
      <c r="C516" s="3">
        <v>0</v>
      </c>
      <c r="D516" s="3">
        <v>14</v>
      </c>
      <c r="E516" s="29" t="s">
        <v>0</v>
      </c>
      <c r="F516" s="29" t="s">
        <v>211</v>
      </c>
      <c r="G516" s="20" t="s">
        <v>74</v>
      </c>
      <c r="H516" s="20" t="s">
        <v>373</v>
      </c>
      <c r="I516" s="67">
        <v>0.36881986195433786</v>
      </c>
    </row>
    <row r="517" spans="2:9" x14ac:dyDescent="0.25">
      <c r="B517" s="3">
        <v>4</v>
      </c>
      <c r="C517" s="3">
        <v>0</v>
      </c>
      <c r="D517" s="3">
        <v>14</v>
      </c>
      <c r="E517" s="29" t="s">
        <v>0</v>
      </c>
      <c r="F517" s="29" t="s">
        <v>206</v>
      </c>
      <c r="G517" s="20" t="s">
        <v>69</v>
      </c>
      <c r="H517" s="20" t="s">
        <v>374</v>
      </c>
      <c r="I517" s="67">
        <v>0.31692832208493155</v>
      </c>
    </row>
    <row r="518" spans="2:9" x14ac:dyDescent="0.25">
      <c r="B518" s="3">
        <v>4</v>
      </c>
      <c r="C518" s="3">
        <v>0</v>
      </c>
      <c r="D518" s="3">
        <v>14</v>
      </c>
      <c r="E518" s="29" t="s">
        <v>0</v>
      </c>
      <c r="F518" s="29" t="s">
        <v>207</v>
      </c>
      <c r="G518" s="20" t="s">
        <v>75</v>
      </c>
      <c r="H518" s="20" t="s">
        <v>375</v>
      </c>
      <c r="I518" s="67">
        <v>0.37564897960000004</v>
      </c>
    </row>
    <row r="519" spans="2:9" x14ac:dyDescent="0.25">
      <c r="B519" s="3">
        <v>4</v>
      </c>
      <c r="C519" s="3">
        <v>0</v>
      </c>
      <c r="D519" s="3">
        <v>14</v>
      </c>
      <c r="E519" s="29" t="s">
        <v>0</v>
      </c>
      <c r="F519" s="29" t="s">
        <v>216</v>
      </c>
      <c r="G519" s="20" t="s">
        <v>77</v>
      </c>
      <c r="H519" s="20" t="s">
        <v>376</v>
      </c>
      <c r="I519" s="67">
        <v>0.1580933219178082</v>
      </c>
    </row>
    <row r="520" spans="2:9" x14ac:dyDescent="0.25">
      <c r="B520" s="3">
        <v>4</v>
      </c>
      <c r="C520" s="3">
        <v>1</v>
      </c>
      <c r="D520" s="3">
        <v>15</v>
      </c>
      <c r="E520" s="29" t="s">
        <v>0</v>
      </c>
      <c r="F520" s="29" t="s">
        <v>223</v>
      </c>
      <c r="G520" s="20" t="s">
        <v>88</v>
      </c>
      <c r="H520" s="20" t="s">
        <v>335</v>
      </c>
      <c r="I520" s="67">
        <v>0</v>
      </c>
    </row>
    <row r="521" spans="2:9" x14ac:dyDescent="0.25">
      <c r="B521" s="3">
        <v>4</v>
      </c>
      <c r="C521" s="3">
        <v>1</v>
      </c>
      <c r="D521" s="3">
        <v>15</v>
      </c>
      <c r="E521" s="29" t="s">
        <v>0</v>
      </c>
      <c r="F521" s="29" t="s">
        <v>224</v>
      </c>
      <c r="G521" s="20" t="s">
        <v>65</v>
      </c>
      <c r="H521" s="20" t="s">
        <v>336</v>
      </c>
      <c r="I521" s="67">
        <v>0.64589345500821915</v>
      </c>
    </row>
    <row r="522" spans="2:9" x14ac:dyDescent="0.25">
      <c r="B522" s="3">
        <v>4</v>
      </c>
      <c r="C522" s="3">
        <v>1</v>
      </c>
      <c r="D522" s="3">
        <v>15</v>
      </c>
      <c r="E522" s="29" t="s">
        <v>0</v>
      </c>
      <c r="F522" s="29" t="s">
        <v>225</v>
      </c>
      <c r="G522" s="20" t="s">
        <v>72</v>
      </c>
      <c r="H522" s="20" t="s">
        <v>337</v>
      </c>
      <c r="I522" s="67">
        <v>0.3094879332388128</v>
      </c>
    </row>
    <row r="523" spans="2:9" x14ac:dyDescent="0.25">
      <c r="B523" s="3">
        <v>4</v>
      </c>
      <c r="C523" s="3">
        <v>1</v>
      </c>
      <c r="D523" s="3">
        <v>15</v>
      </c>
      <c r="E523" s="29" t="s">
        <v>0</v>
      </c>
      <c r="F523" s="29" t="s">
        <v>201</v>
      </c>
      <c r="G523" s="20" t="s">
        <v>62</v>
      </c>
      <c r="H523" s="20" t="s">
        <v>338</v>
      </c>
      <c r="I523" s="67">
        <v>0.65732968036529693</v>
      </c>
    </row>
    <row r="524" spans="2:9" x14ac:dyDescent="0.25">
      <c r="B524" s="3">
        <v>4</v>
      </c>
      <c r="C524" s="3">
        <v>1</v>
      </c>
      <c r="D524" s="3">
        <v>15</v>
      </c>
      <c r="E524" s="29" t="s">
        <v>0</v>
      </c>
      <c r="F524" s="29" t="s">
        <v>202</v>
      </c>
      <c r="G524" s="20" t="s">
        <v>61</v>
      </c>
      <c r="H524" s="20" t="s">
        <v>339</v>
      </c>
      <c r="I524" s="67">
        <v>0.55673109394794518</v>
      </c>
    </row>
    <row r="525" spans="2:9" x14ac:dyDescent="0.25">
      <c r="B525" s="3">
        <v>4</v>
      </c>
      <c r="C525" s="3">
        <v>1</v>
      </c>
      <c r="D525" s="3">
        <v>16</v>
      </c>
      <c r="E525" s="29" t="s">
        <v>0</v>
      </c>
      <c r="F525" s="29" t="s">
        <v>202</v>
      </c>
      <c r="G525" s="20" t="s">
        <v>88</v>
      </c>
      <c r="H525" s="20" t="s">
        <v>335</v>
      </c>
      <c r="I525" s="67">
        <v>0</v>
      </c>
    </row>
    <row r="526" spans="2:9" x14ac:dyDescent="0.25">
      <c r="B526" s="3">
        <v>4</v>
      </c>
      <c r="C526" s="3">
        <v>1</v>
      </c>
      <c r="D526" s="3">
        <v>16</v>
      </c>
      <c r="E526" s="29" t="s">
        <v>0</v>
      </c>
      <c r="F526" s="29" t="s">
        <v>227</v>
      </c>
      <c r="G526" s="20" t="s">
        <v>73</v>
      </c>
      <c r="H526" s="20" t="s">
        <v>340</v>
      </c>
      <c r="I526" s="67">
        <v>0.32272046992694065</v>
      </c>
    </row>
    <row r="527" spans="2:9" x14ac:dyDescent="0.25">
      <c r="B527" s="3">
        <v>4</v>
      </c>
      <c r="C527" s="3">
        <v>1</v>
      </c>
      <c r="D527" s="3">
        <v>16</v>
      </c>
      <c r="E527" s="29" t="s">
        <v>0</v>
      </c>
      <c r="F527" s="29" t="s">
        <v>222</v>
      </c>
      <c r="G527" s="20" t="s">
        <v>71</v>
      </c>
      <c r="H527" s="20" t="s">
        <v>341</v>
      </c>
      <c r="I527" s="67">
        <v>0.32064800473424654</v>
      </c>
    </row>
    <row r="528" spans="2:9" x14ac:dyDescent="0.25">
      <c r="B528" s="3">
        <v>4</v>
      </c>
      <c r="C528" s="3">
        <v>1</v>
      </c>
      <c r="D528" s="3">
        <v>16</v>
      </c>
      <c r="E528" s="29" t="s">
        <v>0</v>
      </c>
      <c r="F528" s="29" t="s">
        <v>197</v>
      </c>
      <c r="G528" s="20" t="s">
        <v>78</v>
      </c>
      <c r="H528" s="20" t="s">
        <v>342</v>
      </c>
      <c r="I528" s="67">
        <v>0.20695025236529677</v>
      </c>
    </row>
    <row r="529" spans="2:9" x14ac:dyDescent="0.25">
      <c r="B529" s="3">
        <v>4</v>
      </c>
      <c r="C529" s="3">
        <v>1</v>
      </c>
      <c r="D529" s="3">
        <v>16</v>
      </c>
      <c r="E529" s="29" t="s">
        <v>0</v>
      </c>
      <c r="F529" s="29" t="s">
        <v>293</v>
      </c>
      <c r="G529" s="20" t="s">
        <v>377</v>
      </c>
      <c r="H529" s="20" t="s">
        <v>343</v>
      </c>
      <c r="I529" s="67">
        <v>0.14981244830136989</v>
      </c>
    </row>
    <row r="530" spans="2:9" x14ac:dyDescent="0.25">
      <c r="B530" s="3">
        <v>4</v>
      </c>
      <c r="C530" s="3">
        <v>1</v>
      </c>
      <c r="D530" s="3">
        <v>17</v>
      </c>
      <c r="E530" s="29" t="s">
        <v>0</v>
      </c>
      <c r="F530" s="29" t="s">
        <v>293</v>
      </c>
      <c r="G530" s="20" t="s">
        <v>88</v>
      </c>
      <c r="H530" s="20" t="s">
        <v>335</v>
      </c>
      <c r="I530" s="67">
        <v>0</v>
      </c>
    </row>
    <row r="531" spans="2:9" x14ac:dyDescent="0.25">
      <c r="B531" s="3">
        <v>4</v>
      </c>
      <c r="C531" s="3">
        <v>1</v>
      </c>
      <c r="D531" s="3">
        <v>17</v>
      </c>
      <c r="E531" s="29" t="s">
        <v>0</v>
      </c>
      <c r="F531" s="29" t="s">
        <v>298</v>
      </c>
      <c r="G531" s="20" t="s">
        <v>378</v>
      </c>
      <c r="H531" s="20" t="s">
        <v>344</v>
      </c>
      <c r="I531" s="67">
        <v>0.17637358311963466</v>
      </c>
    </row>
    <row r="532" spans="2:9" x14ac:dyDescent="0.25">
      <c r="B532" s="3">
        <v>4</v>
      </c>
      <c r="C532" s="3">
        <v>1</v>
      </c>
      <c r="D532" s="3">
        <v>17</v>
      </c>
      <c r="E532" s="29" t="s">
        <v>0</v>
      </c>
      <c r="F532" s="29" t="s">
        <v>294</v>
      </c>
      <c r="G532" s="20" t="s">
        <v>379</v>
      </c>
      <c r="H532" s="20" t="s">
        <v>345</v>
      </c>
      <c r="I532" s="67">
        <v>0.15421888664383562</v>
      </c>
    </row>
    <row r="533" spans="2:9" x14ac:dyDescent="0.25">
      <c r="B533" s="3">
        <v>4</v>
      </c>
      <c r="C533" s="3">
        <v>1</v>
      </c>
      <c r="D533" s="3">
        <v>18</v>
      </c>
      <c r="E533" s="29" t="s">
        <v>205</v>
      </c>
      <c r="F533" s="29" t="s">
        <v>294</v>
      </c>
      <c r="G533" s="20" t="s">
        <v>88</v>
      </c>
      <c r="H533" s="20" t="s">
        <v>335</v>
      </c>
      <c r="I533" s="67">
        <v>0</v>
      </c>
    </row>
    <row r="534" spans="2:9" x14ac:dyDescent="0.25">
      <c r="B534" s="3">
        <v>4</v>
      </c>
      <c r="C534" s="3">
        <v>1</v>
      </c>
      <c r="D534" s="3">
        <v>18</v>
      </c>
      <c r="E534" s="29" t="s">
        <v>205</v>
      </c>
      <c r="F534" s="29" t="s">
        <v>0</v>
      </c>
      <c r="G534" s="20" t="s">
        <v>383</v>
      </c>
      <c r="H534" s="20" t="s">
        <v>346</v>
      </c>
      <c r="I534" s="67">
        <v>7.2168392920547927E-2</v>
      </c>
    </row>
    <row r="535" spans="2:9" x14ac:dyDescent="0.25">
      <c r="B535" s="3">
        <v>4</v>
      </c>
      <c r="C535" s="3">
        <v>1</v>
      </c>
      <c r="D535" s="3">
        <v>18</v>
      </c>
      <c r="E535" s="29" t="s">
        <v>205</v>
      </c>
      <c r="F535" s="29" t="s">
        <v>204</v>
      </c>
      <c r="G535" s="20" t="s">
        <v>56</v>
      </c>
      <c r="H535" s="20" t="s">
        <v>347</v>
      </c>
      <c r="I535" s="67">
        <v>0.8259464764305936</v>
      </c>
    </row>
    <row r="536" spans="2:9" x14ac:dyDescent="0.25">
      <c r="B536" s="3">
        <v>4</v>
      </c>
      <c r="C536" s="3">
        <v>1</v>
      </c>
      <c r="D536" s="3">
        <v>19</v>
      </c>
      <c r="E536" s="29" t="s">
        <v>231</v>
      </c>
      <c r="F536" s="29" t="s">
        <v>204</v>
      </c>
      <c r="G536" s="20" t="s">
        <v>88</v>
      </c>
      <c r="H536" s="20" t="s">
        <v>335</v>
      </c>
      <c r="I536" s="67">
        <v>0</v>
      </c>
    </row>
    <row r="537" spans="2:9" x14ac:dyDescent="0.25">
      <c r="B537" s="3">
        <v>4</v>
      </c>
      <c r="C537" s="3">
        <v>1</v>
      </c>
      <c r="D537" s="3">
        <v>19</v>
      </c>
      <c r="E537" s="29" t="s">
        <v>231</v>
      </c>
      <c r="F537" s="29" t="s">
        <v>205</v>
      </c>
      <c r="G537" s="20" t="s">
        <v>64</v>
      </c>
      <c r="H537" s="20" t="s">
        <v>348</v>
      </c>
      <c r="I537" s="67">
        <v>0.46479222465753423</v>
      </c>
    </row>
    <row r="538" spans="2:9" x14ac:dyDescent="0.25">
      <c r="B538" s="3">
        <v>4</v>
      </c>
      <c r="C538" s="3">
        <v>1</v>
      </c>
      <c r="D538" s="3">
        <v>19</v>
      </c>
      <c r="E538" s="29" t="s">
        <v>231</v>
      </c>
      <c r="F538" s="29" t="s">
        <v>209</v>
      </c>
      <c r="G538" s="20" t="s">
        <v>70</v>
      </c>
      <c r="H538" s="20" t="s">
        <v>349</v>
      </c>
      <c r="I538" s="67">
        <v>0.37341722638356162</v>
      </c>
    </row>
    <row r="539" spans="2:9" x14ac:dyDescent="0.25">
      <c r="B539" s="3">
        <v>4</v>
      </c>
      <c r="C539" s="3">
        <v>1</v>
      </c>
      <c r="D539" s="3">
        <v>19</v>
      </c>
      <c r="E539" s="29" t="s">
        <v>231</v>
      </c>
      <c r="F539" s="29" t="s">
        <v>232</v>
      </c>
      <c r="G539" s="20" t="s">
        <v>190</v>
      </c>
      <c r="H539" s="20" t="s">
        <v>350</v>
      </c>
      <c r="I539" s="67">
        <v>0.10728556374383563</v>
      </c>
    </row>
    <row r="540" spans="2:9" x14ac:dyDescent="0.25">
      <c r="B540" s="3">
        <v>4</v>
      </c>
      <c r="C540" s="3">
        <v>1</v>
      </c>
      <c r="D540" s="3">
        <v>20</v>
      </c>
      <c r="E540" s="29" t="s">
        <v>0</v>
      </c>
      <c r="F540" s="29" t="s">
        <v>232</v>
      </c>
      <c r="G540" s="20" t="s">
        <v>88</v>
      </c>
      <c r="H540" s="20" t="s">
        <v>335</v>
      </c>
      <c r="I540" s="67">
        <v>0</v>
      </c>
    </row>
    <row r="541" spans="2:9" x14ac:dyDescent="0.25">
      <c r="B541" s="3">
        <v>4</v>
      </c>
      <c r="C541" s="3">
        <v>1</v>
      </c>
      <c r="D541" s="3">
        <v>20</v>
      </c>
      <c r="E541" s="29" t="s">
        <v>0</v>
      </c>
      <c r="F541" s="29" t="s">
        <v>233</v>
      </c>
      <c r="G541" s="20" t="s">
        <v>185</v>
      </c>
      <c r="H541" s="20" t="s">
        <v>351</v>
      </c>
      <c r="I541" s="67">
        <v>1.0338830971479451</v>
      </c>
    </row>
    <row r="542" spans="2:9" x14ac:dyDescent="0.25">
      <c r="B542" s="3">
        <v>4</v>
      </c>
      <c r="C542" s="3">
        <v>1</v>
      </c>
      <c r="D542" s="3">
        <v>21</v>
      </c>
      <c r="E542" s="29" t="s">
        <v>0</v>
      </c>
      <c r="F542" s="29" t="s">
        <v>233</v>
      </c>
      <c r="G542" s="20" t="s">
        <v>88</v>
      </c>
      <c r="H542" s="20" t="s">
        <v>335</v>
      </c>
      <c r="I542" s="67">
        <v>0</v>
      </c>
    </row>
    <row r="543" spans="2:9" x14ac:dyDescent="0.25">
      <c r="B543" s="3">
        <v>4</v>
      </c>
      <c r="C543" s="3">
        <v>1</v>
      </c>
      <c r="D543" s="3">
        <v>21</v>
      </c>
      <c r="E543" s="29" t="s">
        <v>0</v>
      </c>
      <c r="F543" s="29" t="s">
        <v>234</v>
      </c>
      <c r="G543" s="20" t="s">
        <v>183</v>
      </c>
      <c r="H543" s="20" t="s">
        <v>352</v>
      </c>
      <c r="I543" s="67">
        <v>0.8083388970429225</v>
      </c>
    </row>
    <row r="544" spans="2:9" x14ac:dyDescent="0.25">
      <c r="B544" s="3">
        <v>4</v>
      </c>
      <c r="C544" s="3">
        <v>1</v>
      </c>
      <c r="D544" s="3">
        <v>21</v>
      </c>
      <c r="E544" s="29" t="s">
        <v>0</v>
      </c>
      <c r="F544" s="29" t="s">
        <v>231</v>
      </c>
      <c r="G544" s="20" t="s">
        <v>187</v>
      </c>
      <c r="H544" s="20" t="s">
        <v>353</v>
      </c>
      <c r="I544" s="67">
        <v>0.52547378178082194</v>
      </c>
    </row>
    <row r="545" spans="2:9" x14ac:dyDescent="0.25">
      <c r="B545" s="3">
        <v>4</v>
      </c>
      <c r="C545" s="3">
        <v>1</v>
      </c>
      <c r="D545" s="3">
        <v>22</v>
      </c>
      <c r="E545" s="29" t="s">
        <v>0</v>
      </c>
      <c r="F545" s="29" t="s">
        <v>231</v>
      </c>
      <c r="G545" s="20" t="s">
        <v>88</v>
      </c>
      <c r="H545" s="20" t="s">
        <v>335</v>
      </c>
      <c r="I545" s="67">
        <v>0</v>
      </c>
    </row>
    <row r="546" spans="2:9" x14ac:dyDescent="0.25">
      <c r="B546" s="3">
        <v>4</v>
      </c>
      <c r="C546" s="3">
        <v>1</v>
      </c>
      <c r="D546" s="3">
        <v>22</v>
      </c>
      <c r="E546" s="29" t="s">
        <v>0</v>
      </c>
      <c r="F546" s="29" t="s">
        <v>235</v>
      </c>
      <c r="G546" s="20" t="s">
        <v>184</v>
      </c>
      <c r="H546" s="20" t="s">
        <v>354</v>
      </c>
      <c r="I546" s="67">
        <v>0.77679168639269414</v>
      </c>
    </row>
    <row r="547" spans="2:9" x14ac:dyDescent="0.25">
      <c r="B547" s="3">
        <v>4</v>
      </c>
      <c r="C547" s="3">
        <v>1</v>
      </c>
      <c r="D547" s="3">
        <v>22</v>
      </c>
      <c r="E547" s="29" t="s">
        <v>0</v>
      </c>
      <c r="F547" s="29" t="s">
        <v>230</v>
      </c>
      <c r="G547" s="20" t="s">
        <v>189</v>
      </c>
      <c r="H547" s="20" t="s">
        <v>355</v>
      </c>
      <c r="I547" s="67">
        <v>0.46517432052328772</v>
      </c>
    </row>
    <row r="548" spans="2:9" x14ac:dyDescent="0.25">
      <c r="B548" s="3">
        <v>4</v>
      </c>
      <c r="C548" s="3">
        <v>1</v>
      </c>
      <c r="D548" s="3">
        <v>23</v>
      </c>
      <c r="E548" s="29" t="s">
        <v>0</v>
      </c>
      <c r="F548" s="29" t="s">
        <v>230</v>
      </c>
      <c r="G548" s="20" t="s">
        <v>88</v>
      </c>
      <c r="H548" s="20" t="s">
        <v>335</v>
      </c>
      <c r="I548" s="67">
        <v>0</v>
      </c>
    </row>
    <row r="549" spans="2:9" x14ac:dyDescent="0.25">
      <c r="B549" s="3">
        <v>4</v>
      </c>
      <c r="C549" s="3">
        <v>1</v>
      </c>
      <c r="D549" s="3">
        <v>23</v>
      </c>
      <c r="E549" s="29" t="s">
        <v>0</v>
      </c>
      <c r="F549" s="29" t="s">
        <v>229</v>
      </c>
      <c r="G549" s="20" t="s">
        <v>188</v>
      </c>
      <c r="H549" s="20" t="s">
        <v>356</v>
      </c>
      <c r="I549" s="67">
        <v>0.32128193690410956</v>
      </c>
    </row>
    <row r="550" spans="2:9" x14ac:dyDescent="0.25">
      <c r="B550" s="3">
        <v>4</v>
      </c>
      <c r="C550" s="3">
        <v>1</v>
      </c>
      <c r="D550" s="3">
        <v>23</v>
      </c>
      <c r="E550" s="29" t="s">
        <v>0</v>
      </c>
      <c r="F550" s="29" t="s">
        <v>219</v>
      </c>
      <c r="G550" s="20" t="s">
        <v>186</v>
      </c>
      <c r="H550" s="20" t="s">
        <v>357</v>
      </c>
      <c r="I550" s="67">
        <v>0.28826495367397253</v>
      </c>
    </row>
    <row r="551" spans="2:9" x14ac:dyDescent="0.25">
      <c r="B551" s="3">
        <v>4</v>
      </c>
      <c r="C551" s="3">
        <v>1</v>
      </c>
      <c r="D551" s="3">
        <v>23</v>
      </c>
      <c r="E551" s="29" t="s">
        <v>0</v>
      </c>
      <c r="F551" s="29" t="s">
        <v>218</v>
      </c>
      <c r="G551" s="20" t="s">
        <v>76</v>
      </c>
      <c r="H551" s="20" t="s">
        <v>358</v>
      </c>
      <c r="I551" s="67">
        <v>0.2635068493150684</v>
      </c>
    </row>
    <row r="552" spans="2:9" x14ac:dyDescent="0.25">
      <c r="B552" s="3">
        <v>4</v>
      </c>
      <c r="C552" s="3">
        <v>1</v>
      </c>
      <c r="D552" s="3">
        <v>23</v>
      </c>
      <c r="E552" s="29" t="s">
        <v>0</v>
      </c>
      <c r="F552" s="29" t="s">
        <v>285</v>
      </c>
      <c r="G552" s="20" t="s">
        <v>319</v>
      </c>
      <c r="H552" s="20" t="s">
        <v>359</v>
      </c>
      <c r="I552" s="67">
        <v>4.5775192341095887E-2</v>
      </c>
    </row>
    <row r="553" spans="2:9" x14ac:dyDescent="0.25">
      <c r="B553" s="3">
        <v>4</v>
      </c>
      <c r="C553" s="3">
        <v>1</v>
      </c>
      <c r="D553" s="3">
        <v>24</v>
      </c>
      <c r="E553" s="29" t="s">
        <v>0</v>
      </c>
      <c r="F553" s="29" t="s">
        <v>285</v>
      </c>
      <c r="G553" s="20" t="s">
        <v>88</v>
      </c>
      <c r="H553" s="20" t="s">
        <v>335</v>
      </c>
      <c r="I553" s="67">
        <v>0</v>
      </c>
    </row>
    <row r="554" spans="2:9" x14ac:dyDescent="0.25">
      <c r="B554" s="3">
        <v>4</v>
      </c>
      <c r="C554" s="3">
        <v>1</v>
      </c>
      <c r="D554" s="3">
        <v>24</v>
      </c>
      <c r="E554" s="29" t="s">
        <v>0</v>
      </c>
      <c r="F554" s="29" t="s">
        <v>283</v>
      </c>
      <c r="G554" s="20" t="s">
        <v>384</v>
      </c>
      <c r="H554" s="20" t="s">
        <v>360</v>
      </c>
      <c r="I554" s="67">
        <v>9.0073926694977172E-2</v>
      </c>
    </row>
    <row r="555" spans="2:9" x14ac:dyDescent="0.25">
      <c r="B555" s="3">
        <v>4</v>
      </c>
      <c r="C555" s="3">
        <v>1</v>
      </c>
      <c r="D555" s="3">
        <v>24</v>
      </c>
      <c r="E555" s="29" t="s">
        <v>0</v>
      </c>
      <c r="F555" s="29" t="s">
        <v>282</v>
      </c>
      <c r="G555" s="20" t="s">
        <v>385</v>
      </c>
      <c r="H555" s="20" t="s">
        <v>361</v>
      </c>
      <c r="I555" s="67">
        <v>0</v>
      </c>
    </row>
    <row r="556" spans="2:9" x14ac:dyDescent="0.25">
      <c r="B556" s="3">
        <v>4</v>
      </c>
      <c r="C556" s="3">
        <v>1</v>
      </c>
      <c r="D556" s="3">
        <v>24</v>
      </c>
      <c r="E556" s="29" t="s">
        <v>0</v>
      </c>
      <c r="F556" s="29" t="s">
        <v>281</v>
      </c>
      <c r="G556" s="20" t="s">
        <v>386</v>
      </c>
      <c r="H556" s="20" t="s">
        <v>362</v>
      </c>
      <c r="I556" s="67">
        <v>4.7421302768949777E-2</v>
      </c>
    </row>
    <row r="557" spans="2:9" x14ac:dyDescent="0.25">
      <c r="B557" s="3">
        <v>4</v>
      </c>
      <c r="C557" s="3">
        <v>1</v>
      </c>
      <c r="D557" s="3">
        <v>24</v>
      </c>
      <c r="E557" s="29" t="s">
        <v>0</v>
      </c>
      <c r="F557" s="29" t="s">
        <v>280</v>
      </c>
      <c r="G557" s="20" t="s">
        <v>387</v>
      </c>
      <c r="H557" s="20" t="s">
        <v>363</v>
      </c>
      <c r="I557" s="67">
        <v>0.18479056424885842</v>
      </c>
    </row>
    <row r="558" spans="2:9" x14ac:dyDescent="0.25">
      <c r="B558" s="3">
        <v>4</v>
      </c>
      <c r="C558" s="3">
        <v>1</v>
      </c>
      <c r="D558" s="3">
        <v>24</v>
      </c>
      <c r="E558" s="29" t="s">
        <v>0</v>
      </c>
      <c r="F558" s="29" t="s">
        <v>279</v>
      </c>
      <c r="G558" s="20" t="s">
        <v>388</v>
      </c>
      <c r="H558" s="20" t="s">
        <v>364</v>
      </c>
      <c r="I558" s="67">
        <v>2.444618395616438E-2</v>
      </c>
    </row>
    <row r="559" spans="2:9" x14ac:dyDescent="0.25">
      <c r="B559" s="3">
        <v>4</v>
      </c>
      <c r="C559" s="3">
        <v>1</v>
      </c>
      <c r="D559" s="3">
        <v>24</v>
      </c>
      <c r="E559" s="29" t="s">
        <v>0</v>
      </c>
      <c r="F559" s="29" t="s">
        <v>278</v>
      </c>
      <c r="G559" s="20" t="s">
        <v>389</v>
      </c>
      <c r="H559" s="20" t="s">
        <v>365</v>
      </c>
      <c r="I559" s="67">
        <v>6.5289497716894976E-2</v>
      </c>
    </row>
    <row r="560" spans="2:9" x14ac:dyDescent="0.25">
      <c r="B560" s="3">
        <v>4</v>
      </c>
      <c r="C560" s="3">
        <v>1</v>
      </c>
      <c r="D560" s="3">
        <v>25</v>
      </c>
      <c r="E560" s="29" t="s">
        <v>0</v>
      </c>
      <c r="F560" s="29" t="s">
        <v>278</v>
      </c>
      <c r="G560" s="20" t="s">
        <v>88</v>
      </c>
      <c r="H560" s="20" t="s">
        <v>335</v>
      </c>
      <c r="I560" s="67">
        <v>0</v>
      </c>
    </row>
    <row r="561" spans="2:9" x14ac:dyDescent="0.25">
      <c r="B561" s="3">
        <v>4</v>
      </c>
      <c r="C561" s="3">
        <v>1</v>
      </c>
      <c r="D561" s="3">
        <v>25</v>
      </c>
      <c r="E561" s="29" t="s">
        <v>0</v>
      </c>
      <c r="F561" s="29" t="s">
        <v>277</v>
      </c>
      <c r="G561" s="20" t="s">
        <v>390</v>
      </c>
      <c r="H561" s="20" t="s">
        <v>366</v>
      </c>
      <c r="I561" s="67">
        <v>0</v>
      </c>
    </row>
    <row r="562" spans="2:9" x14ac:dyDescent="0.25">
      <c r="B562" s="3">
        <v>4</v>
      </c>
      <c r="C562" s="3">
        <v>1</v>
      </c>
      <c r="D562" s="3">
        <v>26</v>
      </c>
      <c r="E562" s="29" t="s">
        <v>0</v>
      </c>
      <c r="F562" s="29" t="s">
        <v>277</v>
      </c>
      <c r="G562" s="20" t="s">
        <v>88</v>
      </c>
      <c r="H562" s="20" t="s">
        <v>335</v>
      </c>
      <c r="I562" s="67">
        <v>0</v>
      </c>
    </row>
    <row r="563" spans="2:9" x14ac:dyDescent="0.25">
      <c r="B563" s="3">
        <v>4</v>
      </c>
      <c r="C563" s="3">
        <v>1</v>
      </c>
      <c r="D563" s="3">
        <v>26</v>
      </c>
      <c r="E563" s="29" t="s">
        <v>0</v>
      </c>
      <c r="F563" s="29" t="s">
        <v>59</v>
      </c>
      <c r="G563" s="20" t="s">
        <v>391</v>
      </c>
      <c r="H563" s="20" t="s">
        <v>367</v>
      </c>
      <c r="I563" s="67">
        <v>0.41527397260273974</v>
      </c>
    </row>
    <row r="564" spans="2:9" x14ac:dyDescent="0.25">
      <c r="B564" s="3">
        <v>4</v>
      </c>
      <c r="C564" s="3">
        <v>1</v>
      </c>
      <c r="D564" s="3">
        <v>27</v>
      </c>
      <c r="E564" s="29" t="s">
        <v>0</v>
      </c>
      <c r="F564" s="29" t="s">
        <v>59</v>
      </c>
      <c r="G564" s="20" t="s">
        <v>88</v>
      </c>
      <c r="H564" s="20" t="s">
        <v>335</v>
      </c>
      <c r="I564" s="67">
        <v>0</v>
      </c>
    </row>
    <row r="565" spans="2:9" x14ac:dyDescent="0.25">
      <c r="B565" s="3">
        <v>4</v>
      </c>
      <c r="C565" s="3">
        <v>1</v>
      </c>
      <c r="D565" s="3">
        <v>27</v>
      </c>
      <c r="E565" s="29" t="s">
        <v>0</v>
      </c>
      <c r="F565" s="29" t="s">
        <v>217</v>
      </c>
      <c r="G565" s="20" t="s">
        <v>60</v>
      </c>
      <c r="H565" s="20" t="s">
        <v>368</v>
      </c>
      <c r="I565" s="67">
        <v>0.77926240755068499</v>
      </c>
    </row>
    <row r="566" spans="2:9" x14ac:dyDescent="0.25">
      <c r="B566" s="3">
        <v>4</v>
      </c>
      <c r="C566" s="3">
        <v>1</v>
      </c>
      <c r="D566" s="3">
        <v>27</v>
      </c>
      <c r="E566" s="29" t="s">
        <v>0</v>
      </c>
      <c r="F566" s="29" t="s">
        <v>198</v>
      </c>
      <c r="G566" s="20" t="s">
        <v>63</v>
      </c>
      <c r="H566" s="20" t="s">
        <v>369</v>
      </c>
      <c r="I566" s="67">
        <v>0.46450468631232877</v>
      </c>
    </row>
    <row r="567" spans="2:9" x14ac:dyDescent="0.25">
      <c r="B567" s="3">
        <v>4</v>
      </c>
      <c r="C567" s="3">
        <v>1</v>
      </c>
      <c r="D567" s="3">
        <v>28</v>
      </c>
      <c r="E567" s="29" t="s">
        <v>0</v>
      </c>
      <c r="F567" s="29" t="s">
        <v>198</v>
      </c>
      <c r="G567" s="20" t="s">
        <v>88</v>
      </c>
      <c r="H567" s="20" t="s">
        <v>335</v>
      </c>
      <c r="I567" s="67">
        <v>0</v>
      </c>
    </row>
    <row r="568" spans="2:9" x14ac:dyDescent="0.25">
      <c r="B568" s="3">
        <v>4</v>
      </c>
      <c r="C568" s="3">
        <v>1</v>
      </c>
      <c r="D568" s="3">
        <v>28</v>
      </c>
      <c r="E568" s="29" t="s">
        <v>0</v>
      </c>
      <c r="F568" s="29" t="s">
        <v>199</v>
      </c>
      <c r="G568" s="20" t="s">
        <v>66</v>
      </c>
      <c r="H568" s="20" t="s">
        <v>370</v>
      </c>
      <c r="I568" s="67">
        <v>0.62433781293150692</v>
      </c>
    </row>
    <row r="569" spans="2:9" x14ac:dyDescent="0.25">
      <c r="B569" s="3">
        <v>4</v>
      </c>
      <c r="C569" s="3">
        <v>1</v>
      </c>
      <c r="D569" s="3">
        <v>28</v>
      </c>
      <c r="E569" s="29" t="s">
        <v>0</v>
      </c>
      <c r="F569" s="29" t="s">
        <v>57</v>
      </c>
      <c r="G569" s="20" t="s">
        <v>58</v>
      </c>
      <c r="H569" s="20" t="s">
        <v>371</v>
      </c>
      <c r="I569" s="67">
        <v>0.85630137003470319</v>
      </c>
    </row>
    <row r="570" spans="2:9" x14ac:dyDescent="0.25">
      <c r="B570" s="3">
        <v>4</v>
      </c>
      <c r="C570" s="3">
        <v>1</v>
      </c>
      <c r="D570" s="3">
        <v>29</v>
      </c>
      <c r="E570" s="29" t="s">
        <v>0</v>
      </c>
      <c r="F570" s="29" t="s">
        <v>57</v>
      </c>
      <c r="G570" s="20" t="s">
        <v>88</v>
      </c>
      <c r="H570" s="20" t="s">
        <v>335</v>
      </c>
      <c r="I570" s="67">
        <v>0</v>
      </c>
    </row>
    <row r="571" spans="2:9" x14ac:dyDescent="0.25">
      <c r="B571" s="3">
        <v>4</v>
      </c>
      <c r="C571" s="3">
        <v>1</v>
      </c>
      <c r="D571" s="3">
        <v>29</v>
      </c>
      <c r="E571" s="29" t="s">
        <v>0</v>
      </c>
      <c r="F571" s="29" t="s">
        <v>210</v>
      </c>
      <c r="G571" s="20" t="s">
        <v>67</v>
      </c>
      <c r="H571" s="20" t="s">
        <v>372</v>
      </c>
      <c r="I571" s="67">
        <v>0.50874065596940643</v>
      </c>
    </row>
    <row r="572" spans="2:9" x14ac:dyDescent="0.25">
      <c r="B572" s="3">
        <v>4</v>
      </c>
      <c r="C572" s="3">
        <v>1</v>
      </c>
      <c r="D572" s="3">
        <v>29</v>
      </c>
      <c r="E572" s="29" t="s">
        <v>0</v>
      </c>
      <c r="F572" s="29" t="s">
        <v>211</v>
      </c>
      <c r="G572" s="20" t="s">
        <v>74</v>
      </c>
      <c r="H572" s="20" t="s">
        <v>373</v>
      </c>
      <c r="I572" s="67">
        <v>0.33852394472237435</v>
      </c>
    </row>
    <row r="573" spans="2:9" x14ac:dyDescent="0.25">
      <c r="B573" s="3">
        <v>4</v>
      </c>
      <c r="C573" s="3">
        <v>1</v>
      </c>
      <c r="D573" s="3">
        <v>29</v>
      </c>
      <c r="E573" s="29" t="s">
        <v>0</v>
      </c>
      <c r="F573" s="29" t="s">
        <v>206</v>
      </c>
      <c r="G573" s="20" t="s">
        <v>69</v>
      </c>
      <c r="H573" s="20" t="s">
        <v>374</v>
      </c>
      <c r="I573" s="67">
        <v>0.36188269401187212</v>
      </c>
    </row>
    <row r="574" spans="2:9" x14ac:dyDescent="0.25">
      <c r="B574" s="3">
        <v>4</v>
      </c>
      <c r="C574" s="3">
        <v>1</v>
      </c>
      <c r="D574" s="3">
        <v>29</v>
      </c>
      <c r="E574" s="29" t="s">
        <v>0</v>
      </c>
      <c r="F574" s="29" t="s">
        <v>207</v>
      </c>
      <c r="G574" s="20" t="s">
        <v>75</v>
      </c>
      <c r="H574" s="20" t="s">
        <v>375</v>
      </c>
      <c r="I574" s="67">
        <v>0.3859407324657535</v>
      </c>
    </row>
    <row r="575" spans="2:9" x14ac:dyDescent="0.25">
      <c r="B575" s="3">
        <v>4</v>
      </c>
      <c r="C575" s="3">
        <v>1</v>
      </c>
      <c r="D575" s="3">
        <v>29</v>
      </c>
      <c r="E575" s="29" t="s">
        <v>0</v>
      </c>
      <c r="F575" s="29" t="s">
        <v>216</v>
      </c>
      <c r="G575" s="20" t="s">
        <v>77</v>
      </c>
      <c r="H575" s="20" t="s">
        <v>376</v>
      </c>
      <c r="I575" s="67">
        <v>0.13299914383561645</v>
      </c>
    </row>
    <row r="576" spans="2:9" x14ac:dyDescent="0.25">
      <c r="B576" s="3">
        <v>4</v>
      </c>
      <c r="C576" s="3">
        <v>2</v>
      </c>
      <c r="D576" s="3">
        <v>30</v>
      </c>
      <c r="E576" s="29" t="s">
        <v>0</v>
      </c>
      <c r="F576" s="29" t="s">
        <v>223</v>
      </c>
      <c r="G576" s="20" t="s">
        <v>88</v>
      </c>
      <c r="H576" s="20" t="s">
        <v>335</v>
      </c>
      <c r="I576" s="67">
        <v>0</v>
      </c>
    </row>
    <row r="577" spans="2:9" x14ac:dyDescent="0.25">
      <c r="B577" s="3">
        <v>4</v>
      </c>
      <c r="C577" s="3">
        <v>2</v>
      </c>
      <c r="D577" s="3">
        <v>30</v>
      </c>
      <c r="E577" s="29" t="s">
        <v>0</v>
      </c>
      <c r="F577" s="29" t="s">
        <v>224</v>
      </c>
      <c r="G577" s="20" t="s">
        <v>65</v>
      </c>
      <c r="H577" s="20" t="s">
        <v>336</v>
      </c>
      <c r="I577" s="67">
        <v>0.13438051748493149</v>
      </c>
    </row>
    <row r="578" spans="2:9" x14ac:dyDescent="0.25">
      <c r="B578" s="3">
        <v>4</v>
      </c>
      <c r="C578" s="3">
        <v>2</v>
      </c>
      <c r="D578" s="3">
        <v>30</v>
      </c>
      <c r="E578" s="29" t="s">
        <v>0</v>
      </c>
      <c r="F578" s="29" t="s">
        <v>225</v>
      </c>
      <c r="G578" s="20" t="s">
        <v>72</v>
      </c>
      <c r="H578" s="20" t="s">
        <v>337</v>
      </c>
      <c r="I578" s="67">
        <v>9.0010434766666647E-2</v>
      </c>
    </row>
    <row r="579" spans="2:9" x14ac:dyDescent="0.25">
      <c r="B579" s="3">
        <v>4</v>
      </c>
      <c r="C579" s="3">
        <v>2</v>
      </c>
      <c r="D579" s="3">
        <v>30</v>
      </c>
      <c r="E579" s="29" t="s">
        <v>0</v>
      </c>
      <c r="F579" s="29" t="s">
        <v>201</v>
      </c>
      <c r="G579" s="20" t="s">
        <v>62</v>
      </c>
      <c r="H579" s="20" t="s">
        <v>338</v>
      </c>
      <c r="I579" s="67">
        <v>0.1637260273972603</v>
      </c>
    </row>
    <row r="580" spans="2:9" x14ac:dyDescent="0.25">
      <c r="B580" s="3">
        <v>4</v>
      </c>
      <c r="C580" s="3">
        <v>2</v>
      </c>
      <c r="D580" s="3">
        <v>30</v>
      </c>
      <c r="E580" s="29" t="s">
        <v>0</v>
      </c>
      <c r="F580" s="29" t="s">
        <v>202</v>
      </c>
      <c r="G580" s="20" t="s">
        <v>61</v>
      </c>
      <c r="H580" s="20" t="s">
        <v>339</v>
      </c>
      <c r="I580" s="67">
        <v>0.13530118219452056</v>
      </c>
    </row>
    <row r="581" spans="2:9" x14ac:dyDescent="0.25">
      <c r="B581" s="3">
        <v>4</v>
      </c>
      <c r="C581" s="3">
        <v>2</v>
      </c>
      <c r="D581" s="3">
        <v>30</v>
      </c>
      <c r="E581" s="29" t="s">
        <v>0</v>
      </c>
      <c r="F581" s="29" t="s">
        <v>227</v>
      </c>
      <c r="G581" s="20" t="s">
        <v>73</v>
      </c>
      <c r="H581" s="20" t="s">
        <v>340</v>
      </c>
      <c r="I581" s="67">
        <v>5.1148149950684937E-2</v>
      </c>
    </row>
    <row r="582" spans="2:9" x14ac:dyDescent="0.25">
      <c r="B582" s="3">
        <v>4</v>
      </c>
      <c r="C582" s="3">
        <v>2</v>
      </c>
      <c r="D582" s="3">
        <v>30</v>
      </c>
      <c r="E582" s="29" t="s">
        <v>0</v>
      </c>
      <c r="F582" s="29" t="s">
        <v>222</v>
      </c>
      <c r="G582" s="20" t="s">
        <v>71</v>
      </c>
      <c r="H582" s="20" t="s">
        <v>341</v>
      </c>
      <c r="I582" s="67">
        <v>9.6444907673972596E-2</v>
      </c>
    </row>
    <row r="583" spans="2:9" x14ac:dyDescent="0.25">
      <c r="B583" s="3">
        <v>4</v>
      </c>
      <c r="C583" s="3">
        <v>2</v>
      </c>
      <c r="D583" s="3">
        <v>31</v>
      </c>
      <c r="E583" s="29" t="s">
        <v>0</v>
      </c>
      <c r="F583" s="29" t="s">
        <v>222</v>
      </c>
      <c r="G583" s="20" t="s">
        <v>88</v>
      </c>
      <c r="H583" s="20" t="s">
        <v>335</v>
      </c>
      <c r="I583" s="67">
        <v>0</v>
      </c>
    </row>
    <row r="584" spans="2:9" x14ac:dyDescent="0.25">
      <c r="B584" s="3">
        <v>4</v>
      </c>
      <c r="C584" s="3">
        <v>2</v>
      </c>
      <c r="D584" s="3">
        <v>31</v>
      </c>
      <c r="E584" s="29" t="s">
        <v>0</v>
      </c>
      <c r="F584" s="29" t="s">
        <v>197</v>
      </c>
      <c r="G584" s="20" t="s">
        <v>78</v>
      </c>
      <c r="H584" s="20" t="s">
        <v>342</v>
      </c>
      <c r="I584" s="67">
        <v>3.831780821917808E-2</v>
      </c>
    </row>
    <row r="585" spans="2:9" x14ac:dyDescent="0.25">
      <c r="B585" s="3">
        <v>4</v>
      </c>
      <c r="C585" s="3">
        <v>2</v>
      </c>
      <c r="D585" s="3">
        <v>31</v>
      </c>
      <c r="E585" s="29" t="s">
        <v>0</v>
      </c>
      <c r="F585" s="29" t="s">
        <v>293</v>
      </c>
      <c r="G585" s="20" t="s">
        <v>377</v>
      </c>
      <c r="H585" s="20" t="s">
        <v>343</v>
      </c>
      <c r="I585" s="67">
        <v>2.7896111063013703E-2</v>
      </c>
    </row>
    <row r="586" spans="2:9" x14ac:dyDescent="0.25">
      <c r="B586" s="3">
        <v>4</v>
      </c>
      <c r="C586" s="3">
        <v>2</v>
      </c>
      <c r="D586" s="3">
        <v>31</v>
      </c>
      <c r="E586" s="29" t="s">
        <v>0</v>
      </c>
      <c r="F586" s="29" t="s">
        <v>298</v>
      </c>
      <c r="G586" s="20" t="s">
        <v>378</v>
      </c>
      <c r="H586" s="20" t="s">
        <v>344</v>
      </c>
      <c r="I586" s="67">
        <v>3.3535822142465754E-2</v>
      </c>
    </row>
    <row r="587" spans="2:9" x14ac:dyDescent="0.25">
      <c r="B587" s="3">
        <v>4</v>
      </c>
      <c r="C587" s="3">
        <v>2</v>
      </c>
      <c r="D587" s="3">
        <v>32</v>
      </c>
      <c r="E587" s="29" t="s">
        <v>0</v>
      </c>
      <c r="F587" s="29" t="s">
        <v>298</v>
      </c>
      <c r="G587" s="20" t="s">
        <v>88</v>
      </c>
      <c r="H587" s="20" t="s">
        <v>335</v>
      </c>
      <c r="I587" s="67">
        <v>0</v>
      </c>
    </row>
    <row r="588" spans="2:9" x14ac:dyDescent="0.25">
      <c r="B588" s="3">
        <v>4</v>
      </c>
      <c r="C588" s="3">
        <v>2</v>
      </c>
      <c r="D588" s="3">
        <v>32</v>
      </c>
      <c r="E588" s="29" t="s">
        <v>0</v>
      </c>
      <c r="F588" s="29" t="s">
        <v>294</v>
      </c>
      <c r="G588" s="20" t="s">
        <v>379</v>
      </c>
      <c r="H588" s="20" t="s">
        <v>345</v>
      </c>
      <c r="I588" s="67">
        <v>2.9610026235616441E-2</v>
      </c>
    </row>
    <row r="589" spans="2:9" x14ac:dyDescent="0.25">
      <c r="B589" s="3">
        <v>4</v>
      </c>
      <c r="C589" s="3">
        <v>2</v>
      </c>
      <c r="D589" s="3">
        <v>33</v>
      </c>
      <c r="E589" s="29" t="s">
        <v>205</v>
      </c>
      <c r="F589" s="29" t="s">
        <v>294</v>
      </c>
      <c r="G589" s="20" t="s">
        <v>88</v>
      </c>
      <c r="H589" s="20" t="s">
        <v>335</v>
      </c>
      <c r="I589" s="67">
        <v>0</v>
      </c>
    </row>
    <row r="590" spans="2:9" x14ac:dyDescent="0.25">
      <c r="B590" s="3">
        <v>4</v>
      </c>
      <c r="C590" s="3">
        <v>2</v>
      </c>
      <c r="D590" s="3">
        <v>33</v>
      </c>
      <c r="E590" s="29" t="s">
        <v>205</v>
      </c>
      <c r="F590" s="29" t="s">
        <v>0</v>
      </c>
      <c r="G590" s="20" t="s">
        <v>383</v>
      </c>
      <c r="H590" s="20" t="s">
        <v>346</v>
      </c>
      <c r="I590" s="67">
        <v>2.7063147345205481E-2</v>
      </c>
    </row>
    <row r="591" spans="2:9" x14ac:dyDescent="0.25">
      <c r="B591" s="3">
        <v>4</v>
      </c>
      <c r="C591" s="3">
        <v>2</v>
      </c>
      <c r="D591" s="3">
        <v>33</v>
      </c>
      <c r="E591" s="29" t="s">
        <v>205</v>
      </c>
      <c r="F591" s="29" t="s">
        <v>204</v>
      </c>
      <c r="G591" s="20" t="s">
        <v>56</v>
      </c>
      <c r="H591" s="20" t="s">
        <v>347</v>
      </c>
      <c r="I591" s="67">
        <v>0.2133003812876712</v>
      </c>
    </row>
    <row r="592" spans="2:9" x14ac:dyDescent="0.25">
      <c r="B592" s="3">
        <v>4</v>
      </c>
      <c r="C592" s="3">
        <v>2</v>
      </c>
      <c r="D592" s="3">
        <v>33</v>
      </c>
      <c r="E592" s="29" t="s">
        <v>205</v>
      </c>
      <c r="F592" s="29" t="s">
        <v>205</v>
      </c>
      <c r="G592" s="20" t="s">
        <v>64</v>
      </c>
      <c r="H592" s="20" t="s">
        <v>348</v>
      </c>
      <c r="I592" s="67">
        <v>0.1045782505479452</v>
      </c>
    </row>
    <row r="593" spans="2:9" x14ac:dyDescent="0.25">
      <c r="B593" s="3">
        <v>4</v>
      </c>
      <c r="C593" s="3">
        <v>2</v>
      </c>
      <c r="D593" s="3">
        <v>34</v>
      </c>
      <c r="E593" s="29" t="s">
        <v>0</v>
      </c>
      <c r="F593" s="29" t="s">
        <v>205</v>
      </c>
      <c r="G593" s="20" t="s">
        <v>88</v>
      </c>
      <c r="H593" s="20" t="s">
        <v>335</v>
      </c>
      <c r="I593" s="67">
        <v>0</v>
      </c>
    </row>
    <row r="594" spans="2:9" x14ac:dyDescent="0.25">
      <c r="B594" s="3">
        <v>4</v>
      </c>
      <c r="C594" s="3">
        <v>2</v>
      </c>
      <c r="D594" s="3">
        <v>34</v>
      </c>
      <c r="E594" s="29" t="s">
        <v>0</v>
      </c>
      <c r="F594" s="29" t="s">
        <v>209</v>
      </c>
      <c r="G594" s="20" t="s">
        <v>70</v>
      </c>
      <c r="H594" s="20" t="s">
        <v>349</v>
      </c>
      <c r="I594" s="67">
        <v>8.9896739684931504E-2</v>
      </c>
    </row>
    <row r="595" spans="2:9" x14ac:dyDescent="0.25">
      <c r="B595" s="3">
        <v>4</v>
      </c>
      <c r="C595" s="3">
        <v>2</v>
      </c>
      <c r="D595" s="3">
        <v>34</v>
      </c>
      <c r="E595" s="29" t="s">
        <v>0</v>
      </c>
      <c r="F595" s="29" t="s">
        <v>232</v>
      </c>
      <c r="G595" s="20" t="s">
        <v>190</v>
      </c>
      <c r="H595" s="20" t="s">
        <v>350</v>
      </c>
      <c r="I595" s="67">
        <v>3.9287671230136982E-2</v>
      </c>
    </row>
    <row r="596" spans="2:9" x14ac:dyDescent="0.25">
      <c r="B596" s="3">
        <v>4</v>
      </c>
      <c r="C596" s="3">
        <v>2</v>
      </c>
      <c r="D596" s="3">
        <v>34</v>
      </c>
      <c r="E596" s="29" t="s">
        <v>0</v>
      </c>
      <c r="F596" s="29" t="s">
        <v>233</v>
      </c>
      <c r="G596" s="20" t="s">
        <v>185</v>
      </c>
      <c r="H596" s="20" t="s">
        <v>351</v>
      </c>
      <c r="I596" s="67">
        <v>0.24439168791780819</v>
      </c>
    </row>
    <row r="597" spans="2:9" x14ac:dyDescent="0.25">
      <c r="B597" s="3">
        <v>4</v>
      </c>
      <c r="C597" s="3">
        <v>2</v>
      </c>
      <c r="D597" s="3">
        <v>35</v>
      </c>
      <c r="E597" s="29" t="s">
        <v>0</v>
      </c>
      <c r="F597" s="29" t="s">
        <v>233</v>
      </c>
      <c r="G597" s="20" t="s">
        <v>88</v>
      </c>
      <c r="H597" s="20" t="s">
        <v>335</v>
      </c>
      <c r="I597" s="67">
        <v>0</v>
      </c>
    </row>
    <row r="598" spans="2:9" x14ac:dyDescent="0.25">
      <c r="B598" s="3">
        <v>4</v>
      </c>
      <c r="C598" s="3">
        <v>2</v>
      </c>
      <c r="D598" s="3">
        <v>35</v>
      </c>
      <c r="E598" s="29" t="s">
        <v>0</v>
      </c>
      <c r="F598" s="29" t="s">
        <v>234</v>
      </c>
      <c r="G598" s="20" t="s">
        <v>183</v>
      </c>
      <c r="H598" s="20" t="s">
        <v>352</v>
      </c>
      <c r="I598" s="67">
        <v>0.17225048920273972</v>
      </c>
    </row>
    <row r="599" spans="2:9" x14ac:dyDescent="0.25">
      <c r="B599" s="3">
        <v>4</v>
      </c>
      <c r="C599" s="3">
        <v>2</v>
      </c>
      <c r="D599" s="3">
        <v>35</v>
      </c>
      <c r="E599" s="29" t="s">
        <v>0</v>
      </c>
      <c r="F599" s="29" t="s">
        <v>231</v>
      </c>
      <c r="G599" s="20" t="s">
        <v>187</v>
      </c>
      <c r="H599" s="20" t="s">
        <v>353</v>
      </c>
      <c r="I599" s="67">
        <v>0.11880276805479449</v>
      </c>
    </row>
    <row r="600" spans="2:9" x14ac:dyDescent="0.25">
      <c r="B600" s="3">
        <v>4</v>
      </c>
      <c r="C600" s="3">
        <v>2</v>
      </c>
      <c r="D600" s="3">
        <v>36</v>
      </c>
      <c r="E600" s="29" t="s">
        <v>0</v>
      </c>
      <c r="F600" s="29" t="s">
        <v>231</v>
      </c>
      <c r="G600" s="20" t="s">
        <v>88</v>
      </c>
      <c r="H600" s="20" t="s">
        <v>335</v>
      </c>
      <c r="I600" s="67">
        <v>0</v>
      </c>
    </row>
    <row r="601" spans="2:9" x14ac:dyDescent="0.25">
      <c r="B601" s="3">
        <v>4</v>
      </c>
      <c r="C601" s="3">
        <v>2</v>
      </c>
      <c r="D601" s="3">
        <v>36</v>
      </c>
      <c r="E601" s="29" t="s">
        <v>0</v>
      </c>
      <c r="F601" s="29" t="s">
        <v>235</v>
      </c>
      <c r="G601" s="20" t="s">
        <v>184</v>
      </c>
      <c r="H601" s="20" t="s">
        <v>354</v>
      </c>
      <c r="I601" s="67">
        <v>0.17977179027945206</v>
      </c>
    </row>
    <row r="602" spans="2:9" x14ac:dyDescent="0.25">
      <c r="B602" s="3">
        <v>4</v>
      </c>
      <c r="C602" s="3">
        <v>2</v>
      </c>
      <c r="D602" s="3">
        <v>36</v>
      </c>
      <c r="E602" s="29" t="s">
        <v>0</v>
      </c>
      <c r="F602" s="29" t="s">
        <v>230</v>
      </c>
      <c r="G602" s="20" t="s">
        <v>189</v>
      </c>
      <c r="H602" s="20" t="s">
        <v>355</v>
      </c>
      <c r="I602" s="67">
        <v>0.10625809352054792</v>
      </c>
    </row>
    <row r="603" spans="2:9" x14ac:dyDescent="0.25">
      <c r="B603" s="3">
        <v>4</v>
      </c>
      <c r="C603" s="3">
        <v>2</v>
      </c>
      <c r="D603" s="3">
        <v>37</v>
      </c>
      <c r="E603" s="29" t="s">
        <v>0</v>
      </c>
      <c r="F603" s="29" t="s">
        <v>230</v>
      </c>
      <c r="G603" s="20" t="s">
        <v>88</v>
      </c>
      <c r="H603" s="20" t="s">
        <v>335</v>
      </c>
      <c r="I603" s="67">
        <v>0</v>
      </c>
    </row>
    <row r="604" spans="2:9" x14ac:dyDescent="0.25">
      <c r="B604" s="3">
        <v>4</v>
      </c>
      <c r="C604" s="3">
        <v>2</v>
      </c>
      <c r="D604" s="3">
        <v>37</v>
      </c>
      <c r="E604" s="29" t="s">
        <v>0</v>
      </c>
      <c r="F604" s="29" t="s">
        <v>229</v>
      </c>
      <c r="G604" s="20" t="s">
        <v>188</v>
      </c>
      <c r="H604" s="20" t="s">
        <v>356</v>
      </c>
      <c r="I604" s="67">
        <v>6.2040649884931499E-2</v>
      </c>
    </row>
    <row r="605" spans="2:9" x14ac:dyDescent="0.25">
      <c r="B605" s="3">
        <v>4</v>
      </c>
      <c r="C605" s="3">
        <v>2</v>
      </c>
      <c r="D605" s="3">
        <v>37</v>
      </c>
      <c r="E605" s="29" t="s">
        <v>0</v>
      </c>
      <c r="F605" s="29" t="s">
        <v>219</v>
      </c>
      <c r="G605" s="20" t="s">
        <v>186</v>
      </c>
      <c r="H605" s="20" t="s">
        <v>357</v>
      </c>
      <c r="I605" s="67">
        <v>3.7079724331506851E-2</v>
      </c>
    </row>
    <row r="606" spans="2:9" x14ac:dyDescent="0.25">
      <c r="B606" s="3">
        <v>4</v>
      </c>
      <c r="C606" s="3">
        <v>2</v>
      </c>
      <c r="D606" s="3">
        <v>37</v>
      </c>
      <c r="E606" s="29" t="s">
        <v>0</v>
      </c>
      <c r="F606" s="29" t="s">
        <v>218</v>
      </c>
      <c r="G606" s="20" t="s">
        <v>76</v>
      </c>
      <c r="H606" s="20" t="s">
        <v>358</v>
      </c>
      <c r="I606" s="67">
        <v>7.1342465753424664E-2</v>
      </c>
    </row>
    <row r="607" spans="2:9" x14ac:dyDescent="0.25">
      <c r="B607" s="3">
        <v>4</v>
      </c>
      <c r="C607" s="3">
        <v>2</v>
      </c>
      <c r="D607" s="3">
        <v>37</v>
      </c>
      <c r="E607" s="29" t="s">
        <v>0</v>
      </c>
      <c r="F607" s="29" t="s">
        <v>285</v>
      </c>
      <c r="G607" s="20" t="s">
        <v>319</v>
      </c>
      <c r="H607" s="20" t="s">
        <v>359</v>
      </c>
      <c r="I607" s="67">
        <v>1.3871270406392694E-3</v>
      </c>
    </row>
    <row r="608" spans="2:9" x14ac:dyDescent="0.25">
      <c r="B608" s="3">
        <v>4</v>
      </c>
      <c r="C608" s="3">
        <v>2</v>
      </c>
      <c r="D608" s="3">
        <v>37</v>
      </c>
      <c r="E608" s="29" t="s">
        <v>0</v>
      </c>
      <c r="F608" s="29" t="s">
        <v>283</v>
      </c>
      <c r="G608" s="20" t="s">
        <v>384</v>
      </c>
      <c r="H608" s="20" t="s">
        <v>360</v>
      </c>
      <c r="I608" s="67">
        <v>1.8852682331506845E-2</v>
      </c>
    </row>
    <row r="609" spans="2:9" x14ac:dyDescent="0.25">
      <c r="B609" s="3">
        <v>4</v>
      </c>
      <c r="C609" s="3">
        <v>2</v>
      </c>
      <c r="D609" s="3">
        <v>38</v>
      </c>
      <c r="E609" s="29" t="s">
        <v>0</v>
      </c>
      <c r="F609" s="29" t="s">
        <v>283</v>
      </c>
      <c r="G609" s="20" t="s">
        <v>88</v>
      </c>
      <c r="H609" s="20" t="s">
        <v>335</v>
      </c>
      <c r="I609" s="67">
        <v>0</v>
      </c>
    </row>
    <row r="610" spans="2:9" x14ac:dyDescent="0.25">
      <c r="B610" s="3">
        <v>4</v>
      </c>
      <c r="C610" s="3">
        <v>2</v>
      </c>
      <c r="D610" s="3">
        <v>38</v>
      </c>
      <c r="E610" s="29" t="s">
        <v>0</v>
      </c>
      <c r="F610" s="29" t="s">
        <v>282</v>
      </c>
      <c r="G610" s="20" t="s">
        <v>385</v>
      </c>
      <c r="H610" s="20" t="s">
        <v>361</v>
      </c>
      <c r="I610" s="67">
        <v>0</v>
      </c>
    </row>
    <row r="611" spans="2:9" x14ac:dyDescent="0.25">
      <c r="B611" s="3">
        <v>4</v>
      </c>
      <c r="C611" s="3">
        <v>2</v>
      </c>
      <c r="D611" s="3">
        <v>38</v>
      </c>
      <c r="E611" s="29" t="s">
        <v>0</v>
      </c>
      <c r="F611" s="29" t="s">
        <v>281</v>
      </c>
      <c r="G611" s="20" t="s">
        <v>386</v>
      </c>
      <c r="H611" s="20" t="s">
        <v>362</v>
      </c>
      <c r="I611" s="67">
        <v>2.0921162986301371E-2</v>
      </c>
    </row>
    <row r="612" spans="2:9" x14ac:dyDescent="0.25">
      <c r="B612" s="3">
        <v>4</v>
      </c>
      <c r="C612" s="3">
        <v>2</v>
      </c>
      <c r="D612" s="3">
        <v>38</v>
      </c>
      <c r="E612" s="29" t="s">
        <v>0</v>
      </c>
      <c r="F612" s="29" t="s">
        <v>280</v>
      </c>
      <c r="G612" s="20" t="s">
        <v>387</v>
      </c>
      <c r="H612" s="20" t="s">
        <v>363</v>
      </c>
      <c r="I612" s="67">
        <v>2.2939518320547945E-2</v>
      </c>
    </row>
    <row r="613" spans="2:9" x14ac:dyDescent="0.25">
      <c r="B613" s="3">
        <v>4</v>
      </c>
      <c r="C613" s="3">
        <v>2</v>
      </c>
      <c r="D613" s="3">
        <v>38</v>
      </c>
      <c r="E613" s="29" t="s">
        <v>0</v>
      </c>
      <c r="F613" s="29" t="s">
        <v>279</v>
      </c>
      <c r="G613" s="20" t="s">
        <v>388</v>
      </c>
      <c r="H613" s="20" t="s">
        <v>364</v>
      </c>
      <c r="I613" s="67">
        <v>7.1301369872146117E-3</v>
      </c>
    </row>
    <row r="614" spans="2:9" x14ac:dyDescent="0.25">
      <c r="B614" s="3">
        <v>4</v>
      </c>
      <c r="C614" s="3">
        <v>2</v>
      </c>
      <c r="D614" s="3">
        <v>38</v>
      </c>
      <c r="E614" s="29" t="s">
        <v>0</v>
      </c>
      <c r="F614" s="29" t="s">
        <v>278</v>
      </c>
      <c r="G614" s="20" t="s">
        <v>389</v>
      </c>
      <c r="H614" s="20" t="s">
        <v>365</v>
      </c>
      <c r="I614" s="67">
        <v>9.6328767123287674E-3</v>
      </c>
    </row>
    <row r="615" spans="2:9" x14ac:dyDescent="0.25">
      <c r="B615" s="3">
        <v>4</v>
      </c>
      <c r="C615" s="3">
        <v>2</v>
      </c>
      <c r="D615" s="3">
        <v>38</v>
      </c>
      <c r="E615" s="29" t="s">
        <v>0</v>
      </c>
      <c r="F615" s="29" t="s">
        <v>277</v>
      </c>
      <c r="G615" s="20" t="s">
        <v>390</v>
      </c>
      <c r="H615" s="20" t="s">
        <v>366</v>
      </c>
      <c r="I615" s="67">
        <v>0</v>
      </c>
    </row>
    <row r="616" spans="2:9" x14ac:dyDescent="0.25">
      <c r="B616" s="3">
        <v>4</v>
      </c>
      <c r="C616" s="3">
        <v>2</v>
      </c>
      <c r="D616" s="3">
        <v>39</v>
      </c>
      <c r="E616" s="29" t="s">
        <v>0</v>
      </c>
      <c r="F616" s="29" t="s">
        <v>277</v>
      </c>
      <c r="G616" s="20" t="s">
        <v>88</v>
      </c>
      <c r="H616" s="20" t="s">
        <v>335</v>
      </c>
      <c r="I616" s="67">
        <v>0</v>
      </c>
    </row>
    <row r="617" spans="2:9" x14ac:dyDescent="0.25">
      <c r="B617" s="3">
        <v>4</v>
      </c>
      <c r="C617" s="3">
        <v>2</v>
      </c>
      <c r="D617" s="3">
        <v>39</v>
      </c>
      <c r="E617" s="29" t="s">
        <v>0</v>
      </c>
      <c r="F617" s="29" t="s">
        <v>59</v>
      </c>
      <c r="G617" s="20" t="s">
        <v>391</v>
      </c>
      <c r="H617" s="20" t="s">
        <v>367</v>
      </c>
      <c r="I617" s="67">
        <v>0.10934075342465753</v>
      </c>
    </row>
    <row r="618" spans="2:9" x14ac:dyDescent="0.25">
      <c r="B618" s="3">
        <v>4</v>
      </c>
      <c r="C618" s="3">
        <v>2</v>
      </c>
      <c r="D618" s="3">
        <v>40</v>
      </c>
      <c r="E618" s="29" t="s">
        <v>0</v>
      </c>
      <c r="F618" s="29" t="s">
        <v>59</v>
      </c>
      <c r="G618" s="20" t="s">
        <v>88</v>
      </c>
      <c r="H618" s="20" t="s">
        <v>335</v>
      </c>
      <c r="I618" s="67">
        <v>0</v>
      </c>
    </row>
    <row r="619" spans="2:9" x14ac:dyDescent="0.25">
      <c r="B619" s="3">
        <v>4</v>
      </c>
      <c r="C619" s="3">
        <v>2</v>
      </c>
      <c r="D619" s="3">
        <v>40</v>
      </c>
      <c r="E619" s="29" t="s">
        <v>0</v>
      </c>
      <c r="F619" s="29" t="s">
        <v>217</v>
      </c>
      <c r="G619" s="20" t="s">
        <v>60</v>
      </c>
      <c r="H619" s="20" t="s">
        <v>368</v>
      </c>
      <c r="I619" s="67">
        <v>0.16978342957808218</v>
      </c>
    </row>
    <row r="620" spans="2:9" x14ac:dyDescent="0.25">
      <c r="B620" s="3">
        <v>4</v>
      </c>
      <c r="C620" s="3">
        <v>2</v>
      </c>
      <c r="D620" s="3">
        <v>40</v>
      </c>
      <c r="E620" s="29" t="s">
        <v>0</v>
      </c>
      <c r="F620" s="29" t="s">
        <v>198</v>
      </c>
      <c r="G620" s="20" t="s">
        <v>63</v>
      </c>
      <c r="H620" s="20" t="s">
        <v>369</v>
      </c>
      <c r="I620" s="67">
        <v>0.13255912038630135</v>
      </c>
    </row>
    <row r="621" spans="2:9" x14ac:dyDescent="0.25">
      <c r="B621" s="3">
        <v>4</v>
      </c>
      <c r="C621" s="3">
        <v>2</v>
      </c>
      <c r="D621" s="3">
        <v>41</v>
      </c>
      <c r="E621" s="29" t="s">
        <v>0</v>
      </c>
      <c r="F621" s="29" t="s">
        <v>198</v>
      </c>
      <c r="G621" s="20" t="s">
        <v>88</v>
      </c>
      <c r="H621" s="20" t="s">
        <v>335</v>
      </c>
      <c r="I621" s="67">
        <v>0</v>
      </c>
    </row>
    <row r="622" spans="2:9" x14ac:dyDescent="0.25">
      <c r="B622" s="3">
        <v>4</v>
      </c>
      <c r="C622" s="3">
        <v>2</v>
      </c>
      <c r="D622" s="3">
        <v>41</v>
      </c>
      <c r="E622" s="29" t="s">
        <v>0</v>
      </c>
      <c r="F622" s="29" t="s">
        <v>199</v>
      </c>
      <c r="G622" s="20" t="s">
        <v>66</v>
      </c>
      <c r="H622" s="20" t="s">
        <v>370</v>
      </c>
      <c r="I622" s="67">
        <v>0.16694250215342465</v>
      </c>
    </row>
    <row r="623" spans="2:9" x14ac:dyDescent="0.25">
      <c r="B623" s="3">
        <v>4</v>
      </c>
      <c r="C623" s="3">
        <v>2</v>
      </c>
      <c r="D623" s="3">
        <v>41</v>
      </c>
      <c r="E623" s="29" t="s">
        <v>0</v>
      </c>
      <c r="F623" s="29" t="s">
        <v>57</v>
      </c>
      <c r="G623" s="20" t="s">
        <v>58</v>
      </c>
      <c r="H623" s="20" t="s">
        <v>371</v>
      </c>
      <c r="I623" s="67">
        <v>0.21755842067214609</v>
      </c>
    </row>
    <row r="624" spans="2:9" x14ac:dyDescent="0.25">
      <c r="B624" s="3">
        <v>4</v>
      </c>
      <c r="C624" s="3">
        <v>2</v>
      </c>
      <c r="D624" s="3">
        <v>41</v>
      </c>
      <c r="E624" s="29" t="s">
        <v>0</v>
      </c>
      <c r="F624" s="29" t="s">
        <v>210</v>
      </c>
      <c r="G624" s="20" t="s">
        <v>67</v>
      </c>
      <c r="H624" s="20" t="s">
        <v>372</v>
      </c>
      <c r="I624" s="67">
        <v>0.16122830210593608</v>
      </c>
    </row>
    <row r="625" spans="2:9" x14ac:dyDescent="0.25">
      <c r="B625" s="3">
        <v>4</v>
      </c>
      <c r="C625" s="3">
        <v>2</v>
      </c>
      <c r="D625" s="3">
        <v>42</v>
      </c>
      <c r="E625" s="29" t="s">
        <v>0</v>
      </c>
      <c r="F625" s="29" t="s">
        <v>210</v>
      </c>
      <c r="G625" s="20" t="s">
        <v>88</v>
      </c>
      <c r="H625" s="20" t="s">
        <v>335</v>
      </c>
      <c r="I625" s="67">
        <v>0</v>
      </c>
    </row>
    <row r="626" spans="2:9" x14ac:dyDescent="0.25">
      <c r="B626" s="3">
        <v>4</v>
      </c>
      <c r="C626" s="3">
        <v>2</v>
      </c>
      <c r="D626" s="3">
        <v>42</v>
      </c>
      <c r="E626" s="29" t="s">
        <v>0</v>
      </c>
      <c r="F626" s="29" t="s">
        <v>211</v>
      </c>
      <c r="G626" s="20" t="s">
        <v>74</v>
      </c>
      <c r="H626" s="20" t="s">
        <v>373</v>
      </c>
      <c r="I626" s="67">
        <v>0.10010824824474886</v>
      </c>
    </row>
    <row r="627" spans="2:9" x14ac:dyDescent="0.25">
      <c r="B627" s="3">
        <v>4</v>
      </c>
      <c r="C627" s="3">
        <v>2</v>
      </c>
      <c r="D627" s="3">
        <v>42</v>
      </c>
      <c r="E627" s="29" t="s">
        <v>0</v>
      </c>
      <c r="F627" s="29" t="s">
        <v>206</v>
      </c>
      <c r="G627" s="20" t="s">
        <v>69</v>
      </c>
      <c r="H627" s="20" t="s">
        <v>374</v>
      </c>
      <c r="I627" s="67">
        <v>7.5298572977625558E-2</v>
      </c>
    </row>
    <row r="628" spans="2:9" x14ac:dyDescent="0.25">
      <c r="B628" s="3">
        <v>4</v>
      </c>
      <c r="C628" s="3">
        <v>2</v>
      </c>
      <c r="D628" s="3">
        <v>42</v>
      </c>
      <c r="E628" s="29" t="s">
        <v>0</v>
      </c>
      <c r="F628" s="29" t="s">
        <v>207</v>
      </c>
      <c r="G628" s="20" t="s">
        <v>75</v>
      </c>
      <c r="H628" s="20" t="s">
        <v>375</v>
      </c>
      <c r="I628" s="67">
        <v>7.8903438637442938E-2</v>
      </c>
    </row>
    <row r="629" spans="2:9" x14ac:dyDescent="0.25">
      <c r="B629" s="3">
        <v>4</v>
      </c>
      <c r="C629" s="3">
        <v>2</v>
      </c>
      <c r="D629" s="3">
        <v>42</v>
      </c>
      <c r="E629" s="29" t="s">
        <v>0</v>
      </c>
      <c r="F629" s="29" t="s">
        <v>216</v>
      </c>
      <c r="G629" s="20" t="s">
        <v>77</v>
      </c>
      <c r="H629" s="20" t="s">
        <v>376</v>
      </c>
      <c r="I629" s="67">
        <v>3.0113013698630137E-2</v>
      </c>
    </row>
  </sheetData>
  <mergeCells count="3">
    <mergeCell ref="A1:AK3"/>
    <mergeCell ref="B5:F5"/>
    <mergeCell ref="M5:V5"/>
  </mergeCells>
  <phoneticPr fontId="8" type="noConversion"/>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G462"/>
  <sheetViews>
    <sheetView showGridLines="0" tabSelected="1" topLeftCell="AG1" zoomScale="115" zoomScaleNormal="60" workbookViewId="0">
      <pane ySplit="6" topLeftCell="A7" activePane="bottomLeft" state="frozen"/>
      <selection pane="bottomLeft" activeCell="AL10" sqref="AL10"/>
    </sheetView>
  </sheetViews>
  <sheetFormatPr defaultRowHeight="15" x14ac:dyDescent="0.25"/>
  <cols>
    <col min="2" max="2" width="19" style="3" bestFit="1" customWidth="1"/>
    <col min="3" max="3" width="10.7109375" style="3" bestFit="1" customWidth="1"/>
    <col min="4" max="4" width="14.7109375" style="3" bestFit="1" customWidth="1"/>
    <col min="5" max="5" width="23.42578125" style="3" bestFit="1" customWidth="1"/>
    <col min="6" max="6" width="15" style="3" bestFit="1" customWidth="1"/>
    <col min="7" max="7" width="13.42578125" style="3" bestFit="1" customWidth="1"/>
    <col min="8" max="8" width="11" style="3" bestFit="1" customWidth="1"/>
    <col min="9" max="9" width="9.140625" style="3" bestFit="1" customWidth="1"/>
    <col min="10" max="10" width="19.42578125" style="3" bestFit="1" customWidth="1"/>
    <col min="11" max="11" width="17.85546875" style="3" bestFit="1" customWidth="1"/>
    <col min="12" max="12" width="5.85546875" style="3" hidden="1" customWidth="1"/>
    <col min="13" max="13" width="8.140625" style="3" hidden="1" customWidth="1"/>
    <col min="14" max="14" width="14.42578125" style="3" hidden="1" customWidth="1"/>
    <col min="15" max="15" width="6.5703125" style="3" hidden="1" customWidth="1"/>
    <col min="16" max="16" width="13.140625" style="3" bestFit="1" customWidth="1"/>
    <col min="17" max="17" width="14.140625" style="3" bestFit="1" customWidth="1"/>
    <col min="18" max="18" width="17" style="3" customWidth="1"/>
    <col min="19" max="19" width="19" bestFit="1" customWidth="1"/>
    <col min="20" max="20" width="10.7109375" bestFit="1" customWidth="1"/>
    <col min="21" max="21" width="14.7109375" bestFit="1" customWidth="1"/>
    <col min="22" max="22" width="23.42578125" bestFit="1" customWidth="1"/>
    <col min="23" max="23" width="15" bestFit="1" customWidth="1"/>
    <col min="24" max="24" width="13.42578125" bestFit="1" customWidth="1"/>
    <col min="25" max="25" width="20.7109375" bestFit="1" customWidth="1"/>
    <col min="26" max="26" width="19.28515625" bestFit="1" customWidth="1"/>
    <col min="27" max="27" width="17.85546875" bestFit="1" customWidth="1"/>
    <col min="28" max="28" width="40" bestFit="1" customWidth="1"/>
    <col min="29" max="29" width="24.140625" bestFit="1" customWidth="1"/>
    <col min="30" max="30" width="15.28515625" customWidth="1"/>
    <col min="31" max="31" width="17.42578125" bestFit="1" customWidth="1"/>
    <col min="32" max="32" width="14.42578125" bestFit="1" customWidth="1"/>
    <col min="33" max="33" width="23.28515625" bestFit="1" customWidth="1"/>
    <col min="34" max="34" width="32.42578125" bestFit="1" customWidth="1"/>
    <col min="35" max="35" width="13.140625" customWidth="1"/>
    <col min="36" max="36" width="17.28515625" bestFit="1" customWidth="1"/>
    <col min="37" max="37" width="6.28515625" style="18" bestFit="1" customWidth="1"/>
    <col min="38" max="38" width="24.8554687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7" width="14.140625" customWidth="1"/>
    <col min="51" max="51" width="15.28515625" customWidth="1"/>
    <col min="52" max="52" width="13.5703125" customWidth="1"/>
    <col min="53" max="53" width="12.42578125" customWidth="1"/>
  </cols>
  <sheetData>
    <row r="1" spans="1:59" ht="15" customHeight="1" x14ac:dyDescent="0.25">
      <c r="A1" s="86" t="s">
        <v>103</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row>
    <row r="2" spans="1:59" ht="15" customHeight="1"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row>
    <row r="3" spans="1:59" ht="15" customHeight="1"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row>
    <row r="5" spans="1:59" x14ac:dyDescent="0.25">
      <c r="B5" s="87" t="s">
        <v>142</v>
      </c>
      <c r="C5" s="87"/>
      <c r="D5" s="87"/>
      <c r="E5" s="87"/>
      <c r="F5" s="87"/>
      <c r="G5" s="87"/>
      <c r="H5" s="87"/>
      <c r="I5" s="87"/>
      <c r="J5" s="87"/>
      <c r="K5" s="87"/>
      <c r="L5" s="87"/>
      <c r="M5" s="87"/>
      <c r="N5" s="87"/>
      <c r="O5" s="87"/>
      <c r="P5" s="87"/>
      <c r="Q5" s="87"/>
      <c r="S5" s="87" t="s">
        <v>143</v>
      </c>
      <c r="T5" s="87"/>
      <c r="U5" s="87"/>
      <c r="V5" s="87"/>
      <c r="W5" s="87"/>
      <c r="X5" s="87"/>
      <c r="Y5" s="87"/>
      <c r="Z5" s="87"/>
      <c r="AA5" s="87"/>
      <c r="AB5" s="87"/>
      <c r="AC5" s="87"/>
      <c r="AF5" s="87" t="s">
        <v>144</v>
      </c>
      <c r="AG5" s="87"/>
      <c r="AH5" s="87"/>
      <c r="AJ5" s="87" t="s">
        <v>145</v>
      </c>
      <c r="AK5" s="87"/>
      <c r="AL5" s="87"/>
      <c r="AN5" s="88" t="s">
        <v>146</v>
      </c>
      <c r="AO5" s="88"/>
      <c r="AP5" s="88"/>
      <c r="AQ5" s="88"/>
      <c r="AR5" s="88"/>
      <c r="AT5" t="s">
        <v>245</v>
      </c>
    </row>
    <row r="6" spans="1:59" x14ac:dyDescent="0.25">
      <c r="B6" s="5" t="s">
        <v>90</v>
      </c>
      <c r="C6" s="5" t="s">
        <v>120</v>
      </c>
      <c r="D6" s="5" t="s">
        <v>9</v>
      </c>
      <c r="E6" s="5" t="s">
        <v>7</v>
      </c>
      <c r="F6" s="5" t="s">
        <v>40</v>
      </c>
      <c r="G6" s="5" t="s">
        <v>41</v>
      </c>
      <c r="H6" s="5" t="s">
        <v>3</v>
      </c>
      <c r="I6" s="5" t="s">
        <v>105</v>
      </c>
      <c r="J6" s="5" t="s">
        <v>126</v>
      </c>
      <c r="K6" s="5" t="s">
        <v>127</v>
      </c>
      <c r="L6" s="5" t="s">
        <v>93</v>
      </c>
      <c r="M6" s="5" t="s">
        <v>94</v>
      </c>
      <c r="N6" s="5" t="s">
        <v>95</v>
      </c>
      <c r="O6" s="5" t="s">
        <v>81</v>
      </c>
      <c r="P6" s="5" t="s">
        <v>135</v>
      </c>
      <c r="Q6" s="5" t="s">
        <v>136</v>
      </c>
      <c r="R6"/>
      <c r="S6" s="5" t="s">
        <v>90</v>
      </c>
      <c r="T6" s="5" t="s">
        <v>120</v>
      </c>
      <c r="U6" s="5" t="s">
        <v>9</v>
      </c>
      <c r="V6" s="5" t="s">
        <v>7</v>
      </c>
      <c r="W6" s="5" t="s">
        <v>40</v>
      </c>
      <c r="X6" s="5" t="s">
        <v>41</v>
      </c>
      <c r="Y6" s="5" t="s">
        <v>129</v>
      </c>
      <c r="Z6" s="5" t="s">
        <v>130</v>
      </c>
      <c r="AA6" s="5" t="s">
        <v>127</v>
      </c>
      <c r="AB6" s="5" t="s">
        <v>131</v>
      </c>
      <c r="AC6" s="5" t="s">
        <v>133</v>
      </c>
      <c r="AF6" s="5" t="s">
        <v>90</v>
      </c>
      <c r="AG6" s="5" t="s">
        <v>7</v>
      </c>
      <c r="AH6" s="5" t="s">
        <v>132</v>
      </c>
      <c r="AJ6" s="5" t="s">
        <v>91</v>
      </c>
      <c r="AK6" s="5" t="s">
        <v>120</v>
      </c>
      <c r="AL6" s="5" t="s">
        <v>92</v>
      </c>
      <c r="AM6"/>
      <c r="AN6" s="5" t="s">
        <v>91</v>
      </c>
      <c r="AO6" s="5" t="s">
        <v>120</v>
      </c>
      <c r="AP6" s="5" t="s">
        <v>137</v>
      </c>
      <c r="AQ6" s="5" t="s">
        <v>135</v>
      </c>
      <c r="AR6" s="5" t="s">
        <v>136</v>
      </c>
      <c r="AT6" s="5" t="s">
        <v>91</v>
      </c>
      <c r="AU6" s="5" t="s">
        <v>120</v>
      </c>
      <c r="AV6" s="5" t="s">
        <v>241</v>
      </c>
      <c r="AW6" s="5" t="s">
        <v>242</v>
      </c>
      <c r="AX6" s="5" t="s">
        <v>243</v>
      </c>
      <c r="AY6" s="5" t="s">
        <v>244</v>
      </c>
    </row>
    <row r="7" spans="1:59" x14ac:dyDescent="0.25">
      <c r="B7" s="3">
        <v>2</v>
      </c>
      <c r="C7">
        <v>0</v>
      </c>
      <c r="D7">
        <v>4</v>
      </c>
      <c r="E7" s="29" t="s">
        <v>2</v>
      </c>
      <c r="F7" s="3">
        <v>0</v>
      </c>
      <c r="G7" s="3">
        <v>0</v>
      </c>
      <c r="H7" s="29" t="s">
        <v>42</v>
      </c>
      <c r="J7" s="7">
        <v>0.29166666666666669</v>
      </c>
      <c r="K7" s="7">
        <v>0.29166666666666669</v>
      </c>
      <c r="L7" s="3">
        <f t="shared" ref="L7:L70" si="0">IF(E7&lt;&gt;E8,1,0)</f>
        <v>0</v>
      </c>
      <c r="M7" s="3">
        <f t="shared" ref="M7:M70"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2</v>
      </c>
      <c r="U7" s="38">
        <v>4</v>
      </c>
      <c r="V7" s="38" t="s">
        <v>2</v>
      </c>
      <c r="W7" s="30">
        <v>0</v>
      </c>
      <c r="X7" s="30">
        <v>0</v>
      </c>
      <c r="Y7" s="30">
        <v>1440</v>
      </c>
      <c r="Z7" s="39">
        <v>0.29166666666666669</v>
      </c>
      <c r="AA7" s="39">
        <v>0.29166666666666669</v>
      </c>
      <c r="AB7" s="39">
        <v>0.29166666666666669</v>
      </c>
      <c r="AC7"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c r="AF7" s="29" t="s">
        <v>123</v>
      </c>
      <c r="AG7" s="29" t="s">
        <v>2</v>
      </c>
      <c r="AH7" s="37">
        <f>AVERAGEIFS(tb_tempos_passagens[Tempo Passagem (h)],tb_tempos_passagens[Numero Voltas],AF7,tb_tempos_passagens[Nó],AG7)</f>
        <v>1.425</v>
      </c>
      <c r="AJ7" s="83" t="s">
        <v>123</v>
      </c>
      <c r="AK7" s="83" t="s">
        <v>121</v>
      </c>
      <c r="AL7" s="84">
        <v>14.430665852168602</v>
      </c>
      <c r="AM7"/>
      <c r="AN7" s="29" t="s">
        <v>122</v>
      </c>
      <c r="AO7" s="29" t="s">
        <v>121</v>
      </c>
      <c r="AP7" s="3">
        <f>SUMIFS(detalhe_carro1[kms],detalhe_carro1[Numero Voltas],AN7,detalhe_carro1[Turno],AO7)</f>
        <v>0</v>
      </c>
      <c r="AQ7" s="3">
        <f>SUMIFS(detalhe_carro1[Kms Nós],detalhe_carro1[Numero Voltas],AN7,detalhe_carro1[Turno],AO7)</f>
        <v>0</v>
      </c>
      <c r="AR7" s="3">
        <f>AP7+AQ7</f>
        <v>0</v>
      </c>
      <c r="AT7" t="s">
        <v>123</v>
      </c>
      <c r="AU7" t="s">
        <v>121</v>
      </c>
      <c r="AV7">
        <v>8.8655256723716374</v>
      </c>
      <c r="AW7">
        <v>8.7525167785234892</v>
      </c>
      <c r="AX7">
        <v>8.9399671052631575</v>
      </c>
      <c r="AY7">
        <v>8.6445686900958467</v>
      </c>
    </row>
    <row r="8" spans="1:59" x14ac:dyDescent="0.25">
      <c r="B8" s="3">
        <v>2</v>
      </c>
      <c r="C8">
        <v>0</v>
      </c>
      <c r="D8">
        <v>4</v>
      </c>
      <c r="E8" s="29" t="s">
        <v>2</v>
      </c>
      <c r="F8" s="3">
        <v>0</v>
      </c>
      <c r="G8" s="3">
        <v>0</v>
      </c>
      <c r="H8" s="29" t="s">
        <v>44</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2</v>
      </c>
      <c r="U8" s="38">
        <v>3</v>
      </c>
      <c r="V8" s="38" t="s">
        <v>208</v>
      </c>
      <c r="W8" s="30">
        <v>5</v>
      </c>
      <c r="X8" s="30">
        <v>5</v>
      </c>
      <c r="Y8" s="30">
        <v>1341</v>
      </c>
      <c r="Z8" s="39">
        <v>0.2951388888888889</v>
      </c>
      <c r="AA8" s="39">
        <v>0.2951388888888889</v>
      </c>
      <c r="AB8" s="39">
        <v>0.22291666666666668</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c r="AF8" s="29" t="s">
        <v>123</v>
      </c>
      <c r="AG8" s="29" t="s">
        <v>208</v>
      </c>
      <c r="AH8" s="37">
        <f>AVERAGEIFS(tb_tempos_passagens[Tempo Passagem (h)],tb_tempos_passagens[Numero Voltas],AF8,tb_tempos_passagens[Nó],AG8)</f>
        <v>1.8083333333333333</v>
      </c>
      <c r="AJ8" s="83" t="s">
        <v>123</v>
      </c>
      <c r="AK8" s="83" t="s">
        <v>122</v>
      </c>
      <c r="AL8" s="84">
        <v>15.787395078556568</v>
      </c>
      <c r="AM8"/>
      <c r="AN8" s="29" t="s">
        <v>122</v>
      </c>
      <c r="AO8" s="29" t="s">
        <v>122</v>
      </c>
      <c r="AP8" s="3">
        <f>SUMIFS(detalhe_carro1[kms],detalhe_carro1[Numero Voltas],AN8,detalhe_carro1[Turno],AO8)</f>
        <v>0</v>
      </c>
      <c r="AQ8" s="3">
        <f>SUMIFS(detalhe_carro1[Kms Nós],detalhe_carro1[Numero Voltas],AN8,detalhe_carro1[Turno],AO8)</f>
        <v>0</v>
      </c>
      <c r="AR8" s="3">
        <f>AP8+AQ8</f>
        <v>0</v>
      </c>
      <c r="AT8" t="s">
        <v>123</v>
      </c>
      <c r="AU8" t="s">
        <v>122</v>
      </c>
      <c r="AV8">
        <v>8.7569803516028948</v>
      </c>
      <c r="AW8">
        <v>8.8055271238485151</v>
      </c>
      <c r="AX8">
        <v>8.7942534633145204</v>
      </c>
      <c r="AY8">
        <v>8.73842841765339</v>
      </c>
    </row>
    <row r="9" spans="1:59" x14ac:dyDescent="0.25">
      <c r="B9" s="3">
        <v>2</v>
      </c>
      <c r="C9">
        <v>0</v>
      </c>
      <c r="D9">
        <v>3</v>
      </c>
      <c r="E9" s="29" t="s">
        <v>208</v>
      </c>
      <c r="F9" s="3">
        <v>5</v>
      </c>
      <c r="G9" s="3">
        <v>5</v>
      </c>
      <c r="H9" s="29" t="s">
        <v>44</v>
      </c>
      <c r="J9" s="7">
        <v>0.2951388888888889</v>
      </c>
      <c r="K9" s="7">
        <v>0.2951388888888889</v>
      </c>
      <c r="L9" s="3">
        <f t="shared" si="0"/>
        <v>1</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2</v>
      </c>
      <c r="T9" s="38">
        <v>2</v>
      </c>
      <c r="U9" s="38">
        <v>2</v>
      </c>
      <c r="V9" s="38" t="s">
        <v>228</v>
      </c>
      <c r="W9" s="30">
        <v>8</v>
      </c>
      <c r="X9" s="30">
        <v>8</v>
      </c>
      <c r="Y9" s="30">
        <v>1325</v>
      </c>
      <c r="Z9" s="39">
        <v>0.29722222222222222</v>
      </c>
      <c r="AA9" s="39">
        <v>0.29722222222222222</v>
      </c>
      <c r="AB9" s="39">
        <v>0.21180555555555555</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2.0499999999999998</v>
      </c>
      <c r="AF9" s="29" t="s">
        <v>123</v>
      </c>
      <c r="AG9" s="29" t="s">
        <v>228</v>
      </c>
      <c r="AH9" s="37">
        <f>AVERAGEIFS(tb_tempos_passagens[Tempo Passagem (h)],tb_tempos_passagens[Numero Voltas],AF9,tb_tempos_passagens[Nó],AG9)</f>
        <v>1.8499999999999999</v>
      </c>
      <c r="AJ9" s="83" t="s">
        <v>123</v>
      </c>
      <c r="AK9" s="83" t="s">
        <v>123</v>
      </c>
      <c r="AL9" s="84">
        <v>18.671052631578949</v>
      </c>
      <c r="AM9"/>
      <c r="AN9" s="29" t="s">
        <v>125</v>
      </c>
      <c r="AO9" s="29" t="s">
        <v>123</v>
      </c>
      <c r="AP9" s="3">
        <f>SUMIFS(detalhe_carro1[kms],detalhe_carro1[Numero Voltas],AN9,detalhe_carro1[Turno],AO9)</f>
        <v>0</v>
      </c>
      <c r="AQ9" s="3">
        <f>SUMIFS(detalhe_carro1[Kms Nós],detalhe_carro1[Numero Voltas],AN9,detalhe_carro1[Turno],AO9)</f>
        <v>0</v>
      </c>
      <c r="AR9" s="3">
        <f>AP9+AQ9</f>
        <v>0</v>
      </c>
      <c r="AT9" t="s">
        <v>123</v>
      </c>
      <c r="AU9" t="s">
        <v>123</v>
      </c>
      <c r="AV9">
        <v>9.6382352941176475</v>
      </c>
      <c r="AW9">
        <v>9.4085106382978729</v>
      </c>
      <c r="AX9">
        <v>9.7557251908396942</v>
      </c>
      <c r="AY9">
        <v>9.8296296296296291</v>
      </c>
    </row>
    <row r="10" spans="1:59" x14ac:dyDescent="0.25">
      <c r="B10" s="3">
        <v>2</v>
      </c>
      <c r="C10">
        <v>0</v>
      </c>
      <c r="D10">
        <v>2</v>
      </c>
      <c r="E10" s="29" t="s">
        <v>228</v>
      </c>
      <c r="F10" s="3">
        <v>8</v>
      </c>
      <c r="G10" s="3">
        <v>8</v>
      </c>
      <c r="H10" s="29" t="s">
        <v>44</v>
      </c>
      <c r="J10" s="7">
        <v>0.29722222222222222</v>
      </c>
      <c r="K10" s="7">
        <v>0.29722222222222222</v>
      </c>
      <c r="L10" s="3">
        <f t="shared" si="0"/>
        <v>1</v>
      </c>
      <c r="M10" s="3">
        <f t="shared" si="1"/>
        <v>1</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2</v>
      </c>
      <c r="U10" s="38">
        <v>1</v>
      </c>
      <c r="V10" s="38" t="s">
        <v>200</v>
      </c>
      <c r="W10" s="30">
        <v>9</v>
      </c>
      <c r="X10" s="30">
        <v>9</v>
      </c>
      <c r="Y10" s="30">
        <v>1324</v>
      </c>
      <c r="Z10" s="39">
        <v>0.29791666666666666</v>
      </c>
      <c r="AA10" s="39">
        <v>0.29791666666666666</v>
      </c>
      <c r="AB10" s="39">
        <v>0.21111111111111111</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2.0833333333333335</v>
      </c>
      <c r="AF10" s="29" t="s">
        <v>123</v>
      </c>
      <c r="AG10" s="29" t="s">
        <v>200</v>
      </c>
      <c r="AH10" s="37">
        <f>AVERAGEIFS(tb_tempos_passagens[Tempo Passagem (h)],tb_tempos_passagens[Numero Voltas],AF10,tb_tempos_passagens[Nó],AG10)</f>
        <v>1.9666666666666666</v>
      </c>
      <c r="AJ10" s="83" t="s">
        <v>124</v>
      </c>
      <c r="AK10" s="83" t="s">
        <v>121</v>
      </c>
      <c r="AL10" s="84">
        <v>14.081132967097879</v>
      </c>
      <c r="AM10"/>
      <c r="AN10"/>
      <c r="AT10" t="s">
        <v>124</v>
      </c>
      <c r="AU10" t="s">
        <v>121</v>
      </c>
      <c r="AV10">
        <v>8.9820554649265905</v>
      </c>
      <c r="AW10">
        <v>8.8337428337428339</v>
      </c>
      <c r="AX10">
        <v>8.4978392394122739</v>
      </c>
      <c r="AY10">
        <v>8.7360890302066778</v>
      </c>
    </row>
    <row r="11" spans="1:59" x14ac:dyDescent="0.25">
      <c r="B11" s="3">
        <v>2</v>
      </c>
      <c r="C11">
        <v>0</v>
      </c>
      <c r="D11">
        <v>1</v>
      </c>
      <c r="E11" s="29" t="s">
        <v>200</v>
      </c>
      <c r="F11" s="3">
        <v>9</v>
      </c>
      <c r="G11" s="3">
        <v>9</v>
      </c>
      <c r="H11" s="29" t="s">
        <v>44</v>
      </c>
      <c r="J11" s="7">
        <v>0.29791666666666666</v>
      </c>
      <c r="K11" s="7">
        <v>0.29791666666666666</v>
      </c>
      <c r="L11" s="3">
        <f t="shared" si="0"/>
        <v>1</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0</v>
      </c>
      <c r="S11" s="20">
        <v>2</v>
      </c>
      <c r="T11" s="38">
        <v>2</v>
      </c>
      <c r="U11" s="38">
        <v>0</v>
      </c>
      <c r="V11" s="38" t="s">
        <v>203</v>
      </c>
      <c r="W11" s="30">
        <v>11</v>
      </c>
      <c r="X11" s="30">
        <v>41</v>
      </c>
      <c r="Y11" s="30">
        <v>1322</v>
      </c>
      <c r="Z11" s="39">
        <v>0.29930555555555555</v>
      </c>
      <c r="AA11" s="39">
        <v>0.32013888888888886</v>
      </c>
      <c r="AB11" s="39">
        <v>0.20972222222222223</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c r="AF11" s="29" t="s">
        <v>123</v>
      </c>
      <c r="AG11" s="29" t="s">
        <v>203</v>
      </c>
      <c r="AH11" s="37">
        <f>AVERAGEIFS(tb_tempos_passagens[Tempo Passagem (h)],tb_tempos_passagens[Numero Voltas],AF11,tb_tempos_passagens[Nó],AG11)</f>
        <v>3.2722222222222221</v>
      </c>
      <c r="AJ11" s="83" t="s">
        <v>124</v>
      </c>
      <c r="AK11" s="83" t="s">
        <v>122</v>
      </c>
      <c r="AL11" s="84">
        <v>12.444151142620107</v>
      </c>
      <c r="AM11"/>
      <c r="AN11"/>
      <c r="AT11" t="s">
        <v>124</v>
      </c>
      <c r="AU11" t="s">
        <v>122</v>
      </c>
      <c r="AV11">
        <v>8.8663594470046085</v>
      </c>
      <c r="AW11">
        <v>8.7308286155429755</v>
      </c>
      <c r="AX11">
        <v>8.4371727748691097</v>
      </c>
      <c r="AY11">
        <v>8.4815195071868583</v>
      </c>
    </row>
    <row r="12" spans="1:59" x14ac:dyDescent="0.25">
      <c r="B12" s="3">
        <v>2</v>
      </c>
      <c r="C12">
        <v>0</v>
      </c>
      <c r="D12">
        <v>0</v>
      </c>
      <c r="E12" s="29" t="s">
        <v>203</v>
      </c>
      <c r="F12" s="3">
        <v>11</v>
      </c>
      <c r="G12" s="3">
        <v>11</v>
      </c>
      <c r="H12" s="29" t="s">
        <v>44</v>
      </c>
      <c r="J12" s="7">
        <v>0.29930555555555555</v>
      </c>
      <c r="K12" s="7">
        <v>0.29930555555555555</v>
      </c>
      <c r="L12" s="3">
        <f t="shared" si="0"/>
        <v>0</v>
      </c>
      <c r="M12" s="3">
        <f t="shared" si="1"/>
        <v>1</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0</v>
      </c>
      <c r="Q12" s="29">
        <f>detalhe_carro1[[#This Row],[Kms Nós]]+detalhe_carro1[[#This Row],[kms]]</f>
        <v>0</v>
      </c>
      <c r="S12" s="20">
        <v>2</v>
      </c>
      <c r="T12" s="38">
        <v>2</v>
      </c>
      <c r="U12" s="38">
        <v>1</v>
      </c>
      <c r="V12" s="38" t="s">
        <v>200</v>
      </c>
      <c r="W12" s="30">
        <v>43</v>
      </c>
      <c r="X12" s="30">
        <v>47</v>
      </c>
      <c r="Y12" s="30">
        <v>9</v>
      </c>
      <c r="Z12" s="39">
        <v>0.3215277777777778</v>
      </c>
      <c r="AA12" s="39">
        <v>0.32430555555555557</v>
      </c>
      <c r="AB12" s="39">
        <v>0.29791666666666666</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c r="AF12" s="29" t="s">
        <v>123</v>
      </c>
      <c r="AG12" s="29" t="s">
        <v>215</v>
      </c>
      <c r="AH12" s="37">
        <f>AVERAGEIFS(tb_tempos_passagens[Tempo Passagem (h)],tb_tempos_passagens[Numero Voltas],AF12,tb_tempos_passagens[Nó],AG12)</f>
        <v>2</v>
      </c>
      <c r="AJ12" s="83" t="s">
        <v>124</v>
      </c>
      <c r="AK12" s="83" t="s">
        <v>123</v>
      </c>
      <c r="AL12" s="84">
        <v>14.661349693251534</v>
      </c>
      <c r="AM12"/>
      <c r="AN12"/>
      <c r="AT12" t="s">
        <v>124</v>
      </c>
      <c r="AU12" t="s">
        <v>123</v>
      </c>
      <c r="AV12">
        <v>9.8678678678678686</v>
      </c>
      <c r="AW12">
        <v>9.5990990990990994</v>
      </c>
      <c r="AX12">
        <v>9.4635258358662622</v>
      </c>
      <c r="AY12">
        <v>10.07121212121212</v>
      </c>
    </row>
    <row r="13" spans="1:59" x14ac:dyDescent="0.25">
      <c r="B13" s="3">
        <v>2</v>
      </c>
      <c r="C13">
        <v>0</v>
      </c>
      <c r="D13">
        <v>0</v>
      </c>
      <c r="E13" s="29" t="s">
        <v>203</v>
      </c>
      <c r="F13" s="3">
        <v>11</v>
      </c>
      <c r="G13" s="3">
        <v>41</v>
      </c>
      <c r="H13" s="29" t="s">
        <v>45</v>
      </c>
      <c r="J13" s="7">
        <v>0.29930555555555555</v>
      </c>
      <c r="K13" s="7">
        <v>0.32013888888888886</v>
      </c>
      <c r="L13" s="3">
        <f t="shared" si="0"/>
        <v>0</v>
      </c>
      <c r="M13" s="3">
        <f t="shared" si="1"/>
        <v>0</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2</v>
      </c>
      <c r="T13" s="38">
        <v>2</v>
      </c>
      <c r="U13" s="38">
        <v>2</v>
      </c>
      <c r="V13" s="38" t="s">
        <v>228</v>
      </c>
      <c r="W13" s="30">
        <v>48</v>
      </c>
      <c r="X13" s="30">
        <v>66</v>
      </c>
      <c r="Y13" s="30">
        <v>8</v>
      </c>
      <c r="Z13" s="39">
        <v>0.32500000000000001</v>
      </c>
      <c r="AA13" s="39">
        <v>0.33750000000000002</v>
      </c>
      <c r="AB13" s="39">
        <v>0.29722222222222222</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c r="AF13" s="29" t="s">
        <v>123</v>
      </c>
      <c r="AG13" s="29" t="s">
        <v>300</v>
      </c>
      <c r="AH13" s="37">
        <f>AVERAGEIFS(tb_tempos_passagens[Tempo Passagem (h)],tb_tempos_passagens[Numero Voltas],AF13,tb_tempos_passagens[Nó],AG13)</f>
        <v>2</v>
      </c>
      <c r="AJ13" s="3"/>
      <c r="AK13" s="3"/>
      <c r="AL13" s="3"/>
      <c r="AM13"/>
      <c r="AN13"/>
    </row>
    <row r="14" spans="1:59" x14ac:dyDescent="0.25">
      <c r="B14" s="3">
        <v>2</v>
      </c>
      <c r="C14">
        <v>0</v>
      </c>
      <c r="D14">
        <v>0</v>
      </c>
      <c r="E14" s="29" t="s">
        <v>203</v>
      </c>
      <c r="F14" s="3">
        <v>41</v>
      </c>
      <c r="G14" s="3">
        <v>41</v>
      </c>
      <c r="H14" s="29" t="s">
        <v>44</v>
      </c>
      <c r="J14" s="7">
        <v>0.32013888888888886</v>
      </c>
      <c r="K14" s="7">
        <v>0.32013888888888886</v>
      </c>
      <c r="L14" s="3">
        <f t="shared" si="0"/>
        <v>1</v>
      </c>
      <c r="M14" s="3">
        <f t="shared" si="1"/>
        <v>0</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2</v>
      </c>
      <c r="T14" s="38">
        <v>2</v>
      </c>
      <c r="U14" s="38">
        <v>3</v>
      </c>
      <c r="V14" s="38" t="s">
        <v>208</v>
      </c>
      <c r="W14" s="30">
        <v>69</v>
      </c>
      <c r="X14" s="30">
        <v>69</v>
      </c>
      <c r="Y14" s="30">
        <v>5</v>
      </c>
      <c r="Z14" s="39">
        <v>0.33958333333333335</v>
      </c>
      <c r="AA14" s="39">
        <v>0.33958333333333335</v>
      </c>
      <c r="AB14" s="39">
        <v>0.2951388888888889</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F14" s="29" t="s">
        <v>123</v>
      </c>
      <c r="AG14" s="29" t="s">
        <v>301</v>
      </c>
      <c r="AH14" s="37">
        <f>AVERAGEIFS(tb_tempos_passagens[Tempo Passagem (h)],tb_tempos_passagens[Numero Voltas],AF14,tb_tempos_passagens[Nó],AG14)</f>
        <v>1.9166666666666667</v>
      </c>
      <c r="AK14"/>
      <c r="AL14" s="68"/>
      <c r="AM14"/>
      <c r="AN14"/>
    </row>
    <row r="15" spans="1:59" x14ac:dyDescent="0.25">
      <c r="B15" s="3">
        <v>2</v>
      </c>
      <c r="C15">
        <v>0</v>
      </c>
      <c r="D15">
        <v>1</v>
      </c>
      <c r="E15" s="29" t="s">
        <v>200</v>
      </c>
      <c r="F15" s="3">
        <v>43</v>
      </c>
      <c r="G15" s="3">
        <v>43</v>
      </c>
      <c r="H15" s="29" t="s">
        <v>44</v>
      </c>
      <c r="J15" s="7">
        <v>0.3215277777777778</v>
      </c>
      <c r="K15" s="7">
        <v>0.3215277777777778</v>
      </c>
      <c r="L15" s="3">
        <f t="shared" si="0"/>
        <v>0</v>
      </c>
      <c r="M15" s="3">
        <f t="shared" si="1"/>
        <v>1</v>
      </c>
      <c r="N15" s="29">
        <f>_xlfn.MAXIFS($G$7:G14,$E$7:E14,detalhe_carro1[[#This Row],[Nó]],$B$7:B14,detalhe_carro1[[#This Row],[Numero Voltas]],$L$7:L14,1)</f>
        <v>9</v>
      </c>
      <c r="O15" s="3">
        <f>IF(OR(detalhe_carro1[[#This Row],[Ultima Chegada]]=0,detalhe_carro1[[#This Row],[Chegada]]=0),"",detalhe_carro1[[#This Row],[Hora Inicio]]-detalhe_carro1[[#This Row],[Ultima Chegada]])</f>
        <v>34</v>
      </c>
      <c r="P15" s="3">
        <f>IF(detalhe_carro1[[#This Row],[Tipo]]="Visitar Nó",((detalhe_carro1[[#This Row],[Hora Fim]]-detalhe_carro1[[#This Row],[Hora Inicio]])/60*velocidade_nos),0)</f>
        <v>0</v>
      </c>
      <c r="Q15" s="29">
        <f>detalhe_carro1[[#This Row],[Kms Nós]]+detalhe_carro1[[#This Row],[kms]]</f>
        <v>0</v>
      </c>
      <c r="S15" s="20">
        <v>2</v>
      </c>
      <c r="T15" s="38">
        <v>2</v>
      </c>
      <c r="U15" s="38">
        <v>4</v>
      </c>
      <c r="V15" s="38" t="s">
        <v>2</v>
      </c>
      <c r="W15" s="30">
        <v>74</v>
      </c>
      <c r="X15" s="30">
        <v>87</v>
      </c>
      <c r="Y15" s="30">
        <v>0</v>
      </c>
      <c r="Z15" s="39">
        <v>0.34305555555555556</v>
      </c>
      <c r="AA15" s="39">
        <v>0.35208333333333336</v>
      </c>
      <c r="AB15" s="39">
        <v>0.29166666666666669</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c r="AF15" s="29" t="s">
        <v>123</v>
      </c>
      <c r="AG15" s="29" t="s">
        <v>302</v>
      </c>
      <c r="AH15" s="37">
        <f>AVERAGEIFS(tb_tempos_passagens[Tempo Passagem (h)],tb_tempos_passagens[Numero Voltas],AF15,tb_tempos_passagens[Nó],AG15)</f>
        <v>1.75</v>
      </c>
      <c r="AK15"/>
      <c r="AL15" s="67"/>
      <c r="AM15"/>
      <c r="AN15"/>
    </row>
    <row r="16" spans="1:59" x14ac:dyDescent="0.25">
      <c r="B16" s="3">
        <v>2</v>
      </c>
      <c r="C16">
        <v>0</v>
      </c>
      <c r="D16">
        <v>1</v>
      </c>
      <c r="E16" s="29" t="s">
        <v>200</v>
      </c>
      <c r="F16" s="3">
        <v>43</v>
      </c>
      <c r="G16" s="3">
        <v>47</v>
      </c>
      <c r="H16" s="29" t="s">
        <v>43</v>
      </c>
      <c r="J16" s="7">
        <v>0.3215277777777778</v>
      </c>
      <c r="K16" s="7">
        <v>0.32430555555555557</v>
      </c>
      <c r="L16" s="3">
        <f t="shared" si="0"/>
        <v>1</v>
      </c>
      <c r="M16" s="3">
        <f t="shared" si="1"/>
        <v>0</v>
      </c>
      <c r="N16" s="29">
        <f>_xlfn.MAXIFS($G$7:G15,$E$7:E15,detalhe_carro1[[#This Row],[Nó]],$B$7:B15,detalhe_carro1[[#This Row],[Numero Voltas]],$L$7:L15,1)</f>
        <v>9</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2</v>
      </c>
      <c r="Q16" s="29">
        <f>detalhe_carro1[[#This Row],[Kms Nós]]+detalhe_carro1[[#This Row],[kms]]</f>
        <v>2</v>
      </c>
      <c r="S16" s="20">
        <v>2</v>
      </c>
      <c r="T16" s="38">
        <v>2</v>
      </c>
      <c r="U16" s="38">
        <v>5</v>
      </c>
      <c r="V16" s="38" t="s">
        <v>215</v>
      </c>
      <c r="W16" s="30">
        <v>90</v>
      </c>
      <c r="X16" s="30">
        <v>90</v>
      </c>
      <c r="Y16" s="30">
        <v>1407</v>
      </c>
      <c r="Z16" s="39">
        <v>0.35416666666666669</v>
      </c>
      <c r="AA16" s="39">
        <v>0.35416666666666669</v>
      </c>
      <c r="AB16" s="39">
        <v>0.26874999999999999</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2.0499999999999998</v>
      </c>
      <c r="AF16" s="29" t="s">
        <v>123</v>
      </c>
      <c r="AG16" s="29" t="s">
        <v>303</v>
      </c>
      <c r="AH16" s="37">
        <f>AVERAGEIFS(tb_tempos_passagens[Tempo Passagem (h)],tb_tempos_passagens[Numero Voltas],AF16,tb_tempos_passagens[Nó],AG16)</f>
        <v>3.9166666666666674</v>
      </c>
      <c r="AK16"/>
      <c r="AL16"/>
      <c r="AM16"/>
      <c r="AN16"/>
    </row>
    <row r="17" spans="2:40" x14ac:dyDescent="0.25">
      <c r="B17" s="3">
        <v>2</v>
      </c>
      <c r="C17">
        <v>0</v>
      </c>
      <c r="D17">
        <v>2</v>
      </c>
      <c r="E17" s="29" t="s">
        <v>228</v>
      </c>
      <c r="F17" s="3">
        <v>48</v>
      </c>
      <c r="G17" s="3">
        <v>48</v>
      </c>
      <c r="H17" s="29" t="s">
        <v>44</v>
      </c>
      <c r="J17" s="7">
        <v>0.32500000000000001</v>
      </c>
      <c r="K17" s="7">
        <v>0.32500000000000001</v>
      </c>
      <c r="L17" s="3">
        <f t="shared" si="0"/>
        <v>0</v>
      </c>
      <c r="M17" s="3">
        <f t="shared" si="1"/>
        <v>1</v>
      </c>
      <c r="N17" s="29">
        <f>_xlfn.MAXIFS($G$7:G16,$E$7:E16,detalhe_carro1[[#This Row],[Nó]],$B$7:B16,detalhe_carro1[[#This Row],[Numero Voltas]],$L$7:L16,1)</f>
        <v>8</v>
      </c>
      <c r="O17" s="3">
        <f>IF(OR(detalhe_carro1[[#This Row],[Ultima Chegada]]=0,detalhe_carro1[[#This Row],[Chegada]]=0),"",detalhe_carro1[[#This Row],[Hora Inicio]]-detalhe_carro1[[#This Row],[Ultima Chegada]])</f>
        <v>40</v>
      </c>
      <c r="P17" s="3">
        <f>IF(detalhe_carro1[[#This Row],[Tipo]]="Visitar Nó",((detalhe_carro1[[#This Row],[Hora Fim]]-detalhe_carro1[[#This Row],[Hora Inicio]])/60*velocidade_nos),0)</f>
        <v>0</v>
      </c>
      <c r="Q17" s="29">
        <f>detalhe_carro1[[#This Row],[Kms Nós]]+detalhe_carro1[[#This Row],[kms]]</f>
        <v>0</v>
      </c>
      <c r="S17" s="20">
        <v>2</v>
      </c>
      <c r="T17" s="38">
        <v>2</v>
      </c>
      <c r="U17" s="38">
        <v>6</v>
      </c>
      <c r="V17" s="38" t="s">
        <v>300</v>
      </c>
      <c r="W17" s="30">
        <v>94</v>
      </c>
      <c r="X17" s="30">
        <v>94</v>
      </c>
      <c r="Y17" s="30">
        <v>1403</v>
      </c>
      <c r="Z17" s="39">
        <v>0.35694444444444445</v>
      </c>
      <c r="AA17" s="39">
        <v>0.35694444444444445</v>
      </c>
      <c r="AB17" s="39">
        <v>0.26597222222222222</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2.1833333333333331</v>
      </c>
      <c r="AF17" s="29" t="s">
        <v>124</v>
      </c>
      <c r="AG17" s="29" t="s">
        <v>2</v>
      </c>
      <c r="AH17" s="37">
        <f>AVERAGEIFS(tb_tempos_passagens[Tempo Passagem (h)],tb_tempos_passagens[Numero Voltas],AF17,tb_tempos_passagens[Nó],AG17)</f>
        <v>0.98750000000000016</v>
      </c>
      <c r="AK17"/>
      <c r="AL17"/>
      <c r="AM17"/>
      <c r="AN17"/>
    </row>
    <row r="18" spans="2:40" x14ac:dyDescent="0.25">
      <c r="B18" s="3">
        <v>2</v>
      </c>
      <c r="C18">
        <v>0</v>
      </c>
      <c r="D18">
        <v>2</v>
      </c>
      <c r="E18" s="29" t="s">
        <v>228</v>
      </c>
      <c r="F18" s="3">
        <v>48</v>
      </c>
      <c r="G18" s="3">
        <v>66</v>
      </c>
      <c r="H18" s="29" t="s">
        <v>43</v>
      </c>
      <c r="J18" s="7">
        <v>0.32500000000000001</v>
      </c>
      <c r="K18" s="7">
        <v>0.33750000000000002</v>
      </c>
      <c r="L18" s="3">
        <f t="shared" si="0"/>
        <v>1</v>
      </c>
      <c r="M18" s="3">
        <f t="shared" si="1"/>
        <v>0</v>
      </c>
      <c r="N18" s="29">
        <f>_xlfn.MAXIFS($G$7:G17,$E$7:E17,detalhe_carro1[[#This Row],[Nó]],$B$7:B17,detalhe_carro1[[#This Row],[Numero Voltas]],$L$7:L17,1)</f>
        <v>8</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9</v>
      </c>
      <c r="Q18" s="29">
        <f>detalhe_carro1[[#This Row],[Kms Nós]]+detalhe_carro1[[#This Row],[kms]]</f>
        <v>9</v>
      </c>
      <c r="S18" s="20">
        <v>2</v>
      </c>
      <c r="T18" s="38">
        <v>2</v>
      </c>
      <c r="U18" s="38">
        <v>7</v>
      </c>
      <c r="V18" s="38" t="s">
        <v>301</v>
      </c>
      <c r="W18" s="30">
        <v>97</v>
      </c>
      <c r="X18" s="30">
        <v>97</v>
      </c>
      <c r="Y18" s="30">
        <v>1400</v>
      </c>
      <c r="Z18" s="39">
        <v>0.35902777777777778</v>
      </c>
      <c r="AA18" s="39">
        <v>0.35902777777777778</v>
      </c>
      <c r="AB18" s="39">
        <v>0.2638888888888889</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2.2833333333333332</v>
      </c>
      <c r="AE18" s="30"/>
      <c r="AF18" s="29" t="s">
        <v>124</v>
      </c>
      <c r="AG18" s="29" t="s">
        <v>208</v>
      </c>
      <c r="AH18" s="37">
        <f>AVERAGEIFS(tb_tempos_passagens[Tempo Passagem (h)],tb_tempos_passagens[Numero Voltas],AF18,tb_tempos_passagens[Nó],AG18)</f>
        <v>1.2055555555555555</v>
      </c>
      <c r="AI18" s="30"/>
      <c r="AK18"/>
      <c r="AL18"/>
      <c r="AM18"/>
      <c r="AN18"/>
    </row>
    <row r="19" spans="2:40" x14ac:dyDescent="0.25">
      <c r="B19" s="3">
        <v>2</v>
      </c>
      <c r="C19">
        <v>0</v>
      </c>
      <c r="D19">
        <v>3</v>
      </c>
      <c r="E19" s="29" t="s">
        <v>208</v>
      </c>
      <c r="F19" s="3">
        <v>69</v>
      </c>
      <c r="G19" s="3">
        <v>69</v>
      </c>
      <c r="H19" s="29" t="s">
        <v>44</v>
      </c>
      <c r="J19" s="7">
        <v>0.33958333333333335</v>
      </c>
      <c r="K19" s="7">
        <v>0.33958333333333335</v>
      </c>
      <c r="L19" s="3">
        <f t="shared" si="0"/>
        <v>1</v>
      </c>
      <c r="M19" s="3">
        <f t="shared" si="1"/>
        <v>1</v>
      </c>
      <c r="N19" s="29">
        <f>_xlfn.MAXIFS($G$7:G18,$E$7:E18,detalhe_carro1[[#This Row],[Nó]],$B$7:B18,detalhe_carro1[[#This Row],[Numero Voltas]],$L$7:L18,1)</f>
        <v>5</v>
      </c>
      <c r="O19" s="3">
        <f>IF(OR(detalhe_carro1[[#This Row],[Ultima Chegada]]=0,detalhe_carro1[[#This Row],[Chegada]]=0),"",detalhe_carro1[[#This Row],[Hora Inicio]]-detalhe_carro1[[#This Row],[Ultima Chegada]])</f>
        <v>64</v>
      </c>
      <c r="P19" s="3">
        <f>IF(detalhe_carro1[[#This Row],[Tipo]]="Visitar Nó",((detalhe_carro1[[#This Row],[Hora Fim]]-detalhe_carro1[[#This Row],[Hora Inicio]])/60*velocidade_nos),0)</f>
        <v>0</v>
      </c>
      <c r="Q19" s="29">
        <f>detalhe_carro1[[#This Row],[Kms Nós]]+detalhe_carro1[[#This Row],[kms]]</f>
        <v>0</v>
      </c>
      <c r="S19" s="20">
        <v>2</v>
      </c>
      <c r="T19" s="38">
        <v>2</v>
      </c>
      <c r="U19" s="38">
        <v>8</v>
      </c>
      <c r="V19" s="38" t="s">
        <v>302</v>
      </c>
      <c r="W19" s="30">
        <v>103</v>
      </c>
      <c r="X19" s="30">
        <v>103</v>
      </c>
      <c r="Y19" s="30">
        <v>1394</v>
      </c>
      <c r="Z19" s="39">
        <v>0.36319444444444443</v>
      </c>
      <c r="AA19" s="39">
        <v>0.36319444444444443</v>
      </c>
      <c r="AB19" s="39">
        <v>0.25972222222222224</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2.4833333333333334</v>
      </c>
      <c r="AF19" s="29" t="s">
        <v>124</v>
      </c>
      <c r="AG19" s="29" t="s">
        <v>228</v>
      </c>
      <c r="AH19" s="37">
        <f>AVERAGEIFS(tb_tempos_passagens[Tempo Passagem (h)],tb_tempos_passagens[Numero Voltas],AF19,tb_tempos_passagens[Nó],AG19)</f>
        <v>1.2333333333333334</v>
      </c>
      <c r="AK19"/>
      <c r="AL19"/>
      <c r="AM19"/>
      <c r="AN19"/>
    </row>
    <row r="20" spans="2:40" x14ac:dyDescent="0.25">
      <c r="B20" s="3">
        <v>2</v>
      </c>
      <c r="C20">
        <v>0</v>
      </c>
      <c r="D20">
        <v>4</v>
      </c>
      <c r="E20" s="29" t="s">
        <v>2</v>
      </c>
      <c r="F20" s="3">
        <v>74</v>
      </c>
      <c r="G20" s="3">
        <v>74</v>
      </c>
      <c r="H20" s="29" t="s">
        <v>44</v>
      </c>
      <c r="J20" s="7">
        <v>0.34305555555555556</v>
      </c>
      <c r="K20" s="7">
        <v>0.34305555555555556</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0</v>
      </c>
      <c r="S20" s="20">
        <v>2</v>
      </c>
      <c r="T20" s="38">
        <v>2</v>
      </c>
      <c r="U20" s="38">
        <v>9</v>
      </c>
      <c r="V20" s="38" t="s">
        <v>303</v>
      </c>
      <c r="W20" s="30">
        <v>109</v>
      </c>
      <c r="X20" s="30">
        <v>119</v>
      </c>
      <c r="Y20" s="30">
        <v>1388</v>
      </c>
      <c r="Z20" s="39">
        <v>0.36736111111111114</v>
      </c>
      <c r="AA20" s="39">
        <v>0.37430555555555556</v>
      </c>
      <c r="AB20" s="39">
        <v>0.25555555555555554</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c r="AF20" s="29" t="s">
        <v>124</v>
      </c>
      <c r="AG20" s="29" t="s">
        <v>200</v>
      </c>
      <c r="AH20" s="37">
        <f>AVERAGEIFS(tb_tempos_passagens[Tempo Passagem (h)],tb_tempos_passagens[Numero Voltas],AF20,tb_tempos_passagens[Nó],AG20)</f>
        <v>1.3111111111111111</v>
      </c>
      <c r="AK20"/>
      <c r="AL20"/>
      <c r="AM20"/>
      <c r="AN20"/>
    </row>
    <row r="21" spans="2:40" x14ac:dyDescent="0.25">
      <c r="B21" s="3">
        <v>2</v>
      </c>
      <c r="C21">
        <v>0</v>
      </c>
      <c r="D21">
        <v>4</v>
      </c>
      <c r="E21" s="29" t="s">
        <v>2</v>
      </c>
      <c r="F21" s="3">
        <v>74</v>
      </c>
      <c r="G21" s="3">
        <v>87</v>
      </c>
      <c r="H21" s="29" t="s">
        <v>43</v>
      </c>
      <c r="J21" s="7">
        <v>0.34305555555555556</v>
      </c>
      <c r="K21" s="7">
        <v>0.35208333333333336</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6.5</v>
      </c>
      <c r="Q21" s="29">
        <f>detalhe_carro1[[#This Row],[Kms Nós]]+detalhe_carro1[[#This Row],[kms]]</f>
        <v>6.5</v>
      </c>
      <c r="S21" s="20">
        <v>2</v>
      </c>
      <c r="T21" s="38">
        <v>2</v>
      </c>
      <c r="U21" s="38">
        <v>8</v>
      </c>
      <c r="V21" s="38" t="s">
        <v>302</v>
      </c>
      <c r="W21" s="30">
        <v>125</v>
      </c>
      <c r="X21" s="30">
        <v>135</v>
      </c>
      <c r="Y21" s="30">
        <v>103</v>
      </c>
      <c r="Z21" s="39">
        <v>0.37847222222222221</v>
      </c>
      <c r="AA21" s="39">
        <v>0.38541666666666669</v>
      </c>
      <c r="AB21" s="39">
        <v>0.36319444444444443</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c r="AF21" s="29" t="s">
        <v>124</v>
      </c>
      <c r="AG21" s="29" t="s">
        <v>203</v>
      </c>
      <c r="AH21" s="37">
        <f>AVERAGEIFS(tb_tempos_passagens[Tempo Passagem (h)],tb_tempos_passagens[Numero Voltas],AF21,tb_tempos_passagens[Nó],AG21)</f>
        <v>2.5740740740740744</v>
      </c>
      <c r="AK21"/>
      <c r="AL21"/>
      <c r="AM21"/>
      <c r="AN21"/>
    </row>
    <row r="22" spans="2:40" x14ac:dyDescent="0.25">
      <c r="B22" s="3">
        <v>2</v>
      </c>
      <c r="C22">
        <v>0</v>
      </c>
      <c r="D22">
        <v>5</v>
      </c>
      <c r="E22" s="29" t="s">
        <v>215</v>
      </c>
      <c r="F22" s="3">
        <v>90</v>
      </c>
      <c r="G22" s="3">
        <v>90</v>
      </c>
      <c r="H22" s="29" t="s">
        <v>44</v>
      </c>
      <c r="J22" s="7">
        <v>0.35416666666666669</v>
      </c>
      <c r="K22" s="7">
        <v>0.35416666666666669</v>
      </c>
      <c r="L22" s="3">
        <f t="shared" si="0"/>
        <v>1</v>
      </c>
      <c r="M22" s="3">
        <f t="shared" si="1"/>
        <v>1</v>
      </c>
      <c r="N22" s="29">
        <f>_xlfn.MAXIFS($G$7:G21,$E$7:E21,detalhe_carro1[[#This Row],[Nó]],$B$7:B21,detalhe_carro1[[#This Row],[Numero Voltas]],$L$7:L21,1)</f>
        <v>0</v>
      </c>
      <c r="O22" s="3" t="str">
        <f>IF(OR(detalhe_carro1[[#This Row],[Ultima Chegada]]=0,detalhe_carro1[[#This Row],[Chegada]]=0),"",detalhe_carro1[[#This Row],[Hora Inicio]]-detalhe_carro1[[#This Row],[Ultima Chegada]])</f>
        <v/>
      </c>
      <c r="P22" s="3">
        <f>IF(detalhe_carro1[[#This Row],[Tipo]]="Visitar Nó",((detalhe_carro1[[#This Row],[Hora Fim]]-detalhe_carro1[[#This Row],[Hora Inicio]])/60*velocidade_nos),0)</f>
        <v>0</v>
      </c>
      <c r="Q22" s="29">
        <f>detalhe_carro1[[#This Row],[Kms Nós]]+detalhe_carro1[[#This Row],[kms]]</f>
        <v>0</v>
      </c>
      <c r="S22" s="20">
        <v>2</v>
      </c>
      <c r="T22" s="38">
        <v>2</v>
      </c>
      <c r="U22" s="38">
        <v>7</v>
      </c>
      <c r="V22" s="38" t="s">
        <v>301</v>
      </c>
      <c r="W22" s="30">
        <v>141</v>
      </c>
      <c r="X22" s="30">
        <v>151</v>
      </c>
      <c r="Y22" s="30">
        <v>97</v>
      </c>
      <c r="Z22" s="39">
        <v>0.38958333333333334</v>
      </c>
      <c r="AA22" s="39">
        <v>0.39652777777777776</v>
      </c>
      <c r="AB22" s="39">
        <v>0.35902777777777778</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c r="AF22" s="29" t="s">
        <v>124</v>
      </c>
      <c r="AG22" s="29" t="s">
        <v>215</v>
      </c>
      <c r="AH22" s="37">
        <f>AVERAGEIFS(tb_tempos_passagens[Tempo Passagem (h)],tb_tempos_passagens[Numero Voltas],AF22,tb_tempos_passagens[Nó],AG22)</f>
        <v>1.333333333333333</v>
      </c>
      <c r="AK22"/>
      <c r="AL22"/>
      <c r="AM22"/>
      <c r="AN22"/>
    </row>
    <row r="23" spans="2:40" x14ac:dyDescent="0.25">
      <c r="B23" s="3">
        <v>2</v>
      </c>
      <c r="C23">
        <v>0</v>
      </c>
      <c r="D23">
        <v>6</v>
      </c>
      <c r="E23" s="29" t="s">
        <v>300</v>
      </c>
      <c r="F23" s="3">
        <v>94</v>
      </c>
      <c r="G23" s="3">
        <v>94</v>
      </c>
      <c r="H23" s="29" t="s">
        <v>44</v>
      </c>
      <c r="J23" s="7">
        <v>0.35694444444444445</v>
      </c>
      <c r="K23" s="7">
        <v>0.35694444444444445</v>
      </c>
      <c r="L23" s="3">
        <f t="shared" si="0"/>
        <v>1</v>
      </c>
      <c r="M23" s="3">
        <f t="shared" si="1"/>
        <v>1</v>
      </c>
      <c r="N23" s="29">
        <f>_xlfn.MAXIFS($G$7:G22,$E$7:E22,detalhe_carro1[[#This Row],[Nó]],$B$7:B22,detalhe_carro1[[#This Row],[Numero Voltas]],$L$7:L22,1)</f>
        <v>0</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0</v>
      </c>
      <c r="Q23" s="29">
        <f>detalhe_carro1[[#This Row],[Kms Nós]]+detalhe_carro1[[#This Row],[kms]]</f>
        <v>0</v>
      </c>
      <c r="S23" s="20">
        <v>2</v>
      </c>
      <c r="T23" s="38">
        <v>2</v>
      </c>
      <c r="U23" s="38">
        <v>6</v>
      </c>
      <c r="V23" s="38" t="s">
        <v>300</v>
      </c>
      <c r="W23" s="30">
        <v>154</v>
      </c>
      <c r="X23" s="30">
        <v>154</v>
      </c>
      <c r="Y23" s="30">
        <v>94</v>
      </c>
      <c r="Z23" s="39">
        <v>0.39861111111111114</v>
      </c>
      <c r="AA23" s="39">
        <v>0.39861111111111114</v>
      </c>
      <c r="AB23" s="39">
        <v>0.35694444444444445</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v>
      </c>
      <c r="AF23" s="29" t="s">
        <v>124</v>
      </c>
      <c r="AG23" s="29" t="s">
        <v>300</v>
      </c>
      <c r="AH23" s="37">
        <f>AVERAGEIFS(tb_tempos_passagens[Tempo Passagem (h)],tb_tempos_passagens[Numero Voltas],AF23,tb_tempos_passagens[Nó],AG23)</f>
        <v>1.333333333333333</v>
      </c>
      <c r="AK23"/>
      <c r="AL23"/>
      <c r="AM23"/>
      <c r="AN23"/>
    </row>
    <row r="24" spans="2:40" x14ac:dyDescent="0.25">
      <c r="B24" s="3">
        <v>2</v>
      </c>
      <c r="C24">
        <v>0</v>
      </c>
      <c r="D24">
        <v>7</v>
      </c>
      <c r="E24" s="29" t="s">
        <v>301</v>
      </c>
      <c r="F24" s="3">
        <v>97</v>
      </c>
      <c r="G24" s="3">
        <v>97</v>
      </c>
      <c r="H24" s="29" t="s">
        <v>44</v>
      </c>
      <c r="J24" s="7">
        <v>0.35902777777777778</v>
      </c>
      <c r="K24" s="7">
        <v>0.35902777777777778</v>
      </c>
      <c r="L24" s="3">
        <f t="shared" si="0"/>
        <v>1</v>
      </c>
      <c r="M24" s="3">
        <f t="shared" si="1"/>
        <v>1</v>
      </c>
      <c r="N24" s="29">
        <f>_xlfn.MAXIFS($G$7:G23,$E$7:E23,detalhe_carro1[[#This Row],[Nó]],$B$7:B23,detalhe_carro1[[#This Row],[Numero Voltas]],$L$7:L23,1)</f>
        <v>0</v>
      </c>
      <c r="O24" s="3" t="str">
        <f>IF(OR(detalhe_carro1[[#This Row],[Ultima Chegada]]=0,detalhe_carro1[[#This Row],[Chegada]]=0),"",detalhe_carro1[[#This Row],[Hora Inicio]]-detalhe_carro1[[#This Row],[Ultima Chegada]])</f>
        <v/>
      </c>
      <c r="P24" s="3">
        <f>IF(detalhe_carro1[[#This Row],[Tipo]]="Visitar Nó",((detalhe_carro1[[#This Row],[Hora Fim]]-detalhe_carro1[[#This Row],[Hora Inicio]])/60*velocidade_nos),0)</f>
        <v>0</v>
      </c>
      <c r="Q24" s="29">
        <f>detalhe_carro1[[#This Row],[Kms Nós]]+detalhe_carro1[[#This Row],[kms]]</f>
        <v>0</v>
      </c>
      <c r="S24" s="20">
        <v>2</v>
      </c>
      <c r="T24" s="38">
        <v>2</v>
      </c>
      <c r="U24" s="38">
        <v>5</v>
      </c>
      <c r="V24" s="38" t="s">
        <v>215</v>
      </c>
      <c r="W24" s="30">
        <v>158</v>
      </c>
      <c r="X24" s="30">
        <v>158</v>
      </c>
      <c r="Y24" s="30">
        <v>90</v>
      </c>
      <c r="Z24" s="39">
        <v>0.40138888888888891</v>
      </c>
      <c r="AA24" s="39">
        <v>0.40138888888888891</v>
      </c>
      <c r="AB24" s="39">
        <v>0.35416666666666669</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c r="AF24" s="29" t="s">
        <v>124</v>
      </c>
      <c r="AG24" s="29" t="s">
        <v>301</v>
      </c>
      <c r="AH24" s="37">
        <f>AVERAGEIFS(tb_tempos_passagens[Tempo Passagem (h)],tb_tempos_passagens[Numero Voltas],AF24,tb_tempos_passagens[Nó],AG24)</f>
        <v>1.2777777777777777</v>
      </c>
      <c r="AK24"/>
      <c r="AL24"/>
      <c r="AM24"/>
      <c r="AN24"/>
    </row>
    <row r="25" spans="2:40" x14ac:dyDescent="0.25">
      <c r="B25" s="3">
        <v>2</v>
      </c>
      <c r="C25">
        <v>0</v>
      </c>
      <c r="D25">
        <v>8</v>
      </c>
      <c r="E25" s="29" t="s">
        <v>302</v>
      </c>
      <c r="F25" s="3">
        <v>103</v>
      </c>
      <c r="G25" s="3">
        <v>103</v>
      </c>
      <c r="H25" s="29" t="s">
        <v>44</v>
      </c>
      <c r="J25" s="7">
        <v>0.36319444444444443</v>
      </c>
      <c r="K25" s="7">
        <v>0.36319444444444443</v>
      </c>
      <c r="L25" s="3">
        <f t="shared" si="0"/>
        <v>1</v>
      </c>
      <c r="M25" s="3">
        <f t="shared" si="1"/>
        <v>1</v>
      </c>
      <c r="N25" s="29">
        <f>_xlfn.MAXIFS($G$7:G24,$E$7:E24,detalhe_carro1[[#This Row],[Nó]],$B$7:B24,detalhe_carro1[[#This Row],[Numero Voltas]],$L$7:L24,1)</f>
        <v>0</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0</v>
      </c>
      <c r="Q25" s="29">
        <f>detalhe_carro1[[#This Row],[Kms Nós]]+detalhe_carro1[[#This Row],[kms]]</f>
        <v>0</v>
      </c>
      <c r="S25" s="20">
        <v>2</v>
      </c>
      <c r="T25" s="38">
        <v>2</v>
      </c>
      <c r="U25" s="38">
        <v>4</v>
      </c>
      <c r="V25" s="38" t="s">
        <v>2</v>
      </c>
      <c r="W25" s="30">
        <v>161</v>
      </c>
      <c r="X25" s="30">
        <v>189</v>
      </c>
      <c r="Y25" s="30">
        <v>87</v>
      </c>
      <c r="Z25" s="39">
        <v>0.40347222222222223</v>
      </c>
      <c r="AA25" s="39">
        <v>0.42291666666666666</v>
      </c>
      <c r="AB25" s="39">
        <v>0.35208333333333336</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c r="AF25" s="29" t="s">
        <v>124</v>
      </c>
      <c r="AG25" s="29" t="s">
        <v>302</v>
      </c>
      <c r="AH25" s="37">
        <f>AVERAGEIFS(tb_tempos_passagens[Tempo Passagem (h)],tb_tempos_passagens[Numero Voltas],AF25,tb_tempos_passagens[Nó],AG25)</f>
        <v>1.1666666666666665</v>
      </c>
      <c r="AK25"/>
      <c r="AL25"/>
      <c r="AM25"/>
      <c r="AN25"/>
    </row>
    <row r="26" spans="2:40" x14ac:dyDescent="0.25">
      <c r="B26" s="3">
        <v>2</v>
      </c>
      <c r="C26">
        <v>0</v>
      </c>
      <c r="D26">
        <v>9</v>
      </c>
      <c r="E26" s="29" t="s">
        <v>303</v>
      </c>
      <c r="F26" s="3">
        <v>109</v>
      </c>
      <c r="G26" s="3">
        <v>109</v>
      </c>
      <c r="H26" s="29" t="s">
        <v>44</v>
      </c>
      <c r="J26" s="7">
        <v>0.36736111111111114</v>
      </c>
      <c r="K26" s="7">
        <v>0.36736111111111114</v>
      </c>
      <c r="L26" s="3">
        <f t="shared" si="0"/>
        <v>0</v>
      </c>
      <c r="M26" s="3">
        <f t="shared" si="1"/>
        <v>1</v>
      </c>
      <c r="N26" s="29">
        <f>_xlfn.MAXIFS($G$7:G25,$E$7:E25,detalhe_carro1[[#This Row],[Nó]],$B$7:B25,detalhe_carro1[[#This Row],[Numero Voltas]],$L$7:L25,1)</f>
        <v>0</v>
      </c>
      <c r="O26" s="3" t="str">
        <f>IF(OR(detalhe_carro1[[#This Row],[Ultima Chegada]]=0,detalhe_carro1[[#This Row],[Chegada]]=0),"",detalhe_carro1[[#This Row],[Hora Inicio]]-detalhe_carro1[[#This Row],[Ultima Chegada]])</f>
        <v/>
      </c>
      <c r="P26" s="3">
        <f>IF(detalhe_carro1[[#This Row],[Tipo]]="Visitar Nó",((detalhe_carro1[[#This Row],[Hora Fim]]-detalhe_carro1[[#This Row],[Hora Inicio]])/60*velocidade_nos),0)</f>
        <v>0</v>
      </c>
      <c r="Q26" s="29">
        <f>detalhe_carro1[[#This Row],[Kms Nós]]+detalhe_carro1[[#This Row],[kms]]</f>
        <v>0</v>
      </c>
      <c r="S26" s="20">
        <v>2</v>
      </c>
      <c r="T26" s="38">
        <v>2</v>
      </c>
      <c r="U26" s="38">
        <v>3</v>
      </c>
      <c r="V26" s="38" t="s">
        <v>208</v>
      </c>
      <c r="W26" s="30">
        <v>194</v>
      </c>
      <c r="X26" s="30">
        <v>267</v>
      </c>
      <c r="Y26" s="30">
        <v>69</v>
      </c>
      <c r="Z26" s="39">
        <v>0.42638888888888887</v>
      </c>
      <c r="AA26" s="39">
        <v>0.47708333333333336</v>
      </c>
      <c r="AB26" s="39">
        <v>0.33958333333333335</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2.0833333333333335</v>
      </c>
      <c r="AF26" s="29" t="s">
        <v>124</v>
      </c>
      <c r="AG26" s="29" t="s">
        <v>303</v>
      </c>
      <c r="AH26" s="37">
        <f>AVERAGEIFS(tb_tempos_passagens[Tempo Passagem (h)],tb_tempos_passagens[Numero Voltas],AF26,tb_tempos_passagens[Nó],AG26)</f>
        <v>2.6111111111111112</v>
      </c>
      <c r="AK26"/>
      <c r="AL26"/>
      <c r="AM26"/>
      <c r="AN26"/>
    </row>
    <row r="27" spans="2:40" x14ac:dyDescent="0.25">
      <c r="B27" s="3">
        <v>2</v>
      </c>
      <c r="C27">
        <v>0</v>
      </c>
      <c r="D27">
        <v>9</v>
      </c>
      <c r="E27" s="29" t="s">
        <v>303</v>
      </c>
      <c r="F27" s="3">
        <v>109</v>
      </c>
      <c r="G27" s="3">
        <v>109</v>
      </c>
      <c r="H27" s="29" t="s">
        <v>44</v>
      </c>
      <c r="J27" s="7">
        <v>0.36736111111111114</v>
      </c>
      <c r="K27" s="7">
        <v>0.36736111111111114</v>
      </c>
      <c r="L27" s="3">
        <f t="shared" si="0"/>
        <v>0</v>
      </c>
      <c r="M27" s="3">
        <f t="shared" si="1"/>
        <v>0</v>
      </c>
      <c r="N27" s="29">
        <f>_xlfn.MAXIFS($G$7:G26,$E$7:E26,detalhe_carro1[[#This Row],[Nó]],$B$7:B26,detalhe_carro1[[#This Row],[Numero Voltas]],$L$7:L26,1)</f>
        <v>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0</v>
      </c>
      <c r="Q27" s="29">
        <f>detalhe_carro1[[#This Row],[Kms Nós]]+detalhe_carro1[[#This Row],[kms]]</f>
        <v>0</v>
      </c>
      <c r="S27" s="20">
        <v>2</v>
      </c>
      <c r="T27" s="38">
        <v>2</v>
      </c>
      <c r="U27" s="38">
        <v>2</v>
      </c>
      <c r="V27" s="38" t="s">
        <v>228</v>
      </c>
      <c r="W27" s="30">
        <v>270</v>
      </c>
      <c r="X27" s="30">
        <v>288</v>
      </c>
      <c r="Y27" s="30">
        <v>66</v>
      </c>
      <c r="Z27" s="39">
        <v>0.47916666666666669</v>
      </c>
      <c r="AA27" s="39">
        <v>0.49166666666666664</v>
      </c>
      <c r="AB27" s="39">
        <v>0.33750000000000002</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v>
      </c>
      <c r="AF27" s="29"/>
      <c r="AG27" s="29"/>
      <c r="AH27" s="37"/>
      <c r="AK27"/>
      <c r="AL27"/>
      <c r="AM27"/>
      <c r="AN27"/>
    </row>
    <row r="28" spans="2:40" x14ac:dyDescent="0.25">
      <c r="B28" s="3">
        <v>2</v>
      </c>
      <c r="C28">
        <v>0</v>
      </c>
      <c r="D28">
        <v>9</v>
      </c>
      <c r="E28" s="29" t="s">
        <v>303</v>
      </c>
      <c r="F28" s="3">
        <v>109</v>
      </c>
      <c r="G28" s="3">
        <v>119</v>
      </c>
      <c r="H28" s="29" t="s">
        <v>43</v>
      </c>
      <c r="J28" s="7">
        <v>0.36736111111111114</v>
      </c>
      <c r="K28" s="7">
        <v>0.37430555555555556</v>
      </c>
      <c r="L28" s="3">
        <f t="shared" si="0"/>
        <v>1</v>
      </c>
      <c r="M28" s="3">
        <f t="shared" si="1"/>
        <v>0</v>
      </c>
      <c r="N28" s="29">
        <f>_xlfn.MAXIFS($G$7:G27,$E$7:E27,detalhe_carro1[[#This Row],[Nó]],$B$7:B27,detalhe_carro1[[#This Row],[Numero Voltas]],$L$7:L27,1)</f>
        <v>0</v>
      </c>
      <c r="O28" s="3" t="str">
        <f>IF(OR(detalhe_carro1[[#This Row],[Ultima Chegada]]=0,detalhe_carro1[[#This Row],[Chegada]]=0),"",detalhe_carro1[[#This Row],[Hora Inicio]]-detalhe_carro1[[#This Row],[Ultima Chegada]])</f>
        <v/>
      </c>
      <c r="P28" s="3">
        <f>IF(detalhe_carro1[[#This Row],[Tipo]]="Visitar Nó",((detalhe_carro1[[#This Row],[Hora Fim]]-detalhe_carro1[[#This Row],[Hora Inicio]])/60*velocidade_nos),0)</f>
        <v>5</v>
      </c>
      <c r="Q28" s="29">
        <f>detalhe_carro1[[#This Row],[Kms Nós]]+detalhe_carro1[[#This Row],[kms]]</f>
        <v>5</v>
      </c>
      <c r="S28" s="20">
        <v>2</v>
      </c>
      <c r="T28" s="38">
        <v>2</v>
      </c>
      <c r="U28" s="38">
        <v>1</v>
      </c>
      <c r="V28" s="38" t="s">
        <v>200</v>
      </c>
      <c r="W28" s="30">
        <v>289</v>
      </c>
      <c r="X28" s="30">
        <v>293</v>
      </c>
      <c r="Y28" s="30">
        <v>47</v>
      </c>
      <c r="Z28" s="39">
        <v>0.49236111111111114</v>
      </c>
      <c r="AA28" s="39">
        <v>0.49513888888888891</v>
      </c>
      <c r="AB28" s="39">
        <v>0.32430555555555557</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4.0333333333333332</v>
      </c>
      <c r="AF28" s="29"/>
      <c r="AG28" s="29"/>
      <c r="AH28" s="37"/>
      <c r="AK28"/>
      <c r="AL28"/>
      <c r="AM28"/>
      <c r="AN28"/>
    </row>
    <row r="29" spans="2:40" x14ac:dyDescent="0.25">
      <c r="B29" s="3">
        <v>2</v>
      </c>
      <c r="C29">
        <v>0</v>
      </c>
      <c r="D29">
        <v>8</v>
      </c>
      <c r="E29" s="29" t="s">
        <v>302</v>
      </c>
      <c r="F29" s="3">
        <v>125</v>
      </c>
      <c r="G29" s="3">
        <v>125</v>
      </c>
      <c r="H29" s="29" t="s">
        <v>44</v>
      </c>
      <c r="J29" s="7">
        <v>0.37847222222222221</v>
      </c>
      <c r="K29" s="7">
        <v>0.37847222222222221</v>
      </c>
      <c r="L29" s="3">
        <f t="shared" si="0"/>
        <v>0</v>
      </c>
      <c r="M29" s="3">
        <f t="shared" si="1"/>
        <v>1</v>
      </c>
      <c r="N29" s="29">
        <f>_xlfn.MAXIFS($G$7:G28,$E$7:E28,detalhe_carro1[[#This Row],[Nó]],$B$7:B28,detalhe_carro1[[#This Row],[Numero Voltas]],$L$7:L28,1)</f>
        <v>103</v>
      </c>
      <c r="O29" s="3">
        <f>IF(OR(detalhe_carro1[[#This Row],[Ultima Chegada]]=0,detalhe_carro1[[#This Row],[Chegada]]=0),"",detalhe_carro1[[#This Row],[Hora Inicio]]-detalhe_carro1[[#This Row],[Ultima Chegada]])</f>
        <v>22</v>
      </c>
      <c r="P29" s="3">
        <f>IF(detalhe_carro1[[#This Row],[Tipo]]="Visitar Nó",((detalhe_carro1[[#This Row],[Hora Fim]]-detalhe_carro1[[#This Row],[Hora Inicio]])/60*velocidade_nos),0)</f>
        <v>0</v>
      </c>
      <c r="Q29" s="29">
        <f>detalhe_carro1[[#This Row],[Kms Nós]]+detalhe_carro1[[#This Row],[kms]]</f>
        <v>0</v>
      </c>
      <c r="S29" s="20">
        <v>2</v>
      </c>
      <c r="T29" s="38">
        <v>2</v>
      </c>
      <c r="U29" s="38">
        <v>0</v>
      </c>
      <c r="V29" s="38" t="s">
        <v>203</v>
      </c>
      <c r="W29" s="30">
        <v>295</v>
      </c>
      <c r="X29" s="30">
        <v>362</v>
      </c>
      <c r="Y29" s="30">
        <v>41</v>
      </c>
      <c r="Z29" s="39">
        <v>0.49652777777777779</v>
      </c>
      <c r="AA29" s="39">
        <v>0.54305555555555551</v>
      </c>
      <c r="AB29" s="39">
        <v>0.32013888888888886</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4.2333333333333334</v>
      </c>
      <c r="AF29" s="29"/>
      <c r="AG29" s="29"/>
      <c r="AH29" s="37"/>
      <c r="AK29"/>
      <c r="AL29"/>
      <c r="AM29"/>
      <c r="AN29"/>
    </row>
    <row r="30" spans="2:40" x14ac:dyDescent="0.25">
      <c r="B30" s="3">
        <v>2</v>
      </c>
      <c r="C30">
        <v>0</v>
      </c>
      <c r="D30">
        <v>8</v>
      </c>
      <c r="E30" s="29" t="s">
        <v>302</v>
      </c>
      <c r="F30" s="3">
        <v>125</v>
      </c>
      <c r="G30" s="3">
        <v>135</v>
      </c>
      <c r="H30" s="29" t="s">
        <v>43</v>
      </c>
      <c r="J30" s="7">
        <v>0.37847222222222221</v>
      </c>
      <c r="K30" s="7">
        <v>0.38541666666666669</v>
      </c>
      <c r="L30" s="3">
        <f t="shared" si="0"/>
        <v>1</v>
      </c>
      <c r="M30" s="3">
        <f t="shared" si="1"/>
        <v>0</v>
      </c>
      <c r="N30" s="29">
        <f>_xlfn.MAXIFS($G$7:G29,$E$7:E29,detalhe_carro1[[#This Row],[Nó]],$B$7:B29,detalhe_carro1[[#This Row],[Numero Voltas]],$L$7:L29,1)</f>
        <v>103</v>
      </c>
      <c r="O30" s="3" t="str">
        <f>IF(OR(detalhe_carro1[[#This Row],[Ultima Chegada]]=0,detalhe_carro1[[#This Row],[Chegada]]=0),"",detalhe_carro1[[#This Row],[Hora Inicio]]-detalhe_carro1[[#This Row],[Ultima Chegada]])</f>
        <v/>
      </c>
      <c r="P30" s="3">
        <f>IF(detalhe_carro1[[#This Row],[Tipo]]="Visitar Nó",((detalhe_carro1[[#This Row],[Hora Fim]]-detalhe_carro1[[#This Row],[Hora Inicio]])/60*velocidade_nos),0)</f>
        <v>5</v>
      </c>
      <c r="Q30" s="29">
        <f>detalhe_carro1[[#This Row],[Kms Nós]]+detalhe_carro1[[#This Row],[kms]]</f>
        <v>5</v>
      </c>
      <c r="S30" s="20">
        <v>2</v>
      </c>
      <c r="T30" s="38">
        <v>2</v>
      </c>
      <c r="U30" s="38">
        <v>1</v>
      </c>
      <c r="V30" s="38" t="s">
        <v>200</v>
      </c>
      <c r="W30" s="30">
        <v>364</v>
      </c>
      <c r="X30" s="30">
        <v>364</v>
      </c>
      <c r="Y30" s="30">
        <v>293</v>
      </c>
      <c r="Z30" s="39">
        <v>0.5444444444444444</v>
      </c>
      <c r="AA30" s="39">
        <v>0.5444444444444444</v>
      </c>
      <c r="AB30" s="39">
        <v>0.49513888888888891</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c r="AF30" s="29"/>
      <c r="AG30" s="29"/>
      <c r="AH30" s="37"/>
      <c r="AK30"/>
      <c r="AL30"/>
      <c r="AM30"/>
      <c r="AN30"/>
    </row>
    <row r="31" spans="2:40" x14ac:dyDescent="0.25">
      <c r="B31" s="3">
        <v>2</v>
      </c>
      <c r="C31">
        <v>0</v>
      </c>
      <c r="D31">
        <v>7</v>
      </c>
      <c r="E31" s="29" t="s">
        <v>301</v>
      </c>
      <c r="F31" s="3">
        <v>141</v>
      </c>
      <c r="G31" s="3">
        <v>141</v>
      </c>
      <c r="H31" s="29" t="s">
        <v>44</v>
      </c>
      <c r="J31" s="7">
        <v>0.38958333333333334</v>
      </c>
      <c r="K31" s="7">
        <v>0.38958333333333334</v>
      </c>
      <c r="L31" s="3">
        <f t="shared" si="0"/>
        <v>0</v>
      </c>
      <c r="M31" s="3">
        <f t="shared" si="1"/>
        <v>1</v>
      </c>
      <c r="N31" s="29">
        <f>_xlfn.MAXIFS($G$7:G30,$E$7:E30,detalhe_carro1[[#This Row],[Nó]],$B$7:B30,detalhe_carro1[[#This Row],[Numero Voltas]],$L$7:L30,1)</f>
        <v>97</v>
      </c>
      <c r="O31" s="3">
        <f>IF(OR(detalhe_carro1[[#This Row],[Ultima Chegada]]=0,detalhe_carro1[[#This Row],[Chegada]]=0),"",detalhe_carro1[[#This Row],[Hora Inicio]]-detalhe_carro1[[#This Row],[Ultima Chegada]])</f>
        <v>44</v>
      </c>
      <c r="P31" s="3">
        <f>IF(detalhe_carro1[[#This Row],[Tipo]]="Visitar Nó",((detalhe_carro1[[#This Row],[Hora Fim]]-detalhe_carro1[[#This Row],[Hora Inicio]])/60*velocidade_nos),0)</f>
        <v>0</v>
      </c>
      <c r="Q31" s="29">
        <f>detalhe_carro1[[#This Row],[Kms Nós]]+detalhe_carro1[[#This Row],[kms]]</f>
        <v>0</v>
      </c>
      <c r="S31" s="20">
        <v>2</v>
      </c>
      <c r="T31" s="38">
        <v>2</v>
      </c>
      <c r="U31" s="38">
        <v>2</v>
      </c>
      <c r="V31" s="38" t="s">
        <v>228</v>
      </c>
      <c r="W31" s="30">
        <v>365</v>
      </c>
      <c r="X31" s="30">
        <v>365</v>
      </c>
      <c r="Y31" s="30">
        <v>288</v>
      </c>
      <c r="Z31" s="39">
        <v>0.54513888888888884</v>
      </c>
      <c r="AA31" s="39">
        <v>0.54513888888888884</v>
      </c>
      <c r="AB31" s="39">
        <v>0.49166666666666664</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c r="AF31" s="29"/>
      <c r="AG31" s="29"/>
      <c r="AH31" s="37"/>
      <c r="AK31"/>
      <c r="AL31"/>
      <c r="AM31"/>
      <c r="AN31"/>
    </row>
    <row r="32" spans="2:40" x14ac:dyDescent="0.25">
      <c r="B32" s="3">
        <v>2</v>
      </c>
      <c r="C32">
        <v>0</v>
      </c>
      <c r="D32">
        <v>7</v>
      </c>
      <c r="E32" s="29" t="s">
        <v>301</v>
      </c>
      <c r="F32" s="3">
        <v>141</v>
      </c>
      <c r="G32" s="3">
        <v>151</v>
      </c>
      <c r="H32" s="29" t="s">
        <v>43</v>
      </c>
      <c r="J32" s="7">
        <v>0.38958333333333334</v>
      </c>
      <c r="K32" s="7">
        <v>0.39652777777777776</v>
      </c>
      <c r="L32" s="3">
        <f t="shared" si="0"/>
        <v>1</v>
      </c>
      <c r="M32" s="3">
        <f t="shared" si="1"/>
        <v>0</v>
      </c>
      <c r="N32" s="29">
        <f>_xlfn.MAXIFS($G$7:G31,$E$7:E31,detalhe_carro1[[#This Row],[Nó]],$B$7:B31,detalhe_carro1[[#This Row],[Numero Voltas]],$L$7:L31,1)</f>
        <v>97</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5</v>
      </c>
      <c r="Q32" s="29">
        <f>detalhe_carro1[[#This Row],[Kms Nós]]+detalhe_carro1[[#This Row],[kms]]</f>
        <v>5</v>
      </c>
      <c r="S32" s="20">
        <v>2</v>
      </c>
      <c r="T32" s="38">
        <v>2</v>
      </c>
      <c r="U32" s="38">
        <v>3</v>
      </c>
      <c r="V32" s="38" t="s">
        <v>208</v>
      </c>
      <c r="W32" s="30">
        <v>368</v>
      </c>
      <c r="X32" s="30">
        <v>381</v>
      </c>
      <c r="Y32" s="30">
        <v>267</v>
      </c>
      <c r="Z32" s="39">
        <v>0.54722222222222228</v>
      </c>
      <c r="AA32" s="39">
        <v>0.55625000000000002</v>
      </c>
      <c r="AB32" s="39">
        <v>0.47708333333333336</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c r="AF32" s="29"/>
      <c r="AG32" s="29"/>
      <c r="AH32" s="37"/>
      <c r="AK32"/>
      <c r="AL32"/>
      <c r="AM32"/>
      <c r="AN32"/>
    </row>
    <row r="33" spans="2:40" x14ac:dyDescent="0.25">
      <c r="B33" s="3">
        <v>2</v>
      </c>
      <c r="C33">
        <v>0</v>
      </c>
      <c r="D33">
        <v>6</v>
      </c>
      <c r="E33" s="29" t="s">
        <v>300</v>
      </c>
      <c r="F33" s="3">
        <v>154</v>
      </c>
      <c r="G33" s="3">
        <v>154</v>
      </c>
      <c r="H33" s="29" t="s">
        <v>44</v>
      </c>
      <c r="J33" s="7">
        <v>0.39861111111111114</v>
      </c>
      <c r="K33" s="7">
        <v>0.39861111111111114</v>
      </c>
      <c r="L33" s="3">
        <f t="shared" si="0"/>
        <v>1</v>
      </c>
      <c r="M33" s="3">
        <f t="shared" si="1"/>
        <v>1</v>
      </c>
      <c r="N33" s="29">
        <f>_xlfn.MAXIFS($G$7:G32,$E$7:E32,detalhe_carro1[[#This Row],[Nó]],$B$7:B32,detalhe_carro1[[#This Row],[Numero Voltas]],$L$7:L32,1)</f>
        <v>94</v>
      </c>
      <c r="O33" s="3">
        <f>IF(OR(detalhe_carro1[[#This Row],[Ultima Chegada]]=0,detalhe_carro1[[#This Row],[Chegada]]=0),"",detalhe_carro1[[#This Row],[Hora Inicio]]-detalhe_carro1[[#This Row],[Ultima Chegada]])</f>
        <v>60</v>
      </c>
      <c r="P33" s="3">
        <f>IF(detalhe_carro1[[#This Row],[Tipo]]="Visitar Nó",((detalhe_carro1[[#This Row],[Hora Fim]]-detalhe_carro1[[#This Row],[Hora Inicio]])/60*velocidade_nos),0)</f>
        <v>0</v>
      </c>
      <c r="Q33" s="29">
        <f>detalhe_carro1[[#This Row],[Kms Nós]]+detalhe_carro1[[#This Row],[kms]]</f>
        <v>0</v>
      </c>
      <c r="S33" s="20">
        <v>2</v>
      </c>
      <c r="T33" s="38">
        <v>2</v>
      </c>
      <c r="U33" s="38">
        <v>4</v>
      </c>
      <c r="V33" s="38" t="s">
        <v>2</v>
      </c>
      <c r="W33" s="30">
        <v>386</v>
      </c>
      <c r="X33" s="30">
        <v>386</v>
      </c>
      <c r="Y33" s="30">
        <v>189</v>
      </c>
      <c r="Z33" s="39">
        <v>0.55972222222222223</v>
      </c>
      <c r="AA33" s="39">
        <v>0.55972222222222223</v>
      </c>
      <c r="AB33" s="39">
        <v>0.42291666666666666</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3.2833333333333332</v>
      </c>
      <c r="AF33" s="29"/>
      <c r="AG33" s="29"/>
      <c r="AH33" s="37"/>
      <c r="AK33"/>
      <c r="AL33"/>
      <c r="AM33"/>
      <c r="AN33"/>
    </row>
    <row r="34" spans="2:40" x14ac:dyDescent="0.25">
      <c r="B34" s="3">
        <v>2</v>
      </c>
      <c r="C34">
        <v>0</v>
      </c>
      <c r="D34">
        <v>5</v>
      </c>
      <c r="E34" s="29" t="s">
        <v>215</v>
      </c>
      <c r="F34" s="3">
        <v>158</v>
      </c>
      <c r="G34" s="3">
        <v>158</v>
      </c>
      <c r="H34" s="29" t="s">
        <v>44</v>
      </c>
      <c r="J34" s="7">
        <v>0.40138888888888891</v>
      </c>
      <c r="K34" s="7">
        <v>0.40138888888888891</v>
      </c>
      <c r="L34" s="3">
        <f t="shared" si="0"/>
        <v>1</v>
      </c>
      <c r="M34" s="3">
        <f t="shared" si="1"/>
        <v>1</v>
      </c>
      <c r="N34" s="29">
        <f>_xlfn.MAXIFS($G$7:G33,$E$7:E33,detalhe_carro1[[#This Row],[Nó]],$B$7:B33,detalhe_carro1[[#This Row],[Numero Voltas]],$L$7:L33,1)</f>
        <v>90</v>
      </c>
      <c r="O34" s="3">
        <f>IF(OR(detalhe_carro1[[#This Row],[Ultima Chegada]]=0,detalhe_carro1[[#This Row],[Chegada]]=0),"",detalhe_carro1[[#This Row],[Hora Inicio]]-detalhe_carro1[[#This Row],[Ultima Chegada]])</f>
        <v>68</v>
      </c>
      <c r="P34" s="3">
        <f>IF(detalhe_carro1[[#This Row],[Tipo]]="Visitar Nó",((detalhe_carro1[[#This Row],[Hora Fim]]-detalhe_carro1[[#This Row],[Hora Inicio]])/60*velocidade_nos),0)</f>
        <v>0</v>
      </c>
      <c r="Q34" s="29">
        <f>detalhe_carro1[[#This Row],[Kms Nós]]+detalhe_carro1[[#This Row],[kms]]</f>
        <v>0</v>
      </c>
      <c r="S34" s="20">
        <v>2</v>
      </c>
      <c r="T34" s="38">
        <v>2</v>
      </c>
      <c r="U34" s="38">
        <v>5</v>
      </c>
      <c r="V34" s="38" t="s">
        <v>215</v>
      </c>
      <c r="W34" s="30">
        <v>389</v>
      </c>
      <c r="X34" s="30">
        <v>389</v>
      </c>
      <c r="Y34" s="30">
        <v>158</v>
      </c>
      <c r="Z34" s="39">
        <v>0.56180555555555556</v>
      </c>
      <c r="AA34" s="39">
        <v>0.56180555555555556</v>
      </c>
      <c r="AB34" s="39">
        <v>0.40138888888888891</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3.85</v>
      </c>
      <c r="AF34" s="29"/>
      <c r="AG34" s="29"/>
      <c r="AH34" s="37"/>
      <c r="AK34"/>
      <c r="AL34"/>
      <c r="AM34"/>
      <c r="AN34"/>
    </row>
    <row r="35" spans="2:40" x14ac:dyDescent="0.25">
      <c r="B35" s="3">
        <v>2</v>
      </c>
      <c r="C35">
        <v>0</v>
      </c>
      <c r="D35">
        <v>4</v>
      </c>
      <c r="E35" s="29" t="s">
        <v>2</v>
      </c>
      <c r="F35" s="3">
        <v>161</v>
      </c>
      <c r="G35" s="3">
        <v>161</v>
      </c>
      <c r="H35" s="29" t="s">
        <v>44</v>
      </c>
      <c r="J35" s="7">
        <v>0.40347222222222223</v>
      </c>
      <c r="K35" s="7">
        <v>0.40347222222222223</v>
      </c>
      <c r="L35" s="3">
        <f t="shared" si="0"/>
        <v>0</v>
      </c>
      <c r="M35" s="3">
        <f t="shared" si="1"/>
        <v>1</v>
      </c>
      <c r="N35" s="29">
        <f>_xlfn.MAXIFS($G$7:G34,$E$7:E34,detalhe_carro1[[#This Row],[Nó]],$B$7:B34,detalhe_carro1[[#This Row],[Numero Voltas]],$L$7:L34,1)</f>
        <v>87</v>
      </c>
      <c r="O35" s="3">
        <f>IF(OR(detalhe_carro1[[#This Row],[Ultima Chegada]]=0,detalhe_carro1[[#This Row],[Chegada]]=0),"",detalhe_carro1[[#This Row],[Hora Inicio]]-detalhe_carro1[[#This Row],[Ultima Chegada]])</f>
        <v>74</v>
      </c>
      <c r="P35" s="3">
        <f>IF(detalhe_carro1[[#This Row],[Tipo]]="Visitar Nó",((detalhe_carro1[[#This Row],[Hora Fim]]-detalhe_carro1[[#This Row],[Hora Inicio]])/60*velocidade_nos),0)</f>
        <v>0</v>
      </c>
      <c r="Q35" s="29">
        <f>detalhe_carro1[[#This Row],[Kms Nós]]+detalhe_carro1[[#This Row],[kms]]</f>
        <v>0</v>
      </c>
      <c r="S35" s="20">
        <v>2</v>
      </c>
      <c r="T35" s="38">
        <v>2</v>
      </c>
      <c r="U35" s="38">
        <v>6</v>
      </c>
      <c r="V35" s="38" t="s">
        <v>300</v>
      </c>
      <c r="W35" s="30">
        <v>393</v>
      </c>
      <c r="X35" s="30">
        <v>393</v>
      </c>
      <c r="Y35" s="30">
        <v>154</v>
      </c>
      <c r="Z35" s="39">
        <v>0.56458333333333333</v>
      </c>
      <c r="AA35" s="39">
        <v>0.56458333333333333</v>
      </c>
      <c r="AB35" s="39">
        <v>0.39861111111111114</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3.9833333333333334</v>
      </c>
      <c r="AF35" s="29"/>
      <c r="AG35" s="29"/>
      <c r="AH35" s="37"/>
      <c r="AK35"/>
      <c r="AL35"/>
      <c r="AM35"/>
      <c r="AN35"/>
    </row>
    <row r="36" spans="2:40" x14ac:dyDescent="0.25">
      <c r="B36" s="3">
        <v>2</v>
      </c>
      <c r="C36">
        <v>0</v>
      </c>
      <c r="D36">
        <v>4</v>
      </c>
      <c r="E36" s="29" t="s">
        <v>2</v>
      </c>
      <c r="F36" s="3">
        <v>161</v>
      </c>
      <c r="G36" s="3">
        <v>176</v>
      </c>
      <c r="H36" s="29" t="s">
        <v>47</v>
      </c>
      <c r="J36" s="7">
        <v>0.40347222222222223</v>
      </c>
      <c r="K36" s="7">
        <v>0.41388888888888886</v>
      </c>
      <c r="L36" s="3">
        <f t="shared" si="0"/>
        <v>0</v>
      </c>
      <c r="M36" s="3">
        <f t="shared" si="1"/>
        <v>0</v>
      </c>
      <c r="N36" s="29">
        <f>_xlfn.MAXIFS($G$7:G35,$E$7:E35,detalhe_carro1[[#This Row],[Nó]],$B$7:B35,detalhe_carro1[[#This Row],[Numero Voltas]],$L$7:L35,1)</f>
        <v>87</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0</v>
      </c>
      <c r="Q36" s="29">
        <f>detalhe_carro1[[#This Row],[Kms Nós]]+detalhe_carro1[[#This Row],[kms]]</f>
        <v>0</v>
      </c>
      <c r="S36" s="20">
        <v>2</v>
      </c>
      <c r="T36" s="38">
        <v>2</v>
      </c>
      <c r="U36" s="38">
        <v>7</v>
      </c>
      <c r="V36" s="38" t="s">
        <v>301</v>
      </c>
      <c r="W36" s="30">
        <v>396</v>
      </c>
      <c r="X36" s="30">
        <v>406</v>
      </c>
      <c r="Y36" s="30">
        <v>151</v>
      </c>
      <c r="Z36" s="39">
        <v>0.56666666666666665</v>
      </c>
      <c r="AA36" s="39">
        <v>0.57361111111111107</v>
      </c>
      <c r="AB36" s="39">
        <v>0.39652777777777776</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4.083333333333333</v>
      </c>
      <c r="AF36" s="29"/>
      <c r="AG36" s="29"/>
      <c r="AH36" s="37"/>
      <c r="AK36"/>
      <c r="AL36"/>
      <c r="AM36"/>
      <c r="AN36"/>
    </row>
    <row r="37" spans="2:40" x14ac:dyDescent="0.25">
      <c r="B37" s="3">
        <v>2</v>
      </c>
      <c r="C37">
        <v>0</v>
      </c>
      <c r="D37">
        <v>4</v>
      </c>
      <c r="E37" s="29" t="s">
        <v>2</v>
      </c>
      <c r="F37" s="3">
        <v>176</v>
      </c>
      <c r="G37" s="3">
        <v>189</v>
      </c>
      <c r="H37" s="29" t="s">
        <v>43</v>
      </c>
      <c r="J37" s="7">
        <v>0.41388888888888886</v>
      </c>
      <c r="K37" s="7">
        <v>0.42291666666666666</v>
      </c>
      <c r="L37" s="3">
        <f t="shared" si="0"/>
        <v>1</v>
      </c>
      <c r="M37" s="3">
        <f t="shared" si="1"/>
        <v>0</v>
      </c>
      <c r="N37" s="29">
        <f>_xlfn.MAXIFS($G$7:G36,$E$7:E36,detalhe_carro1[[#This Row],[Nó]],$B$7:B36,detalhe_carro1[[#This Row],[Numero Voltas]],$L$7:L36,1)</f>
        <v>87</v>
      </c>
      <c r="O37" s="3" t="str">
        <f>IF(OR(detalhe_carro1[[#This Row],[Ultima Chegada]]=0,detalhe_carro1[[#This Row],[Chegada]]=0),"",detalhe_carro1[[#This Row],[Hora Inicio]]-detalhe_carro1[[#This Row],[Ultima Chegada]])</f>
        <v/>
      </c>
      <c r="P37" s="3">
        <f>IF(detalhe_carro1[[#This Row],[Tipo]]="Visitar Nó",((detalhe_carro1[[#This Row],[Hora Fim]]-detalhe_carro1[[#This Row],[Hora Inicio]])/60*velocidade_nos),0)</f>
        <v>6.5</v>
      </c>
      <c r="Q37" s="29">
        <f>detalhe_carro1[[#This Row],[Kms Nós]]+detalhe_carro1[[#This Row],[kms]]</f>
        <v>6.5</v>
      </c>
      <c r="S37" s="20">
        <v>2</v>
      </c>
      <c r="T37" s="38">
        <v>2</v>
      </c>
      <c r="U37" s="38">
        <v>8</v>
      </c>
      <c r="V37" s="38" t="s">
        <v>302</v>
      </c>
      <c r="W37" s="30">
        <v>412</v>
      </c>
      <c r="X37" s="30">
        <v>422</v>
      </c>
      <c r="Y37" s="30">
        <v>135</v>
      </c>
      <c r="Z37" s="39">
        <v>0.57777777777777772</v>
      </c>
      <c r="AA37" s="39">
        <v>0.58472222222222225</v>
      </c>
      <c r="AB37" s="39">
        <v>0.38541666666666669</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4.6166666666666663</v>
      </c>
      <c r="AF37" s="29"/>
      <c r="AG37" s="29"/>
      <c r="AH37" s="37"/>
      <c r="AK37"/>
      <c r="AL37"/>
      <c r="AM37"/>
      <c r="AN37"/>
    </row>
    <row r="38" spans="2:40" x14ac:dyDescent="0.25">
      <c r="B38" s="3">
        <v>2</v>
      </c>
      <c r="C38">
        <v>0</v>
      </c>
      <c r="D38">
        <v>3</v>
      </c>
      <c r="E38" s="29" t="s">
        <v>208</v>
      </c>
      <c r="F38" s="3">
        <v>194</v>
      </c>
      <c r="G38" s="3">
        <v>194</v>
      </c>
      <c r="H38" s="29" t="s">
        <v>44</v>
      </c>
      <c r="J38" s="7">
        <v>0.42638888888888887</v>
      </c>
      <c r="K38" s="7">
        <v>0.42638888888888887</v>
      </c>
      <c r="L38" s="3">
        <f t="shared" si="0"/>
        <v>0</v>
      </c>
      <c r="M38" s="3">
        <f t="shared" si="1"/>
        <v>1</v>
      </c>
      <c r="N38" s="29">
        <f>_xlfn.MAXIFS($G$7:G37,$E$7:E37,detalhe_carro1[[#This Row],[Nó]],$B$7:B37,detalhe_carro1[[#This Row],[Numero Voltas]],$L$7:L37,1)</f>
        <v>69</v>
      </c>
      <c r="O38" s="3">
        <f>IF(OR(detalhe_carro1[[#This Row],[Ultima Chegada]]=0,detalhe_carro1[[#This Row],[Chegada]]=0),"",detalhe_carro1[[#This Row],[Hora Inicio]]-detalhe_carro1[[#This Row],[Ultima Chegada]])</f>
        <v>125</v>
      </c>
      <c r="P38" s="3">
        <f>IF(detalhe_carro1[[#This Row],[Tipo]]="Visitar Nó",((detalhe_carro1[[#This Row],[Hora Fim]]-detalhe_carro1[[#This Row],[Hora Inicio]])/60*velocidade_nos),0)</f>
        <v>0</v>
      </c>
      <c r="Q38" s="29">
        <f>detalhe_carro1[[#This Row],[Kms Nós]]+detalhe_carro1[[#This Row],[kms]]</f>
        <v>0</v>
      </c>
      <c r="S38" s="20">
        <v>2</v>
      </c>
      <c r="T38" s="38">
        <v>2</v>
      </c>
      <c r="U38" s="38">
        <v>9</v>
      </c>
      <c r="V38" s="38" t="s">
        <v>303</v>
      </c>
      <c r="W38" s="30">
        <v>428</v>
      </c>
      <c r="X38" s="30">
        <v>428</v>
      </c>
      <c r="Y38" s="30">
        <v>119</v>
      </c>
      <c r="Z38" s="39">
        <v>0.58888888888888891</v>
      </c>
      <c r="AA38" s="39">
        <v>0.58888888888888891</v>
      </c>
      <c r="AB38" s="39">
        <v>0.37430555555555556</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5.15</v>
      </c>
      <c r="AK38"/>
      <c r="AL38"/>
      <c r="AM38"/>
      <c r="AN38"/>
    </row>
    <row r="39" spans="2:40" x14ac:dyDescent="0.25">
      <c r="B39" s="3">
        <v>2</v>
      </c>
      <c r="C39">
        <v>0</v>
      </c>
      <c r="D39">
        <v>3</v>
      </c>
      <c r="E39" s="29" t="s">
        <v>208</v>
      </c>
      <c r="F39" s="3">
        <v>194</v>
      </c>
      <c r="G39" s="3">
        <v>254</v>
      </c>
      <c r="H39" s="29" t="s">
        <v>47</v>
      </c>
      <c r="J39" s="7">
        <v>0.42638888888888887</v>
      </c>
      <c r="K39" s="7">
        <v>0.46805555555555556</v>
      </c>
      <c r="L39" s="3">
        <f t="shared" si="0"/>
        <v>0</v>
      </c>
      <c r="M39" s="3">
        <f t="shared" si="1"/>
        <v>0</v>
      </c>
      <c r="N39" s="29">
        <f>_xlfn.MAXIFS($G$7:G38,$E$7:E38,detalhe_carro1[[#This Row],[Nó]],$B$7:B38,detalhe_carro1[[#This Row],[Numero Voltas]],$L$7:L38,1)</f>
        <v>69</v>
      </c>
      <c r="O39" s="3" t="str">
        <f>IF(OR(detalhe_carro1[[#This Row],[Ultima Chegada]]=0,detalhe_carro1[[#This Row],[Chegada]]=0),"",detalhe_carro1[[#This Row],[Hora Inicio]]-detalhe_carro1[[#This Row],[Ultima Chegada]])</f>
        <v/>
      </c>
      <c r="P39" s="3">
        <f>IF(detalhe_carro1[[#This Row],[Tipo]]="Visitar Nó",((detalhe_carro1[[#This Row],[Hora Fim]]-detalhe_carro1[[#This Row],[Hora Inicio]])/60*velocidade_nos),0)</f>
        <v>0</v>
      </c>
      <c r="Q39" s="29">
        <f>detalhe_carro1[[#This Row],[Kms Nós]]+detalhe_carro1[[#This Row],[kms]]</f>
        <v>0</v>
      </c>
      <c r="S39" s="20">
        <v>2</v>
      </c>
      <c r="T39" s="38">
        <v>2</v>
      </c>
      <c r="U39" s="38">
        <v>8</v>
      </c>
      <c r="V39" s="38" t="s">
        <v>302</v>
      </c>
      <c r="W39" s="30">
        <v>434</v>
      </c>
      <c r="X39" s="30">
        <v>434</v>
      </c>
      <c r="Y39" s="30">
        <v>422</v>
      </c>
      <c r="Z39" s="39">
        <v>0.59305555555555556</v>
      </c>
      <c r="AA39" s="39">
        <v>0.59305555555555556</v>
      </c>
      <c r="AB39" s="39">
        <v>0.58472222222222225</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c r="AK39"/>
      <c r="AL39"/>
      <c r="AM39"/>
      <c r="AN39"/>
    </row>
    <row r="40" spans="2:40" x14ac:dyDescent="0.25">
      <c r="B40" s="3">
        <v>2</v>
      </c>
      <c r="C40">
        <v>0</v>
      </c>
      <c r="D40">
        <v>3</v>
      </c>
      <c r="E40" s="29" t="s">
        <v>208</v>
      </c>
      <c r="F40" s="3">
        <v>254</v>
      </c>
      <c r="G40" s="3">
        <v>267</v>
      </c>
      <c r="H40" s="29" t="s">
        <v>43</v>
      </c>
      <c r="J40" s="7">
        <v>0.46805555555555556</v>
      </c>
      <c r="K40" s="7">
        <v>0.47708333333333336</v>
      </c>
      <c r="L40" s="3">
        <f t="shared" si="0"/>
        <v>1</v>
      </c>
      <c r="M40" s="3">
        <f t="shared" si="1"/>
        <v>0</v>
      </c>
      <c r="N40" s="29">
        <f>_xlfn.MAXIFS($G$7:G39,$E$7:E39,detalhe_carro1[[#This Row],[Nó]],$B$7:B39,detalhe_carro1[[#This Row],[Numero Voltas]],$L$7:L39,1)</f>
        <v>69</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6.5</v>
      </c>
      <c r="Q40" s="29">
        <f>detalhe_carro1[[#This Row],[Kms Nós]]+detalhe_carro1[[#This Row],[kms]]</f>
        <v>6.5</v>
      </c>
      <c r="S40" s="20">
        <v>2</v>
      </c>
      <c r="T40" s="38">
        <v>2</v>
      </c>
      <c r="U40" s="38">
        <v>7</v>
      </c>
      <c r="V40" s="38" t="s">
        <v>301</v>
      </c>
      <c r="W40" s="30">
        <v>440</v>
      </c>
      <c r="X40" s="30">
        <v>440</v>
      </c>
      <c r="Y40" s="30">
        <v>406</v>
      </c>
      <c r="Z40" s="39">
        <v>0.59722222222222221</v>
      </c>
      <c r="AA40" s="39">
        <v>0.59722222222222221</v>
      </c>
      <c r="AB40" s="39">
        <v>0.57361111111111107</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c r="AK40"/>
      <c r="AL40"/>
      <c r="AM40"/>
      <c r="AN40"/>
    </row>
    <row r="41" spans="2:40" x14ac:dyDescent="0.25">
      <c r="B41" s="3">
        <v>2</v>
      </c>
      <c r="C41">
        <v>0</v>
      </c>
      <c r="D41">
        <v>2</v>
      </c>
      <c r="E41" s="29" t="s">
        <v>228</v>
      </c>
      <c r="F41" s="3">
        <v>270</v>
      </c>
      <c r="G41" s="3">
        <v>270</v>
      </c>
      <c r="H41" s="29" t="s">
        <v>44</v>
      </c>
      <c r="J41" s="7">
        <v>0.47916666666666669</v>
      </c>
      <c r="K41" s="7">
        <v>0.47916666666666669</v>
      </c>
      <c r="L41" s="3">
        <f t="shared" si="0"/>
        <v>0</v>
      </c>
      <c r="M41" s="3">
        <f t="shared" si="1"/>
        <v>1</v>
      </c>
      <c r="N41" s="29">
        <f>_xlfn.MAXIFS($G$7:G40,$E$7:E40,detalhe_carro1[[#This Row],[Nó]],$B$7:B40,detalhe_carro1[[#This Row],[Numero Voltas]],$L$7:L40,1)</f>
        <v>66</v>
      </c>
      <c r="O41" s="3">
        <f>IF(OR(detalhe_carro1[[#This Row],[Ultima Chegada]]=0,detalhe_carro1[[#This Row],[Chegada]]=0),"",detalhe_carro1[[#This Row],[Hora Inicio]]-detalhe_carro1[[#This Row],[Ultima Chegada]])</f>
        <v>204</v>
      </c>
      <c r="P41" s="3">
        <f>IF(detalhe_carro1[[#This Row],[Tipo]]="Visitar Nó",((detalhe_carro1[[#This Row],[Hora Fim]]-detalhe_carro1[[#This Row],[Hora Inicio]])/60*velocidade_nos),0)</f>
        <v>0</v>
      </c>
      <c r="Q41" s="29">
        <f>detalhe_carro1[[#This Row],[Kms Nós]]+detalhe_carro1[[#This Row],[kms]]</f>
        <v>0</v>
      </c>
      <c r="S41" s="20">
        <v>2</v>
      </c>
      <c r="T41" s="38">
        <v>2</v>
      </c>
      <c r="U41" s="38">
        <v>6</v>
      </c>
      <c r="V41" s="38" t="s">
        <v>300</v>
      </c>
      <c r="W41" s="30">
        <v>443</v>
      </c>
      <c r="X41" s="30">
        <v>443</v>
      </c>
      <c r="Y41" s="30">
        <v>393</v>
      </c>
      <c r="Z41" s="39">
        <v>0.59930555555555554</v>
      </c>
      <c r="AA41" s="39">
        <v>0.59930555555555554</v>
      </c>
      <c r="AB41" s="39">
        <v>0.56458333333333333</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0.83333333333333337</v>
      </c>
      <c r="AK41"/>
      <c r="AL41"/>
      <c r="AM41"/>
      <c r="AN41"/>
    </row>
    <row r="42" spans="2:40" x14ac:dyDescent="0.25">
      <c r="B42" s="3">
        <v>2</v>
      </c>
      <c r="C42">
        <v>0</v>
      </c>
      <c r="D42">
        <v>2</v>
      </c>
      <c r="E42" s="29" t="s">
        <v>228</v>
      </c>
      <c r="F42" s="3">
        <v>270</v>
      </c>
      <c r="G42" s="3">
        <v>288</v>
      </c>
      <c r="H42" s="29" t="s">
        <v>43</v>
      </c>
      <c r="J42" s="7">
        <v>0.47916666666666669</v>
      </c>
      <c r="K42" s="7">
        <v>0.49166666666666664</v>
      </c>
      <c r="L42" s="3">
        <f t="shared" si="0"/>
        <v>1</v>
      </c>
      <c r="M42" s="3">
        <f t="shared" si="1"/>
        <v>0</v>
      </c>
      <c r="N42" s="29">
        <f>_xlfn.MAXIFS($G$7:G41,$E$7:E41,detalhe_carro1[[#This Row],[Nó]],$B$7:B41,detalhe_carro1[[#This Row],[Numero Voltas]],$L$7:L41,1)</f>
        <v>66</v>
      </c>
      <c r="O42" s="3" t="str">
        <f>IF(OR(detalhe_carro1[[#This Row],[Ultima Chegada]]=0,detalhe_carro1[[#This Row],[Chegada]]=0),"",detalhe_carro1[[#This Row],[Hora Inicio]]-detalhe_carro1[[#This Row],[Ultima Chegada]])</f>
        <v/>
      </c>
      <c r="P42" s="3">
        <f>IF(detalhe_carro1[[#This Row],[Tipo]]="Visitar Nó",((detalhe_carro1[[#This Row],[Hora Fim]]-detalhe_carro1[[#This Row],[Hora Inicio]])/60*velocidade_nos),0)</f>
        <v>9</v>
      </c>
      <c r="Q42" s="29">
        <f>detalhe_carro1[[#This Row],[Kms Nós]]+detalhe_carro1[[#This Row],[kms]]</f>
        <v>9</v>
      </c>
      <c r="S42" s="20">
        <v>2</v>
      </c>
      <c r="T42" s="38">
        <v>2</v>
      </c>
      <c r="U42" s="38">
        <v>5</v>
      </c>
      <c r="V42" s="38" t="s">
        <v>215</v>
      </c>
      <c r="W42" s="30">
        <v>447</v>
      </c>
      <c r="X42" s="30">
        <v>447</v>
      </c>
      <c r="Y42" s="30">
        <v>389</v>
      </c>
      <c r="Z42" s="39">
        <v>0.6020833333333333</v>
      </c>
      <c r="AA42" s="39">
        <v>0.6020833333333333</v>
      </c>
      <c r="AB42" s="39">
        <v>0.56180555555555556</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c r="AK42"/>
      <c r="AL42"/>
      <c r="AM42"/>
      <c r="AN42"/>
    </row>
    <row r="43" spans="2:40" x14ac:dyDescent="0.25">
      <c r="B43" s="3">
        <v>2</v>
      </c>
      <c r="C43">
        <v>0</v>
      </c>
      <c r="D43">
        <v>1</v>
      </c>
      <c r="E43" s="29" t="s">
        <v>200</v>
      </c>
      <c r="F43" s="3">
        <v>289</v>
      </c>
      <c r="G43" s="3">
        <v>289</v>
      </c>
      <c r="H43" s="29" t="s">
        <v>44</v>
      </c>
      <c r="J43" s="7">
        <v>0.49236111111111114</v>
      </c>
      <c r="K43" s="7">
        <v>0.49236111111111114</v>
      </c>
      <c r="L43" s="3">
        <f t="shared" si="0"/>
        <v>0</v>
      </c>
      <c r="M43" s="3">
        <f t="shared" si="1"/>
        <v>1</v>
      </c>
      <c r="N43" s="29">
        <f>_xlfn.MAXIFS($G$7:G42,$E$7:E42,detalhe_carro1[[#This Row],[Nó]],$B$7:B42,detalhe_carro1[[#This Row],[Numero Voltas]],$L$7:L42,1)</f>
        <v>47</v>
      </c>
      <c r="O43" s="3">
        <f>IF(OR(detalhe_carro1[[#This Row],[Ultima Chegada]]=0,detalhe_carro1[[#This Row],[Chegada]]=0),"",detalhe_carro1[[#This Row],[Hora Inicio]]-detalhe_carro1[[#This Row],[Ultima Chegada]])</f>
        <v>242</v>
      </c>
      <c r="P43" s="3">
        <f>IF(detalhe_carro1[[#This Row],[Tipo]]="Visitar Nó",((detalhe_carro1[[#This Row],[Hora Fim]]-detalhe_carro1[[#This Row],[Hora Inicio]])/60*velocidade_nos),0)</f>
        <v>0</v>
      </c>
      <c r="Q43" s="29">
        <f>detalhe_carro1[[#This Row],[Kms Nós]]+detalhe_carro1[[#This Row],[kms]]</f>
        <v>0</v>
      </c>
      <c r="S43" s="20">
        <v>2</v>
      </c>
      <c r="T43" s="38">
        <v>2</v>
      </c>
      <c r="U43" s="38">
        <v>4</v>
      </c>
      <c r="V43" s="38" t="s">
        <v>2</v>
      </c>
      <c r="W43" s="30">
        <v>450</v>
      </c>
      <c r="X43" s="30">
        <v>480</v>
      </c>
      <c r="Y43" s="30">
        <v>386</v>
      </c>
      <c r="Z43" s="39">
        <v>0.60416666666666663</v>
      </c>
      <c r="AA43" s="39">
        <v>0.625</v>
      </c>
      <c r="AB43" s="39">
        <v>0.55972222222222223</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K43"/>
      <c r="AL43"/>
      <c r="AM43"/>
      <c r="AN43"/>
    </row>
    <row r="44" spans="2:40" x14ac:dyDescent="0.25">
      <c r="B44" s="3">
        <v>2</v>
      </c>
      <c r="C44">
        <v>0</v>
      </c>
      <c r="D44">
        <v>1</v>
      </c>
      <c r="E44" s="29" t="s">
        <v>200</v>
      </c>
      <c r="F44" s="3">
        <v>289</v>
      </c>
      <c r="G44" s="3">
        <v>293</v>
      </c>
      <c r="H44" s="29" t="s">
        <v>43</v>
      </c>
      <c r="J44" s="7">
        <v>0.49236111111111114</v>
      </c>
      <c r="K44" s="7">
        <v>0.49513888888888891</v>
      </c>
      <c r="L44" s="3">
        <f t="shared" si="0"/>
        <v>1</v>
      </c>
      <c r="M44" s="3">
        <f t="shared" si="1"/>
        <v>0</v>
      </c>
      <c r="N44" s="29">
        <f>_xlfn.MAXIFS($G$7:G43,$E$7:E43,detalhe_carro1[[#This Row],[Nó]],$B$7:B43,detalhe_carro1[[#This Row],[Numero Voltas]],$L$7:L43,1)</f>
        <v>47</v>
      </c>
      <c r="O44" s="3" t="str">
        <f>IF(OR(detalhe_carro1[[#This Row],[Ultima Chegada]]=0,detalhe_carro1[[#This Row],[Chegada]]=0),"",detalhe_carro1[[#This Row],[Hora Inicio]]-detalhe_carro1[[#This Row],[Ultima Chegada]])</f>
        <v/>
      </c>
      <c r="P44" s="3">
        <f>IF(detalhe_carro1[[#This Row],[Tipo]]="Visitar Nó",((detalhe_carro1[[#This Row],[Hora Fim]]-detalhe_carro1[[#This Row],[Hora Inicio]])/60*velocidade_nos),0)</f>
        <v>2</v>
      </c>
      <c r="Q44" s="29">
        <f>detalhe_carro1[[#This Row],[Kms Nós]]+detalhe_carro1[[#This Row],[kms]]</f>
        <v>2</v>
      </c>
      <c r="S44" s="20">
        <v>2</v>
      </c>
      <c r="T44" s="38">
        <v>2</v>
      </c>
      <c r="U44" s="38">
        <v>4</v>
      </c>
      <c r="V44" s="38" t="s">
        <v>2</v>
      </c>
      <c r="W44" s="30">
        <v>480</v>
      </c>
      <c r="X44" s="30">
        <v>495</v>
      </c>
      <c r="Y44" s="30">
        <v>480</v>
      </c>
      <c r="Z44" s="39">
        <v>0.625</v>
      </c>
      <c r="AA44" s="39">
        <v>0.63541666666666663</v>
      </c>
      <c r="AB44" s="39">
        <v>0.625</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44"/>
      <c r="AL44"/>
      <c r="AM44"/>
      <c r="AN44"/>
    </row>
    <row r="45" spans="2:40" x14ac:dyDescent="0.25">
      <c r="B45" s="3">
        <v>2</v>
      </c>
      <c r="C45">
        <v>0</v>
      </c>
      <c r="D45">
        <v>0</v>
      </c>
      <c r="E45" s="29" t="s">
        <v>203</v>
      </c>
      <c r="F45" s="3">
        <v>295</v>
      </c>
      <c r="G45" s="3">
        <v>295</v>
      </c>
      <c r="H45" s="29" t="s">
        <v>44</v>
      </c>
      <c r="J45" s="7">
        <v>0.49652777777777779</v>
      </c>
      <c r="K45" s="7">
        <v>0.49652777777777779</v>
      </c>
      <c r="L45" s="3">
        <f t="shared" si="0"/>
        <v>0</v>
      </c>
      <c r="M45" s="3">
        <f t="shared" si="1"/>
        <v>1</v>
      </c>
      <c r="N45" s="29">
        <f>_xlfn.MAXIFS($G$7:G44,$E$7:E44,detalhe_carro1[[#This Row],[Nó]],$B$7:B44,detalhe_carro1[[#This Row],[Numero Voltas]],$L$7:L44,1)</f>
        <v>41</v>
      </c>
      <c r="O45" s="3">
        <f>IF(OR(detalhe_carro1[[#This Row],[Ultima Chegada]]=0,detalhe_carro1[[#This Row],[Chegada]]=0),"",detalhe_carro1[[#This Row],[Hora Inicio]]-detalhe_carro1[[#This Row],[Ultima Chegada]])</f>
        <v>254</v>
      </c>
      <c r="P45" s="3">
        <f>IF(detalhe_carro1[[#This Row],[Tipo]]="Visitar Nó",((detalhe_carro1[[#This Row],[Hora Fim]]-detalhe_carro1[[#This Row],[Hora Inicio]])/60*velocidade_nos),0)</f>
        <v>0</v>
      </c>
      <c r="Q45" s="29">
        <f>detalhe_carro1[[#This Row],[Kms Nós]]+detalhe_carro1[[#This Row],[kms]]</f>
        <v>0</v>
      </c>
      <c r="S45" s="20">
        <v>2</v>
      </c>
      <c r="T45" s="38">
        <v>2</v>
      </c>
      <c r="U45" s="38">
        <v>3</v>
      </c>
      <c r="V45" s="38" t="s">
        <v>208</v>
      </c>
      <c r="W45" s="30">
        <v>500</v>
      </c>
      <c r="X45" s="30">
        <v>513</v>
      </c>
      <c r="Y45" s="30">
        <v>381</v>
      </c>
      <c r="Z45" s="39">
        <v>0.63888888888888884</v>
      </c>
      <c r="AA45" s="39">
        <v>0.6479166666666667</v>
      </c>
      <c r="AB45" s="39">
        <v>0.55625000000000002</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c r="AK45"/>
      <c r="AL45"/>
      <c r="AM45"/>
      <c r="AN45"/>
    </row>
    <row r="46" spans="2:40" x14ac:dyDescent="0.25">
      <c r="B46" s="3">
        <v>2</v>
      </c>
      <c r="C46">
        <v>0</v>
      </c>
      <c r="D46">
        <v>0</v>
      </c>
      <c r="E46" s="29" t="s">
        <v>203</v>
      </c>
      <c r="F46" s="3">
        <v>295</v>
      </c>
      <c r="G46" s="3">
        <v>324</v>
      </c>
      <c r="H46" s="29" t="s">
        <v>45</v>
      </c>
      <c r="J46" s="7">
        <v>0.49652777777777779</v>
      </c>
      <c r="K46" s="7">
        <v>0.51666666666666672</v>
      </c>
      <c r="L46" s="3">
        <f t="shared" si="0"/>
        <v>0</v>
      </c>
      <c r="M46" s="3">
        <f t="shared" si="1"/>
        <v>0</v>
      </c>
      <c r="N46" s="29">
        <f>_xlfn.MAXIFS($G$7:G45,$E$7:E45,detalhe_carro1[[#This Row],[Nó]],$B$7:B45,detalhe_carro1[[#This Row],[Numero Voltas]],$L$7:L45,1)</f>
        <v>41</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0</v>
      </c>
      <c r="Q46" s="29">
        <f>detalhe_carro1[[#This Row],[Kms Nós]]+detalhe_carro1[[#This Row],[kms]]</f>
        <v>0</v>
      </c>
      <c r="S46" s="20">
        <v>2</v>
      </c>
      <c r="T46" s="38">
        <v>2</v>
      </c>
      <c r="U46" s="38">
        <v>2</v>
      </c>
      <c r="V46" s="38" t="s">
        <v>228</v>
      </c>
      <c r="W46" s="30">
        <v>516</v>
      </c>
      <c r="X46" s="30">
        <v>516</v>
      </c>
      <c r="Y46" s="30">
        <v>365</v>
      </c>
      <c r="Z46" s="39">
        <v>0.65</v>
      </c>
      <c r="AA46" s="39">
        <v>0.65</v>
      </c>
      <c r="AB46" s="39">
        <v>0.54513888888888884</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2.5166666666666666</v>
      </c>
      <c r="AK46"/>
      <c r="AL46"/>
      <c r="AM46"/>
      <c r="AN46"/>
    </row>
    <row r="47" spans="2:40" x14ac:dyDescent="0.25">
      <c r="B47" s="3">
        <v>2</v>
      </c>
      <c r="C47">
        <v>0</v>
      </c>
      <c r="D47">
        <v>0</v>
      </c>
      <c r="E47" s="29" t="s">
        <v>203</v>
      </c>
      <c r="F47" s="3">
        <v>324</v>
      </c>
      <c r="G47" s="3">
        <v>354</v>
      </c>
      <c r="H47" s="29" t="s">
        <v>45</v>
      </c>
      <c r="J47" s="7">
        <v>0.51666666666666672</v>
      </c>
      <c r="K47" s="7">
        <v>0.53749999999999998</v>
      </c>
      <c r="L47" s="3">
        <f t="shared" si="0"/>
        <v>0</v>
      </c>
      <c r="M47" s="3">
        <f t="shared" si="1"/>
        <v>0</v>
      </c>
      <c r="N47" s="29">
        <f>_xlfn.MAXIFS($G$7:G46,$E$7:E46,detalhe_carro1[[#This Row],[Nó]],$B$7:B46,detalhe_carro1[[#This Row],[Numero Voltas]],$L$7:L46,1)</f>
        <v>41</v>
      </c>
      <c r="O47" s="3" t="str">
        <f>IF(OR(detalhe_carro1[[#This Row],[Ultima Chegada]]=0,detalhe_carro1[[#This Row],[Chegada]]=0),"",detalhe_carro1[[#This Row],[Hora Inicio]]-detalhe_carro1[[#This Row],[Ultima Chegada]])</f>
        <v/>
      </c>
      <c r="P47" s="3">
        <f>IF(detalhe_carro1[[#This Row],[Tipo]]="Visitar Nó",((detalhe_carro1[[#This Row],[Hora Fim]]-detalhe_carro1[[#This Row],[Hora Inicio]])/60*velocidade_nos),0)</f>
        <v>0</v>
      </c>
      <c r="Q47" s="29">
        <f>detalhe_carro1[[#This Row],[Kms Nós]]+detalhe_carro1[[#This Row],[kms]]</f>
        <v>0</v>
      </c>
      <c r="S47" s="20">
        <v>2</v>
      </c>
      <c r="T47" s="38">
        <v>2</v>
      </c>
      <c r="U47" s="38">
        <v>1</v>
      </c>
      <c r="V47" s="38" t="s">
        <v>200</v>
      </c>
      <c r="W47" s="30">
        <v>517</v>
      </c>
      <c r="X47" s="30">
        <v>517</v>
      </c>
      <c r="Y47" s="30">
        <v>364</v>
      </c>
      <c r="Z47" s="39">
        <v>0.65069444444444446</v>
      </c>
      <c r="AA47" s="39">
        <v>0.65069444444444446</v>
      </c>
      <c r="AB47" s="39">
        <v>0.5444444444444444</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2.5499999999999998</v>
      </c>
      <c r="AD47" s="30"/>
      <c r="AK47"/>
      <c r="AL47"/>
      <c r="AM47"/>
      <c r="AN47"/>
    </row>
    <row r="48" spans="2:40" x14ac:dyDescent="0.25">
      <c r="B48" s="3">
        <v>2</v>
      </c>
      <c r="C48">
        <v>0</v>
      </c>
      <c r="D48">
        <v>0</v>
      </c>
      <c r="E48" s="29" t="s">
        <v>203</v>
      </c>
      <c r="F48" s="3">
        <v>354</v>
      </c>
      <c r="G48" s="3">
        <v>354</v>
      </c>
      <c r="H48" s="29" t="s">
        <v>44</v>
      </c>
      <c r="J48" s="7">
        <v>0.53749999999999998</v>
      </c>
      <c r="K48" s="7">
        <v>0.53749999999999998</v>
      </c>
      <c r="L48" s="3">
        <f t="shared" si="0"/>
        <v>0</v>
      </c>
      <c r="M48" s="3">
        <f t="shared" si="1"/>
        <v>0</v>
      </c>
      <c r="N48" s="29">
        <f>_xlfn.MAXIFS($G$7:G47,$E$7:E47,detalhe_carro1[[#This Row],[Nó]],$B$7:B47,detalhe_carro1[[#This Row],[Numero Voltas]],$L$7:L47,1)</f>
        <v>41</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0</v>
      </c>
      <c r="Q48" s="29">
        <f>detalhe_carro1[[#This Row],[Kms Nós]]+detalhe_carro1[[#This Row],[kms]]</f>
        <v>0</v>
      </c>
      <c r="S48" s="20">
        <v>2</v>
      </c>
      <c r="T48" s="38">
        <v>2</v>
      </c>
      <c r="U48" s="38">
        <v>0</v>
      </c>
      <c r="V48" s="38" t="s">
        <v>203</v>
      </c>
      <c r="W48" s="30">
        <v>519</v>
      </c>
      <c r="X48" s="30">
        <v>549</v>
      </c>
      <c r="Y48" s="30">
        <v>362</v>
      </c>
      <c r="Z48" s="39">
        <v>0.65208333333333335</v>
      </c>
      <c r="AA48" s="39">
        <v>0.67291666666666672</v>
      </c>
      <c r="AB48" s="39">
        <v>0.54305555555555551</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2.6166666666666667</v>
      </c>
      <c r="AD48" s="30"/>
      <c r="AK48"/>
      <c r="AL48"/>
      <c r="AM48"/>
      <c r="AN48"/>
    </row>
    <row r="49" spans="2:40" x14ac:dyDescent="0.25">
      <c r="B49" s="3">
        <v>2</v>
      </c>
      <c r="C49">
        <v>0</v>
      </c>
      <c r="D49">
        <v>0</v>
      </c>
      <c r="E49" s="29" t="s">
        <v>203</v>
      </c>
      <c r="F49" s="3">
        <v>354</v>
      </c>
      <c r="G49" s="3">
        <v>362</v>
      </c>
      <c r="H49" s="29" t="s">
        <v>43</v>
      </c>
      <c r="J49" s="7">
        <v>0.53749999999999998</v>
      </c>
      <c r="K49" s="7">
        <v>0.54305555555555551</v>
      </c>
      <c r="L49" s="3">
        <f t="shared" si="0"/>
        <v>1</v>
      </c>
      <c r="M49" s="3">
        <f t="shared" si="1"/>
        <v>0</v>
      </c>
      <c r="N49" s="29">
        <f>_xlfn.MAXIFS($G$7:G48,$E$7:E48,detalhe_carro1[[#This Row],[Nó]],$B$7:B48,detalhe_carro1[[#This Row],[Numero Voltas]],$L$7:L48,1)</f>
        <v>41</v>
      </c>
      <c r="O49" s="3" t="str">
        <f>IF(OR(detalhe_carro1[[#This Row],[Ultima Chegada]]=0,detalhe_carro1[[#This Row],[Chegada]]=0),"",detalhe_carro1[[#This Row],[Hora Inicio]]-detalhe_carro1[[#This Row],[Ultima Chegada]])</f>
        <v/>
      </c>
      <c r="P49" s="3">
        <f>IF(detalhe_carro1[[#This Row],[Tipo]]="Visitar Nó",((detalhe_carro1[[#This Row],[Hora Fim]]-detalhe_carro1[[#This Row],[Hora Inicio]])/60*velocidade_nos),0)</f>
        <v>4</v>
      </c>
      <c r="Q49" s="29">
        <f>detalhe_carro1[[#This Row],[Kms Nós]]+detalhe_carro1[[#This Row],[kms]]</f>
        <v>4</v>
      </c>
      <c r="S49" s="20">
        <v>2</v>
      </c>
      <c r="T49" s="38">
        <v>2</v>
      </c>
      <c r="U49" s="38">
        <v>1</v>
      </c>
      <c r="V49" s="38" t="s">
        <v>200</v>
      </c>
      <c r="W49" s="30">
        <v>551</v>
      </c>
      <c r="X49" s="30">
        <v>555</v>
      </c>
      <c r="Y49" s="30">
        <v>517</v>
      </c>
      <c r="Z49" s="39">
        <v>0.6743055555555556</v>
      </c>
      <c r="AA49" s="39">
        <v>0.67708333333333337</v>
      </c>
      <c r="AB49" s="39">
        <v>0.65069444444444446</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c r="AD49" s="30"/>
      <c r="AK49"/>
      <c r="AL49"/>
      <c r="AM49"/>
      <c r="AN49"/>
    </row>
    <row r="50" spans="2:40" x14ac:dyDescent="0.25">
      <c r="B50" s="3">
        <v>2</v>
      </c>
      <c r="C50">
        <v>0</v>
      </c>
      <c r="D50">
        <v>1</v>
      </c>
      <c r="E50" s="29" t="s">
        <v>200</v>
      </c>
      <c r="F50" s="3">
        <v>364</v>
      </c>
      <c r="G50" s="3">
        <v>364</v>
      </c>
      <c r="H50" s="29" t="s">
        <v>44</v>
      </c>
      <c r="J50" s="7">
        <v>0.5444444444444444</v>
      </c>
      <c r="K50" s="7">
        <v>0.5444444444444444</v>
      </c>
      <c r="L50" s="3">
        <f t="shared" si="0"/>
        <v>1</v>
      </c>
      <c r="M50" s="3">
        <f t="shared" si="1"/>
        <v>1</v>
      </c>
      <c r="N50" s="29">
        <f>_xlfn.MAXIFS($G$7:G49,$E$7:E49,detalhe_carro1[[#This Row],[Nó]],$B$7:B49,detalhe_carro1[[#This Row],[Numero Voltas]],$L$7:L49,1)</f>
        <v>293</v>
      </c>
      <c r="O50" s="3">
        <f>IF(OR(detalhe_carro1[[#This Row],[Ultima Chegada]]=0,detalhe_carro1[[#This Row],[Chegada]]=0),"",detalhe_carro1[[#This Row],[Hora Inicio]]-detalhe_carro1[[#This Row],[Ultima Chegada]])</f>
        <v>71</v>
      </c>
      <c r="P50" s="3">
        <f>IF(detalhe_carro1[[#This Row],[Tipo]]="Visitar Nó",((detalhe_carro1[[#This Row],[Hora Fim]]-detalhe_carro1[[#This Row],[Hora Inicio]])/60*velocidade_nos),0)</f>
        <v>0</v>
      </c>
      <c r="Q50" s="29">
        <f>detalhe_carro1[[#This Row],[Kms Nós]]+detalhe_carro1[[#This Row],[kms]]</f>
        <v>0</v>
      </c>
      <c r="S50" s="20">
        <v>2</v>
      </c>
      <c r="T50" s="38">
        <v>2</v>
      </c>
      <c r="U50" s="38">
        <v>2</v>
      </c>
      <c r="V50" s="38" t="s">
        <v>228</v>
      </c>
      <c r="W50" s="30">
        <v>556</v>
      </c>
      <c r="X50" s="30">
        <v>574</v>
      </c>
      <c r="Y50" s="30">
        <v>516</v>
      </c>
      <c r="Z50" s="39">
        <v>0.67777777777777781</v>
      </c>
      <c r="AA50" s="39">
        <v>0.69027777777777777</v>
      </c>
      <c r="AB50" s="39">
        <v>0.65</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c r="AD50" s="30"/>
      <c r="AK50"/>
      <c r="AL50"/>
      <c r="AM50"/>
      <c r="AN50"/>
    </row>
    <row r="51" spans="2:40" x14ac:dyDescent="0.25">
      <c r="B51" s="3">
        <v>2</v>
      </c>
      <c r="C51">
        <v>0</v>
      </c>
      <c r="D51">
        <v>2</v>
      </c>
      <c r="E51" s="29" t="s">
        <v>228</v>
      </c>
      <c r="F51" s="3">
        <v>365</v>
      </c>
      <c r="G51" s="3">
        <v>365</v>
      </c>
      <c r="H51" s="29" t="s">
        <v>44</v>
      </c>
      <c r="J51" s="7">
        <v>0.54513888888888884</v>
      </c>
      <c r="K51" s="7">
        <v>0.54513888888888884</v>
      </c>
      <c r="L51" s="3">
        <f t="shared" si="0"/>
        <v>1</v>
      </c>
      <c r="M51" s="3">
        <f t="shared" si="1"/>
        <v>1</v>
      </c>
      <c r="N51" s="29">
        <f>_xlfn.MAXIFS($G$7:G50,$E$7:E50,detalhe_carro1[[#This Row],[Nó]],$B$7:B50,detalhe_carro1[[#This Row],[Numero Voltas]],$L$7:L50,1)</f>
        <v>288</v>
      </c>
      <c r="O51" s="3">
        <f>IF(OR(detalhe_carro1[[#This Row],[Ultima Chegada]]=0,detalhe_carro1[[#This Row],[Chegada]]=0),"",detalhe_carro1[[#This Row],[Hora Inicio]]-detalhe_carro1[[#This Row],[Ultima Chegada]])</f>
        <v>77</v>
      </c>
      <c r="P51" s="3">
        <f>IF(detalhe_carro1[[#This Row],[Tipo]]="Visitar Nó",((detalhe_carro1[[#This Row],[Hora Fim]]-detalhe_carro1[[#This Row],[Hora Inicio]])/60*velocidade_nos),0)</f>
        <v>0</v>
      </c>
      <c r="Q51" s="29">
        <f>detalhe_carro1[[#This Row],[Kms Nós]]+detalhe_carro1[[#This Row],[kms]]</f>
        <v>0</v>
      </c>
      <c r="S51" s="20">
        <v>2</v>
      </c>
      <c r="T51" s="38">
        <v>2</v>
      </c>
      <c r="U51" s="38">
        <v>3</v>
      </c>
      <c r="V51" s="38" t="s">
        <v>208</v>
      </c>
      <c r="W51" s="30">
        <v>577</v>
      </c>
      <c r="X51" s="30">
        <v>590</v>
      </c>
      <c r="Y51" s="30">
        <v>513</v>
      </c>
      <c r="Z51" s="39">
        <v>0.69236111111111109</v>
      </c>
      <c r="AA51" s="39">
        <v>0.70138888888888884</v>
      </c>
      <c r="AB51" s="39">
        <v>0.6479166666666667</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D51" s="30"/>
      <c r="AJ51" s="18"/>
      <c r="AM51"/>
      <c r="AN51"/>
    </row>
    <row r="52" spans="2:40" x14ac:dyDescent="0.25">
      <c r="B52" s="3">
        <v>2</v>
      </c>
      <c r="C52">
        <v>0</v>
      </c>
      <c r="D52">
        <v>3</v>
      </c>
      <c r="E52" s="29" t="s">
        <v>208</v>
      </c>
      <c r="F52" s="3">
        <v>368</v>
      </c>
      <c r="G52" s="3">
        <v>368</v>
      </c>
      <c r="H52" s="29" t="s">
        <v>44</v>
      </c>
      <c r="J52" s="7">
        <v>0.54722222222222228</v>
      </c>
      <c r="K52" s="7">
        <v>0.54722222222222228</v>
      </c>
      <c r="L52" s="3">
        <f t="shared" si="0"/>
        <v>0</v>
      </c>
      <c r="M52" s="3">
        <f t="shared" si="1"/>
        <v>1</v>
      </c>
      <c r="N52" s="29">
        <f>_xlfn.MAXIFS($G$7:G51,$E$7:E51,detalhe_carro1[[#This Row],[Nó]],$B$7:B51,detalhe_carro1[[#This Row],[Numero Voltas]],$L$7:L51,1)</f>
        <v>267</v>
      </c>
      <c r="O52" s="3">
        <f>IF(OR(detalhe_carro1[[#This Row],[Ultima Chegada]]=0,detalhe_carro1[[#This Row],[Chegada]]=0),"",detalhe_carro1[[#This Row],[Hora Inicio]]-detalhe_carro1[[#This Row],[Ultima Chegada]])</f>
        <v>101</v>
      </c>
      <c r="P52" s="3">
        <f>IF(detalhe_carro1[[#This Row],[Tipo]]="Visitar Nó",((detalhe_carro1[[#This Row],[Hora Fim]]-detalhe_carro1[[#This Row],[Hora Inicio]])/60*velocidade_nos),0)</f>
        <v>0</v>
      </c>
      <c r="Q52" s="29">
        <f>detalhe_carro1[[#This Row],[Kms Nós]]+detalhe_carro1[[#This Row],[kms]]</f>
        <v>0</v>
      </c>
      <c r="S52" s="20">
        <v>2</v>
      </c>
      <c r="T52" s="38">
        <v>2</v>
      </c>
      <c r="U52" s="38">
        <v>4</v>
      </c>
      <c r="V52" s="38" t="s">
        <v>2</v>
      </c>
      <c r="W52" s="30">
        <v>595</v>
      </c>
      <c r="X52" s="30">
        <v>608</v>
      </c>
      <c r="Y52" s="30">
        <v>495</v>
      </c>
      <c r="Z52" s="39">
        <v>0.70486111111111116</v>
      </c>
      <c r="AA52" s="39">
        <v>0.71388888888888891</v>
      </c>
      <c r="AB52" s="39">
        <v>0.63541666666666663</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D52" s="30"/>
      <c r="AJ52" s="18"/>
      <c r="AM52"/>
      <c r="AN52"/>
    </row>
    <row r="53" spans="2:40" x14ac:dyDescent="0.25">
      <c r="B53" s="3">
        <v>2</v>
      </c>
      <c r="C53">
        <v>0</v>
      </c>
      <c r="D53">
        <v>3</v>
      </c>
      <c r="E53" s="29" t="s">
        <v>208</v>
      </c>
      <c r="F53" s="3">
        <v>368</v>
      </c>
      <c r="G53" s="3">
        <v>381</v>
      </c>
      <c r="H53" s="29" t="s">
        <v>43</v>
      </c>
      <c r="J53" s="7">
        <v>0.54722222222222228</v>
      </c>
      <c r="K53" s="7">
        <v>0.55625000000000002</v>
      </c>
      <c r="L53" s="3">
        <f t="shared" si="0"/>
        <v>1</v>
      </c>
      <c r="M53" s="3">
        <f t="shared" si="1"/>
        <v>0</v>
      </c>
      <c r="N53" s="29">
        <f>_xlfn.MAXIFS($G$7:G52,$E$7:E52,detalhe_carro1[[#This Row],[Nó]],$B$7:B52,detalhe_carro1[[#This Row],[Numero Voltas]],$L$7:L52,1)</f>
        <v>267</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6.5</v>
      </c>
      <c r="Q53" s="29">
        <f>detalhe_carro1[[#This Row],[Kms Nós]]+detalhe_carro1[[#This Row],[kms]]</f>
        <v>6.5</v>
      </c>
      <c r="S53" s="20">
        <v>2</v>
      </c>
      <c r="T53" s="38">
        <v>2</v>
      </c>
      <c r="U53" s="38">
        <v>5</v>
      </c>
      <c r="V53" s="38" t="s">
        <v>215</v>
      </c>
      <c r="W53" s="30">
        <v>611</v>
      </c>
      <c r="X53" s="30">
        <v>611</v>
      </c>
      <c r="Y53" s="30">
        <v>447</v>
      </c>
      <c r="Z53" s="39">
        <v>0.71597222222222223</v>
      </c>
      <c r="AA53" s="39">
        <v>0.71597222222222223</v>
      </c>
      <c r="AB53" s="39">
        <v>0.6020833333333333</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D53" s="30"/>
      <c r="AJ53" s="18"/>
      <c r="AM53"/>
      <c r="AN53"/>
    </row>
    <row r="54" spans="2:40" x14ac:dyDescent="0.25">
      <c r="B54" s="3">
        <v>2</v>
      </c>
      <c r="C54">
        <v>0</v>
      </c>
      <c r="D54">
        <v>4</v>
      </c>
      <c r="E54" s="29" t="s">
        <v>2</v>
      </c>
      <c r="F54" s="3">
        <v>386</v>
      </c>
      <c r="G54" s="3">
        <v>386</v>
      </c>
      <c r="H54" s="29" t="s">
        <v>44</v>
      </c>
      <c r="J54" s="7">
        <v>0.55972222222222223</v>
      </c>
      <c r="K54" s="7">
        <v>0.55972222222222223</v>
      </c>
      <c r="L54" s="3">
        <f t="shared" si="0"/>
        <v>1</v>
      </c>
      <c r="M54" s="3">
        <f t="shared" si="1"/>
        <v>1</v>
      </c>
      <c r="N54" s="29">
        <f>_xlfn.MAXIFS($G$7:G53,$E$7:E53,detalhe_carro1[[#This Row],[Nó]],$B$7:B53,detalhe_carro1[[#This Row],[Numero Voltas]],$L$7:L53,1)</f>
        <v>189</v>
      </c>
      <c r="O54" s="3">
        <f>IF(OR(detalhe_carro1[[#This Row],[Ultima Chegada]]=0,detalhe_carro1[[#This Row],[Chegada]]=0),"",detalhe_carro1[[#This Row],[Hora Inicio]]-detalhe_carro1[[#This Row],[Ultima Chegada]])</f>
        <v>197</v>
      </c>
      <c r="P54" s="3">
        <f>IF(detalhe_carro1[[#This Row],[Tipo]]="Visitar Nó",((detalhe_carro1[[#This Row],[Hora Fim]]-detalhe_carro1[[#This Row],[Hora Inicio]])/60*velocidade_nos),0)</f>
        <v>0</v>
      </c>
      <c r="Q54" s="29">
        <f>detalhe_carro1[[#This Row],[Kms Nós]]+detalhe_carro1[[#This Row],[kms]]</f>
        <v>0</v>
      </c>
      <c r="S54" s="20">
        <v>2</v>
      </c>
      <c r="T54" s="38">
        <v>2</v>
      </c>
      <c r="U54" s="38">
        <v>6</v>
      </c>
      <c r="V54" s="38" t="s">
        <v>300</v>
      </c>
      <c r="W54" s="30">
        <v>615</v>
      </c>
      <c r="X54" s="30">
        <v>615</v>
      </c>
      <c r="Y54" s="30">
        <v>443</v>
      </c>
      <c r="Z54" s="39">
        <v>0.71875</v>
      </c>
      <c r="AA54" s="39">
        <v>0.71875</v>
      </c>
      <c r="AB54" s="39">
        <v>0.59930555555555554</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2.8666666666666667</v>
      </c>
      <c r="AD54" s="30"/>
      <c r="AJ54" s="18"/>
      <c r="AM54"/>
      <c r="AN54"/>
    </row>
    <row r="55" spans="2:40" x14ac:dyDescent="0.25">
      <c r="B55" s="3">
        <v>2</v>
      </c>
      <c r="C55">
        <v>0</v>
      </c>
      <c r="D55">
        <v>5</v>
      </c>
      <c r="E55" s="29" t="s">
        <v>215</v>
      </c>
      <c r="F55" s="3">
        <v>389</v>
      </c>
      <c r="G55" s="3">
        <v>389</v>
      </c>
      <c r="H55" s="29" t="s">
        <v>44</v>
      </c>
      <c r="J55" s="7">
        <v>0.56180555555555556</v>
      </c>
      <c r="K55" s="7">
        <v>0.56180555555555556</v>
      </c>
      <c r="L55" s="3">
        <f t="shared" si="0"/>
        <v>0</v>
      </c>
      <c r="M55" s="3">
        <f t="shared" si="1"/>
        <v>1</v>
      </c>
      <c r="N55" s="29">
        <f>_xlfn.MAXIFS($G$7:G54,$E$7:E54,detalhe_carro1[[#This Row],[Nó]],$B$7:B54,detalhe_carro1[[#This Row],[Numero Voltas]],$L$7:L54,1)</f>
        <v>158</v>
      </c>
      <c r="O55" s="3">
        <f>IF(OR(detalhe_carro1[[#This Row],[Ultima Chegada]]=0,detalhe_carro1[[#This Row],[Chegada]]=0),"",detalhe_carro1[[#This Row],[Hora Inicio]]-detalhe_carro1[[#This Row],[Ultima Chegada]])</f>
        <v>231</v>
      </c>
      <c r="P55" s="3">
        <f>IF(detalhe_carro1[[#This Row],[Tipo]]="Visitar Nó",((detalhe_carro1[[#This Row],[Hora Fim]]-detalhe_carro1[[#This Row],[Hora Inicio]])/60*velocidade_nos),0)</f>
        <v>0</v>
      </c>
      <c r="Q55" s="29">
        <f>detalhe_carro1[[#This Row],[Kms Nós]]+detalhe_carro1[[#This Row],[kms]]</f>
        <v>0</v>
      </c>
      <c r="S55" s="20">
        <v>2</v>
      </c>
      <c r="T55" s="38">
        <v>2</v>
      </c>
      <c r="U55" s="38">
        <v>7</v>
      </c>
      <c r="V55" s="38" t="s">
        <v>301</v>
      </c>
      <c r="W55" s="30">
        <v>618</v>
      </c>
      <c r="X55" s="30">
        <v>628</v>
      </c>
      <c r="Y55" s="30">
        <v>440</v>
      </c>
      <c r="Z55" s="39">
        <v>0.72083333333333333</v>
      </c>
      <c r="AA55" s="39">
        <v>0.72777777777777775</v>
      </c>
      <c r="AB55" s="39">
        <v>0.59722222222222221</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2.9666666666666668</v>
      </c>
      <c r="AD55" s="30"/>
      <c r="AJ55" s="18"/>
      <c r="AM55"/>
      <c r="AN55"/>
    </row>
    <row r="56" spans="2:40" x14ac:dyDescent="0.25">
      <c r="B56" s="3">
        <v>2</v>
      </c>
      <c r="C56">
        <v>0</v>
      </c>
      <c r="D56">
        <v>5</v>
      </c>
      <c r="E56" s="29" t="s">
        <v>215</v>
      </c>
      <c r="F56" s="3">
        <v>389</v>
      </c>
      <c r="G56" s="3">
        <v>389</v>
      </c>
      <c r="H56" s="29" t="s">
        <v>43</v>
      </c>
      <c r="J56" s="7">
        <v>0.56180555555555556</v>
      </c>
      <c r="K56" s="7">
        <v>0.56180555555555556</v>
      </c>
      <c r="L56" s="3">
        <f t="shared" si="0"/>
        <v>1</v>
      </c>
      <c r="M56" s="3">
        <f t="shared" si="1"/>
        <v>0</v>
      </c>
      <c r="N56" s="29">
        <f>_xlfn.MAXIFS($G$7:G55,$E$7:E55,detalhe_carro1[[#This Row],[Nó]],$B$7:B55,detalhe_carro1[[#This Row],[Numero Voltas]],$L$7:L55,1)</f>
        <v>158</v>
      </c>
      <c r="O56" s="3" t="str">
        <f>IF(OR(detalhe_carro1[[#This Row],[Ultima Chegada]]=0,detalhe_carro1[[#This Row],[Chegada]]=0),"",detalhe_carro1[[#This Row],[Hora Inicio]]-detalhe_carro1[[#This Row],[Ultima Chegada]])</f>
        <v/>
      </c>
      <c r="P56" s="3">
        <f>IF(detalhe_carro1[[#This Row],[Tipo]]="Visitar Nó",((detalhe_carro1[[#This Row],[Hora Fim]]-detalhe_carro1[[#This Row],[Hora Inicio]])/60*velocidade_nos),0)</f>
        <v>0</v>
      </c>
      <c r="Q56" s="29">
        <f>detalhe_carro1[[#This Row],[Kms Nós]]+detalhe_carro1[[#This Row],[kms]]</f>
        <v>0</v>
      </c>
      <c r="S56" s="20">
        <v>2</v>
      </c>
      <c r="T56" s="38">
        <v>2</v>
      </c>
      <c r="U56" s="38">
        <v>8</v>
      </c>
      <c r="V56" s="38" t="s">
        <v>302</v>
      </c>
      <c r="W56" s="30">
        <v>634</v>
      </c>
      <c r="X56" s="30">
        <v>704</v>
      </c>
      <c r="Y56" s="30">
        <v>434</v>
      </c>
      <c r="Z56" s="39">
        <v>0.7319444444444444</v>
      </c>
      <c r="AA56" s="39">
        <v>0.78055555555555556</v>
      </c>
      <c r="AB56" s="39">
        <v>0.59305555555555556</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3.3333333333333335</v>
      </c>
      <c r="AD56" s="30"/>
      <c r="AJ56" s="18"/>
      <c r="AM56"/>
      <c r="AN56"/>
    </row>
    <row r="57" spans="2:40" x14ac:dyDescent="0.25">
      <c r="B57" s="3">
        <v>2</v>
      </c>
      <c r="C57">
        <v>0</v>
      </c>
      <c r="D57">
        <v>6</v>
      </c>
      <c r="E57" s="29" t="s">
        <v>300</v>
      </c>
      <c r="F57" s="3">
        <v>393</v>
      </c>
      <c r="G57" s="3">
        <v>393</v>
      </c>
      <c r="H57" s="29" t="s">
        <v>44</v>
      </c>
      <c r="J57" s="7">
        <v>0.56458333333333333</v>
      </c>
      <c r="K57" s="7">
        <v>0.56458333333333333</v>
      </c>
      <c r="L57" s="3">
        <f t="shared" si="0"/>
        <v>0</v>
      </c>
      <c r="M57" s="3">
        <f t="shared" si="1"/>
        <v>1</v>
      </c>
      <c r="N57" s="29">
        <f>_xlfn.MAXIFS($G$7:G56,$E$7:E56,detalhe_carro1[[#This Row],[Nó]],$B$7:B56,detalhe_carro1[[#This Row],[Numero Voltas]],$L$7:L56,1)</f>
        <v>154</v>
      </c>
      <c r="O57" s="3">
        <f>IF(OR(detalhe_carro1[[#This Row],[Ultima Chegada]]=0,detalhe_carro1[[#This Row],[Chegada]]=0),"",detalhe_carro1[[#This Row],[Hora Inicio]]-detalhe_carro1[[#This Row],[Ultima Chegada]])</f>
        <v>239</v>
      </c>
      <c r="P57" s="3">
        <f>IF(detalhe_carro1[[#This Row],[Tipo]]="Visitar Nó",((detalhe_carro1[[#This Row],[Hora Fim]]-detalhe_carro1[[#This Row],[Hora Inicio]])/60*velocidade_nos),0)</f>
        <v>0</v>
      </c>
      <c r="Q57" s="29">
        <f>detalhe_carro1[[#This Row],[Kms Nós]]+detalhe_carro1[[#This Row],[kms]]</f>
        <v>0</v>
      </c>
      <c r="S57" s="20">
        <v>2</v>
      </c>
      <c r="T57" s="38">
        <v>2</v>
      </c>
      <c r="U57" s="38">
        <v>9</v>
      </c>
      <c r="V57" s="38" t="s">
        <v>303</v>
      </c>
      <c r="W57" s="30">
        <v>710</v>
      </c>
      <c r="X57" s="30">
        <v>720</v>
      </c>
      <c r="Y57" s="30">
        <v>428</v>
      </c>
      <c r="Z57" s="39">
        <v>0.78472222222222221</v>
      </c>
      <c r="AA57" s="39">
        <v>0.79166666666666663</v>
      </c>
      <c r="AB57" s="39">
        <v>0.58888888888888891</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4.7</v>
      </c>
      <c r="AD57" s="30"/>
      <c r="AJ57" s="18"/>
      <c r="AM57"/>
      <c r="AN57"/>
    </row>
    <row r="58" spans="2:40" x14ac:dyDescent="0.25">
      <c r="B58" s="3">
        <v>2</v>
      </c>
      <c r="C58">
        <v>0</v>
      </c>
      <c r="D58">
        <v>6</v>
      </c>
      <c r="E58" s="29" t="s">
        <v>300</v>
      </c>
      <c r="F58" s="3">
        <v>393</v>
      </c>
      <c r="G58" s="3">
        <v>393</v>
      </c>
      <c r="H58" s="29" t="s">
        <v>43</v>
      </c>
      <c r="J58" s="7">
        <v>0.56458333333333333</v>
      </c>
      <c r="K58" s="7">
        <v>0.56458333333333333</v>
      </c>
      <c r="L58" s="3">
        <f t="shared" si="0"/>
        <v>1</v>
      </c>
      <c r="M58" s="3">
        <f t="shared" si="1"/>
        <v>0</v>
      </c>
      <c r="N58" s="29">
        <f>_xlfn.MAXIFS($G$7:G57,$E$7:E57,detalhe_carro1[[#This Row],[Nó]],$B$7:B57,detalhe_carro1[[#This Row],[Numero Voltas]],$L$7:L57,1)</f>
        <v>154</v>
      </c>
      <c r="O58" s="3" t="str">
        <f>IF(OR(detalhe_carro1[[#This Row],[Ultima Chegada]]=0,detalhe_carro1[[#This Row],[Chegada]]=0),"",detalhe_carro1[[#This Row],[Hora Inicio]]-detalhe_carro1[[#This Row],[Ultima Chegada]])</f>
        <v/>
      </c>
      <c r="P58" s="3">
        <f>IF(detalhe_carro1[[#This Row],[Tipo]]="Visitar Nó",((detalhe_carro1[[#This Row],[Hora Fim]]-detalhe_carro1[[#This Row],[Hora Inicio]])/60*velocidade_nos),0)</f>
        <v>0</v>
      </c>
      <c r="Q58" s="29">
        <f>detalhe_carro1[[#This Row],[Kms Nós]]+detalhe_carro1[[#This Row],[kms]]</f>
        <v>0</v>
      </c>
      <c r="S58" s="20">
        <v>2</v>
      </c>
      <c r="T58" s="38">
        <v>2</v>
      </c>
      <c r="U58" s="38">
        <v>8</v>
      </c>
      <c r="V58" s="38" t="s">
        <v>302</v>
      </c>
      <c r="W58" s="30">
        <v>726</v>
      </c>
      <c r="X58" s="30">
        <v>726</v>
      </c>
      <c r="Y58" s="30">
        <v>704</v>
      </c>
      <c r="Z58" s="39">
        <v>0.79583333333333328</v>
      </c>
      <c r="AA58" s="39">
        <v>0.79583333333333328</v>
      </c>
      <c r="AB58" s="39">
        <v>0.78055555555555556</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c r="AD58" s="30"/>
      <c r="AJ58" s="18"/>
      <c r="AM58"/>
      <c r="AN58"/>
    </row>
    <row r="59" spans="2:40" x14ac:dyDescent="0.25">
      <c r="B59" s="3">
        <v>2</v>
      </c>
      <c r="C59">
        <v>0</v>
      </c>
      <c r="D59">
        <v>7</v>
      </c>
      <c r="E59" s="29" t="s">
        <v>301</v>
      </c>
      <c r="F59" s="3">
        <v>396</v>
      </c>
      <c r="G59" s="3">
        <v>396</v>
      </c>
      <c r="H59" s="29" t="s">
        <v>44</v>
      </c>
      <c r="J59" s="7">
        <v>0.56666666666666665</v>
      </c>
      <c r="K59" s="7">
        <v>0.56666666666666665</v>
      </c>
      <c r="L59" s="3">
        <f t="shared" si="0"/>
        <v>0</v>
      </c>
      <c r="M59" s="3">
        <f t="shared" si="1"/>
        <v>1</v>
      </c>
      <c r="N59" s="29">
        <f>_xlfn.MAXIFS($G$7:G58,$E$7:E58,detalhe_carro1[[#This Row],[Nó]],$B$7:B58,detalhe_carro1[[#This Row],[Numero Voltas]],$L$7:L58,1)</f>
        <v>151</v>
      </c>
      <c r="O59" s="3">
        <f>IF(OR(detalhe_carro1[[#This Row],[Ultima Chegada]]=0,detalhe_carro1[[#This Row],[Chegada]]=0),"",detalhe_carro1[[#This Row],[Hora Inicio]]-detalhe_carro1[[#This Row],[Ultima Chegada]])</f>
        <v>245</v>
      </c>
      <c r="P59" s="3">
        <f>IF(detalhe_carro1[[#This Row],[Tipo]]="Visitar Nó",((detalhe_carro1[[#This Row],[Hora Fim]]-detalhe_carro1[[#This Row],[Hora Inicio]])/60*velocidade_nos),0)</f>
        <v>0</v>
      </c>
      <c r="Q59" s="29">
        <f>detalhe_carro1[[#This Row],[Kms Nós]]+detalhe_carro1[[#This Row],[kms]]</f>
        <v>0</v>
      </c>
      <c r="S59" s="20">
        <v>2</v>
      </c>
      <c r="T59" s="38">
        <v>2</v>
      </c>
      <c r="U59" s="38">
        <v>7</v>
      </c>
      <c r="V59" s="38" t="s">
        <v>301</v>
      </c>
      <c r="W59" s="30">
        <v>732</v>
      </c>
      <c r="X59" s="30">
        <v>732</v>
      </c>
      <c r="Y59" s="30">
        <v>628</v>
      </c>
      <c r="Z59" s="39">
        <v>0.8</v>
      </c>
      <c r="AA59" s="39">
        <v>0.8</v>
      </c>
      <c r="AB59" s="39">
        <v>0.72777777777777775</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c r="AD59" s="30"/>
      <c r="AJ59" s="18"/>
      <c r="AM59"/>
      <c r="AN59"/>
    </row>
    <row r="60" spans="2:40" x14ac:dyDescent="0.25">
      <c r="B60" s="3">
        <v>2</v>
      </c>
      <c r="C60">
        <v>0</v>
      </c>
      <c r="D60">
        <v>7</v>
      </c>
      <c r="E60" s="29" t="s">
        <v>301</v>
      </c>
      <c r="F60" s="3">
        <v>396</v>
      </c>
      <c r="G60" s="3">
        <v>406</v>
      </c>
      <c r="H60" s="29" t="s">
        <v>43</v>
      </c>
      <c r="J60" s="7">
        <v>0.56666666666666665</v>
      </c>
      <c r="K60" s="7">
        <v>0.57361111111111107</v>
      </c>
      <c r="L60" s="3">
        <f t="shared" si="0"/>
        <v>1</v>
      </c>
      <c r="M60" s="3">
        <f t="shared" si="1"/>
        <v>0</v>
      </c>
      <c r="N60" s="29">
        <f>_xlfn.MAXIFS($G$7:G59,$E$7:E59,detalhe_carro1[[#This Row],[Nó]],$B$7:B59,detalhe_carro1[[#This Row],[Numero Voltas]],$L$7:L59,1)</f>
        <v>151</v>
      </c>
      <c r="O60" s="3" t="str">
        <f>IF(OR(detalhe_carro1[[#This Row],[Ultima Chegada]]=0,detalhe_carro1[[#This Row],[Chegada]]=0),"",detalhe_carro1[[#This Row],[Hora Inicio]]-detalhe_carro1[[#This Row],[Ultima Chegada]])</f>
        <v/>
      </c>
      <c r="P60" s="3">
        <f>IF(detalhe_carro1[[#This Row],[Tipo]]="Visitar Nó",((detalhe_carro1[[#This Row],[Hora Fim]]-detalhe_carro1[[#This Row],[Hora Inicio]])/60*velocidade_nos),0)</f>
        <v>5</v>
      </c>
      <c r="Q60" s="29">
        <f>detalhe_carro1[[#This Row],[Kms Nós]]+detalhe_carro1[[#This Row],[kms]]</f>
        <v>5</v>
      </c>
      <c r="S60" s="20">
        <v>2</v>
      </c>
      <c r="T60" s="38">
        <v>2</v>
      </c>
      <c r="U60" s="38">
        <v>6</v>
      </c>
      <c r="V60" s="38" t="s">
        <v>300</v>
      </c>
      <c r="W60" s="30">
        <v>735</v>
      </c>
      <c r="X60" s="30">
        <v>735</v>
      </c>
      <c r="Y60" s="30">
        <v>615</v>
      </c>
      <c r="Z60" s="39">
        <v>0.80208333333333337</v>
      </c>
      <c r="AA60" s="39">
        <v>0.80208333333333337</v>
      </c>
      <c r="AB60" s="39">
        <v>0.71875</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c r="AD60" s="30"/>
      <c r="AJ60" s="18"/>
      <c r="AM60"/>
      <c r="AN60"/>
    </row>
    <row r="61" spans="2:40" x14ac:dyDescent="0.25">
      <c r="B61" s="3">
        <v>2</v>
      </c>
      <c r="C61">
        <v>0</v>
      </c>
      <c r="D61">
        <v>8</v>
      </c>
      <c r="E61" s="29" t="s">
        <v>302</v>
      </c>
      <c r="F61" s="3">
        <v>412</v>
      </c>
      <c r="G61" s="3">
        <v>412</v>
      </c>
      <c r="H61" s="29" t="s">
        <v>44</v>
      </c>
      <c r="J61" s="7">
        <v>0.57777777777777772</v>
      </c>
      <c r="K61" s="7">
        <v>0.57777777777777772</v>
      </c>
      <c r="L61" s="3">
        <f t="shared" si="0"/>
        <v>0</v>
      </c>
      <c r="M61" s="3">
        <f t="shared" si="1"/>
        <v>1</v>
      </c>
      <c r="N61" s="29">
        <f>_xlfn.MAXIFS($G$7:G60,$E$7:E60,detalhe_carro1[[#This Row],[Nó]],$B$7:B60,detalhe_carro1[[#This Row],[Numero Voltas]],$L$7:L60,1)</f>
        <v>135</v>
      </c>
      <c r="O61" s="3">
        <f>IF(OR(detalhe_carro1[[#This Row],[Ultima Chegada]]=0,detalhe_carro1[[#This Row],[Chegada]]=0),"",detalhe_carro1[[#This Row],[Hora Inicio]]-detalhe_carro1[[#This Row],[Ultima Chegada]])</f>
        <v>277</v>
      </c>
      <c r="P61" s="3">
        <f>IF(detalhe_carro1[[#This Row],[Tipo]]="Visitar Nó",((detalhe_carro1[[#This Row],[Hora Fim]]-detalhe_carro1[[#This Row],[Hora Inicio]])/60*velocidade_nos),0)</f>
        <v>0</v>
      </c>
      <c r="Q61" s="29">
        <f>detalhe_carro1[[#This Row],[Kms Nós]]+detalhe_carro1[[#This Row],[kms]]</f>
        <v>0</v>
      </c>
      <c r="S61" s="20">
        <v>2</v>
      </c>
      <c r="T61" s="38">
        <v>2</v>
      </c>
      <c r="U61" s="38">
        <v>5</v>
      </c>
      <c r="V61" s="38" t="s">
        <v>215</v>
      </c>
      <c r="W61" s="30">
        <v>739</v>
      </c>
      <c r="X61" s="30">
        <v>739</v>
      </c>
      <c r="Y61" s="30">
        <v>611</v>
      </c>
      <c r="Z61" s="39">
        <v>0.80486111111111114</v>
      </c>
      <c r="AA61" s="39">
        <v>0.80486111111111114</v>
      </c>
      <c r="AB61" s="39">
        <v>0.71597222222222223</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D61" s="30"/>
      <c r="AJ61" s="18"/>
      <c r="AM61"/>
      <c r="AN61"/>
    </row>
    <row r="62" spans="2:40" x14ac:dyDescent="0.25">
      <c r="B62" s="3">
        <v>2</v>
      </c>
      <c r="C62">
        <v>0</v>
      </c>
      <c r="D62">
        <v>8</v>
      </c>
      <c r="E62" s="29" t="s">
        <v>302</v>
      </c>
      <c r="F62" s="3">
        <v>412</v>
      </c>
      <c r="G62" s="3">
        <v>422</v>
      </c>
      <c r="H62" s="29" t="s">
        <v>43</v>
      </c>
      <c r="J62" s="7">
        <v>0.57777777777777772</v>
      </c>
      <c r="K62" s="7">
        <v>0.58472222222222225</v>
      </c>
      <c r="L62" s="3">
        <f t="shared" si="0"/>
        <v>1</v>
      </c>
      <c r="M62" s="3">
        <f t="shared" si="1"/>
        <v>0</v>
      </c>
      <c r="N62" s="29">
        <f>_xlfn.MAXIFS($G$7:G61,$E$7:E61,detalhe_carro1[[#This Row],[Nó]],$B$7:B61,detalhe_carro1[[#This Row],[Numero Voltas]],$L$7:L61,1)</f>
        <v>135</v>
      </c>
      <c r="O62" s="3" t="str">
        <f>IF(OR(detalhe_carro1[[#This Row],[Ultima Chegada]]=0,detalhe_carro1[[#This Row],[Chegada]]=0),"",detalhe_carro1[[#This Row],[Hora Inicio]]-detalhe_carro1[[#This Row],[Ultima Chegada]])</f>
        <v/>
      </c>
      <c r="P62" s="3">
        <f>IF(detalhe_carro1[[#This Row],[Tipo]]="Visitar Nó",((detalhe_carro1[[#This Row],[Hora Fim]]-detalhe_carro1[[#This Row],[Hora Inicio]])/60*velocidade_nos),0)</f>
        <v>5</v>
      </c>
      <c r="Q62" s="29">
        <f>detalhe_carro1[[#This Row],[Kms Nós]]+detalhe_carro1[[#This Row],[kms]]</f>
        <v>5</v>
      </c>
      <c r="S62" s="20">
        <v>2</v>
      </c>
      <c r="T62" s="38">
        <v>2</v>
      </c>
      <c r="U62" s="38">
        <v>4</v>
      </c>
      <c r="V62" s="38" t="s">
        <v>2</v>
      </c>
      <c r="W62" s="30">
        <v>742</v>
      </c>
      <c r="X62" s="30">
        <v>755</v>
      </c>
      <c r="Y62" s="30">
        <v>608</v>
      </c>
      <c r="Z62" s="39">
        <v>0.80694444444444446</v>
      </c>
      <c r="AA62" s="39">
        <v>0.81597222222222221</v>
      </c>
      <c r="AB62" s="39">
        <v>0.71388888888888891</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2.2333333333333334</v>
      </c>
      <c r="AD62" s="30"/>
      <c r="AJ62" s="18"/>
      <c r="AM62"/>
      <c r="AN62"/>
    </row>
    <row r="63" spans="2:40" x14ac:dyDescent="0.25">
      <c r="B63" s="3">
        <v>2</v>
      </c>
      <c r="C63">
        <v>0</v>
      </c>
      <c r="D63">
        <v>9</v>
      </c>
      <c r="E63" s="29" t="s">
        <v>303</v>
      </c>
      <c r="F63" s="3">
        <v>428</v>
      </c>
      <c r="G63" s="3">
        <v>428</v>
      </c>
      <c r="H63" s="29" t="s">
        <v>44</v>
      </c>
      <c r="J63" s="7">
        <v>0.58888888888888891</v>
      </c>
      <c r="K63" s="7">
        <v>0.58888888888888891</v>
      </c>
      <c r="L63" s="3">
        <f t="shared" si="0"/>
        <v>0</v>
      </c>
      <c r="M63" s="3">
        <f t="shared" si="1"/>
        <v>1</v>
      </c>
      <c r="N63" s="29">
        <f>_xlfn.MAXIFS($G$7:G62,$E$7:E62,detalhe_carro1[[#This Row],[Nó]],$B$7:B62,detalhe_carro1[[#This Row],[Numero Voltas]],$L$7:L62,1)</f>
        <v>119</v>
      </c>
      <c r="O63" s="3">
        <f>IF(OR(detalhe_carro1[[#This Row],[Ultima Chegada]]=0,detalhe_carro1[[#This Row],[Chegada]]=0),"",detalhe_carro1[[#This Row],[Hora Inicio]]-detalhe_carro1[[#This Row],[Ultima Chegada]])</f>
        <v>309</v>
      </c>
      <c r="P63" s="3">
        <f>IF(detalhe_carro1[[#This Row],[Tipo]]="Visitar Nó",((detalhe_carro1[[#This Row],[Hora Fim]]-detalhe_carro1[[#This Row],[Hora Inicio]])/60*velocidade_nos),0)</f>
        <v>0</v>
      </c>
      <c r="Q63" s="29">
        <f>detalhe_carro1[[#This Row],[Kms Nós]]+detalhe_carro1[[#This Row],[kms]]</f>
        <v>0</v>
      </c>
      <c r="S63" s="20">
        <v>2</v>
      </c>
      <c r="T63" s="38">
        <v>2</v>
      </c>
      <c r="U63" s="38">
        <v>3</v>
      </c>
      <c r="V63" s="38" t="s">
        <v>208</v>
      </c>
      <c r="W63" s="30">
        <v>760</v>
      </c>
      <c r="X63" s="30">
        <v>760</v>
      </c>
      <c r="Y63" s="30">
        <v>590</v>
      </c>
      <c r="Z63" s="39">
        <v>0.81944444444444442</v>
      </c>
      <c r="AA63" s="39">
        <v>0.81944444444444442</v>
      </c>
      <c r="AB63" s="39">
        <v>0.70138888888888884</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2.8333333333333335</v>
      </c>
      <c r="AJ63" s="18"/>
      <c r="AM63"/>
      <c r="AN63"/>
    </row>
    <row r="64" spans="2:40" x14ac:dyDescent="0.25">
      <c r="B64" s="3">
        <v>2</v>
      </c>
      <c r="C64">
        <v>0</v>
      </c>
      <c r="D64">
        <v>9</v>
      </c>
      <c r="E64" s="29" t="s">
        <v>303</v>
      </c>
      <c r="F64" s="3">
        <v>428</v>
      </c>
      <c r="G64" s="3">
        <v>428</v>
      </c>
      <c r="H64" s="29" t="s">
        <v>44</v>
      </c>
      <c r="J64" s="7">
        <v>0.58888888888888891</v>
      </c>
      <c r="K64" s="7">
        <v>0.58888888888888891</v>
      </c>
      <c r="L64" s="3">
        <f t="shared" si="0"/>
        <v>1</v>
      </c>
      <c r="M64" s="3">
        <f t="shared" si="1"/>
        <v>0</v>
      </c>
      <c r="N64" s="29">
        <f>_xlfn.MAXIFS($G$7:G63,$E$7:E63,detalhe_carro1[[#This Row],[Nó]],$B$7:B63,detalhe_carro1[[#This Row],[Numero Voltas]],$L$7:L63,1)</f>
        <v>119</v>
      </c>
      <c r="O64" s="3" t="str">
        <f>IF(OR(detalhe_carro1[[#This Row],[Ultima Chegada]]=0,detalhe_carro1[[#This Row],[Chegada]]=0),"",detalhe_carro1[[#This Row],[Hora Inicio]]-detalhe_carro1[[#This Row],[Ultima Chegada]])</f>
        <v/>
      </c>
      <c r="P64" s="3">
        <f>IF(detalhe_carro1[[#This Row],[Tipo]]="Visitar Nó",((detalhe_carro1[[#This Row],[Hora Fim]]-detalhe_carro1[[#This Row],[Hora Inicio]])/60*velocidade_nos),0)</f>
        <v>0</v>
      </c>
      <c r="Q64" s="29">
        <f>detalhe_carro1[[#This Row],[Kms Nós]]+detalhe_carro1[[#This Row],[kms]]</f>
        <v>0</v>
      </c>
      <c r="S64" s="20">
        <v>2</v>
      </c>
      <c r="T64" s="38">
        <v>2</v>
      </c>
      <c r="U64" s="38">
        <v>2</v>
      </c>
      <c r="V64" s="38" t="s">
        <v>228</v>
      </c>
      <c r="W64" s="30">
        <v>763</v>
      </c>
      <c r="X64" s="30">
        <v>781</v>
      </c>
      <c r="Y64" s="30">
        <v>574</v>
      </c>
      <c r="Z64" s="39">
        <v>0.82152777777777775</v>
      </c>
      <c r="AA64" s="39">
        <v>0.83402777777777781</v>
      </c>
      <c r="AB64" s="39">
        <v>0.69027777777777777</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3.15</v>
      </c>
      <c r="AJ64" s="18"/>
      <c r="AM64"/>
      <c r="AN64"/>
    </row>
    <row r="65" spans="2:40" x14ac:dyDescent="0.25">
      <c r="B65" s="3">
        <v>2</v>
      </c>
      <c r="C65">
        <v>0</v>
      </c>
      <c r="D65">
        <v>8</v>
      </c>
      <c r="E65" s="29" t="s">
        <v>302</v>
      </c>
      <c r="F65" s="3">
        <v>434</v>
      </c>
      <c r="G65" s="3">
        <v>434</v>
      </c>
      <c r="H65" s="29" t="s">
        <v>44</v>
      </c>
      <c r="J65" s="7">
        <v>0.59305555555555556</v>
      </c>
      <c r="K65" s="7">
        <v>0.59305555555555556</v>
      </c>
      <c r="L65" s="3">
        <f t="shared" si="0"/>
        <v>1</v>
      </c>
      <c r="M65" s="3">
        <f t="shared" si="1"/>
        <v>1</v>
      </c>
      <c r="N65" s="29">
        <f>_xlfn.MAXIFS($G$7:G64,$E$7:E64,detalhe_carro1[[#This Row],[Nó]],$B$7:B64,detalhe_carro1[[#This Row],[Numero Voltas]],$L$7:L64,1)</f>
        <v>422</v>
      </c>
      <c r="O65" s="3">
        <f>IF(OR(detalhe_carro1[[#This Row],[Ultima Chegada]]=0,detalhe_carro1[[#This Row],[Chegada]]=0),"",detalhe_carro1[[#This Row],[Hora Inicio]]-detalhe_carro1[[#This Row],[Ultima Chegada]])</f>
        <v>12</v>
      </c>
      <c r="P65" s="3">
        <f>IF(detalhe_carro1[[#This Row],[Tipo]]="Visitar Nó",((detalhe_carro1[[#This Row],[Hora Fim]]-detalhe_carro1[[#This Row],[Hora Inicio]])/60*velocidade_nos),0)</f>
        <v>0</v>
      </c>
      <c r="Q65" s="29">
        <f>detalhe_carro1[[#This Row],[Kms Nós]]+detalhe_carro1[[#This Row],[kms]]</f>
        <v>0</v>
      </c>
      <c r="S65" s="20">
        <v>2</v>
      </c>
      <c r="T65" s="38">
        <v>2</v>
      </c>
      <c r="U65" s="38">
        <v>1</v>
      </c>
      <c r="V65" s="38" t="s">
        <v>200</v>
      </c>
      <c r="W65" s="30">
        <v>782</v>
      </c>
      <c r="X65" s="30">
        <v>786</v>
      </c>
      <c r="Y65" s="30">
        <v>555</v>
      </c>
      <c r="Z65" s="39">
        <v>0.83472222222222225</v>
      </c>
      <c r="AA65" s="39">
        <v>0.83750000000000002</v>
      </c>
      <c r="AB65" s="39">
        <v>0.67708333333333337</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3.7833333333333332</v>
      </c>
      <c r="AJ65" s="18"/>
      <c r="AM65"/>
      <c r="AN65"/>
    </row>
    <row r="66" spans="2:40" x14ac:dyDescent="0.25">
      <c r="B66" s="3">
        <v>2</v>
      </c>
      <c r="C66">
        <v>0</v>
      </c>
      <c r="D66">
        <v>7</v>
      </c>
      <c r="E66" s="29" t="s">
        <v>301</v>
      </c>
      <c r="F66" s="3">
        <v>440</v>
      </c>
      <c r="G66" s="3">
        <v>440</v>
      </c>
      <c r="H66" s="29" t="s">
        <v>44</v>
      </c>
      <c r="J66" s="7">
        <v>0.59722222222222221</v>
      </c>
      <c r="K66" s="7">
        <v>0.59722222222222221</v>
      </c>
      <c r="L66" s="3">
        <f t="shared" si="0"/>
        <v>1</v>
      </c>
      <c r="M66" s="3">
        <f t="shared" si="1"/>
        <v>1</v>
      </c>
      <c r="N66" s="29">
        <f>_xlfn.MAXIFS($G$7:G65,$E$7:E65,detalhe_carro1[[#This Row],[Nó]],$B$7:B65,detalhe_carro1[[#This Row],[Numero Voltas]],$L$7:L65,1)</f>
        <v>406</v>
      </c>
      <c r="O66" s="3">
        <f>IF(OR(detalhe_carro1[[#This Row],[Ultima Chegada]]=0,detalhe_carro1[[#This Row],[Chegada]]=0),"",detalhe_carro1[[#This Row],[Hora Inicio]]-detalhe_carro1[[#This Row],[Ultima Chegada]])</f>
        <v>34</v>
      </c>
      <c r="P66" s="3">
        <f>IF(detalhe_carro1[[#This Row],[Tipo]]="Visitar Nó",((detalhe_carro1[[#This Row],[Hora Fim]]-detalhe_carro1[[#This Row],[Hora Inicio]])/60*velocidade_nos),0)</f>
        <v>0</v>
      </c>
      <c r="Q66" s="29">
        <f>detalhe_carro1[[#This Row],[Kms Nós]]+detalhe_carro1[[#This Row],[kms]]</f>
        <v>0</v>
      </c>
      <c r="S66" s="20">
        <v>2</v>
      </c>
      <c r="T66" s="38">
        <v>2</v>
      </c>
      <c r="U66" s="38">
        <v>0</v>
      </c>
      <c r="V66" s="38" t="s">
        <v>203</v>
      </c>
      <c r="W66" s="30">
        <v>788</v>
      </c>
      <c r="X66" s="30">
        <v>826</v>
      </c>
      <c r="Y66" s="30">
        <v>549</v>
      </c>
      <c r="Z66" s="39">
        <v>0.83888888888888891</v>
      </c>
      <c r="AA66" s="39">
        <v>0.86527777777777781</v>
      </c>
      <c r="AB66" s="39">
        <v>0.67291666666666672</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3.9833333333333334</v>
      </c>
      <c r="AJ66" s="18"/>
      <c r="AM66"/>
      <c r="AN66"/>
    </row>
    <row r="67" spans="2:40" x14ac:dyDescent="0.25">
      <c r="B67" s="3">
        <v>2</v>
      </c>
      <c r="C67">
        <v>0</v>
      </c>
      <c r="D67">
        <v>6</v>
      </c>
      <c r="E67" s="29" t="s">
        <v>300</v>
      </c>
      <c r="F67" s="3">
        <v>443</v>
      </c>
      <c r="G67" s="3">
        <v>443</v>
      </c>
      <c r="H67" s="29" t="s">
        <v>44</v>
      </c>
      <c r="J67" s="7">
        <v>0.59930555555555554</v>
      </c>
      <c r="K67" s="7">
        <v>0.59930555555555554</v>
      </c>
      <c r="L67" s="3">
        <f t="shared" si="0"/>
        <v>0</v>
      </c>
      <c r="M67" s="3">
        <f t="shared" si="1"/>
        <v>1</v>
      </c>
      <c r="N67" s="29">
        <f>_xlfn.MAXIFS($G$7:G66,$E$7:E66,detalhe_carro1[[#This Row],[Nó]],$B$7:B66,detalhe_carro1[[#This Row],[Numero Voltas]],$L$7:L66,1)</f>
        <v>393</v>
      </c>
      <c r="O67" s="3">
        <f>IF(OR(detalhe_carro1[[#This Row],[Ultima Chegada]]=0,detalhe_carro1[[#This Row],[Chegada]]=0),"",detalhe_carro1[[#This Row],[Hora Inicio]]-detalhe_carro1[[#This Row],[Ultima Chegada]])</f>
        <v>50</v>
      </c>
      <c r="P67" s="3">
        <f>IF(detalhe_carro1[[#This Row],[Tipo]]="Visitar Nó",((detalhe_carro1[[#This Row],[Hora Fim]]-detalhe_carro1[[#This Row],[Hora Inicio]])/60*velocidade_nos),0)</f>
        <v>0</v>
      </c>
      <c r="Q67" s="29">
        <f>detalhe_carro1[[#This Row],[Kms Nós]]+detalhe_carro1[[#This Row],[kms]]</f>
        <v>0</v>
      </c>
      <c r="S67" s="20">
        <v>2</v>
      </c>
      <c r="T67" s="38">
        <v>2</v>
      </c>
      <c r="U67" s="38">
        <v>1</v>
      </c>
      <c r="V67" s="38" t="s">
        <v>200</v>
      </c>
      <c r="W67" s="30">
        <v>828</v>
      </c>
      <c r="X67" s="30">
        <v>828</v>
      </c>
      <c r="Y67" s="30">
        <v>786</v>
      </c>
      <c r="Z67" s="39">
        <v>0.8666666666666667</v>
      </c>
      <c r="AA67" s="39">
        <v>0.8666666666666667</v>
      </c>
      <c r="AB67" s="39">
        <v>0.83750000000000002</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v>
      </c>
      <c r="AJ67" s="18"/>
      <c r="AM67"/>
      <c r="AN67"/>
    </row>
    <row r="68" spans="2:40" x14ac:dyDescent="0.25">
      <c r="B68" s="3">
        <v>2</v>
      </c>
      <c r="C68">
        <v>0</v>
      </c>
      <c r="D68">
        <v>6</v>
      </c>
      <c r="E68" s="29" t="s">
        <v>300</v>
      </c>
      <c r="F68" s="3">
        <v>443</v>
      </c>
      <c r="G68" s="3">
        <v>443</v>
      </c>
      <c r="H68" s="29" t="s">
        <v>43</v>
      </c>
      <c r="J68" s="7">
        <v>0.59930555555555554</v>
      </c>
      <c r="K68" s="7">
        <v>0.59930555555555554</v>
      </c>
      <c r="L68" s="3">
        <f t="shared" si="0"/>
        <v>1</v>
      </c>
      <c r="M68" s="3">
        <f t="shared" si="1"/>
        <v>0</v>
      </c>
      <c r="N68" s="29">
        <f>_xlfn.MAXIFS($G$7:G67,$E$7:E67,detalhe_carro1[[#This Row],[Nó]],$B$7:B67,detalhe_carro1[[#This Row],[Numero Voltas]],$L$7:L67,1)</f>
        <v>393</v>
      </c>
      <c r="O68" s="3" t="str">
        <f>IF(OR(detalhe_carro1[[#This Row],[Ultima Chegada]]=0,detalhe_carro1[[#This Row],[Chegada]]=0),"",detalhe_carro1[[#This Row],[Hora Inicio]]-detalhe_carro1[[#This Row],[Ultima Chegada]])</f>
        <v/>
      </c>
      <c r="P68" s="3">
        <f>IF(detalhe_carro1[[#This Row],[Tipo]]="Visitar Nó",((detalhe_carro1[[#This Row],[Hora Fim]]-detalhe_carro1[[#This Row],[Hora Inicio]])/60*velocidade_nos),0)</f>
        <v>0</v>
      </c>
      <c r="Q68" s="29">
        <f>detalhe_carro1[[#This Row],[Kms Nós]]+detalhe_carro1[[#This Row],[kms]]</f>
        <v>0</v>
      </c>
      <c r="S68" s="20">
        <v>2</v>
      </c>
      <c r="T68" s="38">
        <v>2</v>
      </c>
      <c r="U68" s="38">
        <v>2</v>
      </c>
      <c r="V68" s="38" t="s">
        <v>228</v>
      </c>
      <c r="W68" s="30">
        <v>828</v>
      </c>
      <c r="X68" s="30">
        <v>828</v>
      </c>
      <c r="Y68" s="30">
        <v>781</v>
      </c>
      <c r="Z68" s="39">
        <v>0.8666666666666667</v>
      </c>
      <c r="AA68" s="39">
        <v>0.8666666666666667</v>
      </c>
      <c r="AB68" s="39">
        <v>0.83402777777777781</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c r="AJ68" s="18"/>
      <c r="AM68"/>
      <c r="AN68"/>
    </row>
    <row r="69" spans="2:40" x14ac:dyDescent="0.25">
      <c r="B69" s="3">
        <v>2</v>
      </c>
      <c r="C69">
        <v>0</v>
      </c>
      <c r="D69">
        <v>5</v>
      </c>
      <c r="E69" s="29" t="s">
        <v>215</v>
      </c>
      <c r="F69" s="3">
        <v>447</v>
      </c>
      <c r="G69" s="3">
        <v>447</v>
      </c>
      <c r="H69" s="29" t="s">
        <v>44</v>
      </c>
      <c r="J69" s="7">
        <v>0.6020833333333333</v>
      </c>
      <c r="K69" s="7">
        <v>0.6020833333333333</v>
      </c>
      <c r="L69" s="3">
        <f t="shared" si="0"/>
        <v>0</v>
      </c>
      <c r="M69" s="3">
        <f t="shared" si="1"/>
        <v>1</v>
      </c>
      <c r="N69" s="29">
        <f>_xlfn.MAXIFS($G$7:G68,$E$7:E68,detalhe_carro1[[#This Row],[Nó]],$B$7:B68,detalhe_carro1[[#This Row],[Numero Voltas]],$L$7:L68,1)</f>
        <v>389</v>
      </c>
      <c r="O69" s="3">
        <f>IF(OR(detalhe_carro1[[#This Row],[Ultima Chegada]]=0,detalhe_carro1[[#This Row],[Chegada]]=0),"",detalhe_carro1[[#This Row],[Hora Inicio]]-detalhe_carro1[[#This Row],[Ultima Chegada]])</f>
        <v>58</v>
      </c>
      <c r="P69" s="3">
        <f>IF(detalhe_carro1[[#This Row],[Tipo]]="Visitar Nó",((detalhe_carro1[[#This Row],[Hora Fim]]-detalhe_carro1[[#This Row],[Hora Inicio]])/60*velocidade_nos),0)</f>
        <v>0</v>
      </c>
      <c r="Q69" s="29">
        <f>detalhe_carro1[[#This Row],[Kms Nós]]+detalhe_carro1[[#This Row],[kms]]</f>
        <v>0</v>
      </c>
      <c r="S69" s="20">
        <v>2</v>
      </c>
      <c r="T69" s="38">
        <v>2</v>
      </c>
      <c r="U69" s="38">
        <v>3</v>
      </c>
      <c r="V69" s="38" t="s">
        <v>208</v>
      </c>
      <c r="W69" s="30">
        <v>832</v>
      </c>
      <c r="X69" s="30">
        <v>832</v>
      </c>
      <c r="Y69" s="30">
        <v>760</v>
      </c>
      <c r="Z69" s="39">
        <v>0.86944444444444446</v>
      </c>
      <c r="AA69" s="39">
        <v>0.86944444444444446</v>
      </c>
      <c r="AB69" s="39">
        <v>0.81944444444444442</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v>
      </c>
      <c r="AJ69" s="18"/>
      <c r="AM69"/>
      <c r="AN69"/>
    </row>
    <row r="70" spans="2:40" x14ac:dyDescent="0.25">
      <c r="B70" s="3">
        <v>2</v>
      </c>
      <c r="C70">
        <v>0</v>
      </c>
      <c r="D70">
        <v>5</v>
      </c>
      <c r="E70" s="29" t="s">
        <v>215</v>
      </c>
      <c r="F70" s="3">
        <v>447</v>
      </c>
      <c r="G70" s="3">
        <v>447</v>
      </c>
      <c r="H70" s="29" t="s">
        <v>43</v>
      </c>
      <c r="J70" s="7">
        <v>0.6020833333333333</v>
      </c>
      <c r="K70" s="7">
        <v>0.6020833333333333</v>
      </c>
      <c r="L70" s="3">
        <f t="shared" si="0"/>
        <v>1</v>
      </c>
      <c r="M70" s="3">
        <f t="shared" si="1"/>
        <v>0</v>
      </c>
      <c r="N70" s="29">
        <f>_xlfn.MAXIFS($G$7:G69,$E$7:E69,detalhe_carro1[[#This Row],[Nó]],$B$7:B69,detalhe_carro1[[#This Row],[Numero Voltas]],$L$7:L69,1)</f>
        <v>389</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0</v>
      </c>
      <c r="Q70" s="29">
        <f>detalhe_carro1[[#This Row],[Kms Nós]]+detalhe_carro1[[#This Row],[kms]]</f>
        <v>0</v>
      </c>
      <c r="S70" s="20">
        <v>2</v>
      </c>
      <c r="T70" s="38">
        <v>2</v>
      </c>
      <c r="U70" s="38">
        <v>4</v>
      </c>
      <c r="V70" s="38" t="s">
        <v>2</v>
      </c>
      <c r="W70" s="30">
        <v>836</v>
      </c>
      <c r="X70" s="30">
        <v>836</v>
      </c>
      <c r="Y70" s="30">
        <v>755</v>
      </c>
      <c r="Z70" s="39">
        <v>0.87222222222222223</v>
      </c>
      <c r="AA70" s="39">
        <v>0.87222222222222223</v>
      </c>
      <c r="AB70" s="39">
        <v>0.81597222222222221</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J70" s="18"/>
      <c r="AM70"/>
      <c r="AN70"/>
    </row>
    <row r="71" spans="2:40" x14ac:dyDescent="0.25">
      <c r="B71" s="3">
        <v>2</v>
      </c>
      <c r="C71">
        <v>0</v>
      </c>
      <c r="D71">
        <v>4</v>
      </c>
      <c r="E71" s="29" t="s">
        <v>2</v>
      </c>
      <c r="F71" s="3">
        <v>450</v>
      </c>
      <c r="G71" s="3">
        <v>450</v>
      </c>
      <c r="H71" s="29" t="s">
        <v>44</v>
      </c>
      <c r="J71" s="7">
        <v>0.60416666666666663</v>
      </c>
      <c r="K71" s="7">
        <v>0.60416666666666663</v>
      </c>
      <c r="L71" s="3">
        <f t="shared" ref="L71:L134" si="2">IF(E71&lt;&gt;E72,1,0)</f>
        <v>0</v>
      </c>
      <c r="M71" s="3">
        <f t="shared" ref="M71:M134" si="3">IF(E71&lt;&gt;E70,1,0)</f>
        <v>1</v>
      </c>
      <c r="N71" s="29">
        <f>_xlfn.MAXIFS($G$7:G70,$E$7:E70,detalhe_carro1[[#This Row],[Nó]],$B$7:B70,detalhe_carro1[[#This Row],[Numero Voltas]],$L$7:L70,1)</f>
        <v>386</v>
      </c>
      <c r="O71" s="3">
        <f>IF(OR(detalhe_carro1[[#This Row],[Ultima Chegada]]=0,detalhe_carro1[[#This Row],[Chegada]]=0),"",detalhe_carro1[[#This Row],[Hora Inicio]]-detalhe_carro1[[#This Row],[Ultima Chegada]])</f>
        <v>64</v>
      </c>
      <c r="P71" s="3">
        <f>IF(detalhe_carro1[[#This Row],[Tipo]]="Visitar Nó",((detalhe_carro1[[#This Row],[Hora Fim]]-detalhe_carro1[[#This Row],[Hora Inicio]])/60*velocidade_nos),0)</f>
        <v>0</v>
      </c>
      <c r="Q71" s="29">
        <f>detalhe_carro1[[#This Row],[Kms Nós]]+detalhe_carro1[[#This Row],[kms]]</f>
        <v>0</v>
      </c>
      <c r="S71" s="20">
        <v>2</v>
      </c>
      <c r="T71" s="38">
        <v>2</v>
      </c>
      <c r="U71" s="38">
        <v>5</v>
      </c>
      <c r="V71" s="38" t="s">
        <v>215</v>
      </c>
      <c r="W71" s="30">
        <v>840</v>
      </c>
      <c r="X71" s="30">
        <v>840</v>
      </c>
      <c r="Y71" s="30">
        <v>739</v>
      </c>
      <c r="Z71" s="39">
        <v>0.875</v>
      </c>
      <c r="AA71" s="39">
        <v>0.875</v>
      </c>
      <c r="AB71" s="39">
        <v>0.80486111111111114</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c r="AJ71" s="18"/>
      <c r="AM71"/>
      <c r="AN71"/>
    </row>
    <row r="72" spans="2:40" x14ac:dyDescent="0.25">
      <c r="B72" s="3">
        <v>2</v>
      </c>
      <c r="C72">
        <v>0</v>
      </c>
      <c r="D72">
        <v>4</v>
      </c>
      <c r="E72" s="29" t="s">
        <v>2</v>
      </c>
      <c r="F72" s="3">
        <v>450</v>
      </c>
      <c r="G72" s="3">
        <v>480</v>
      </c>
      <c r="H72" s="29" t="s">
        <v>45</v>
      </c>
      <c r="J72" s="7">
        <v>0.60416666666666663</v>
      </c>
      <c r="K72" s="7">
        <v>0.625</v>
      </c>
      <c r="L72" s="3">
        <f t="shared" si="2"/>
        <v>0</v>
      </c>
      <c r="M72" s="3">
        <f t="shared" si="3"/>
        <v>0</v>
      </c>
      <c r="N72" s="29">
        <f>_xlfn.MAXIFS($G$7:G71,$E$7:E71,detalhe_carro1[[#This Row],[Nó]],$B$7:B71,detalhe_carro1[[#This Row],[Numero Voltas]],$L$7:L71,1)</f>
        <v>386</v>
      </c>
      <c r="O72" s="3" t="str">
        <f>IF(OR(detalhe_carro1[[#This Row],[Ultima Chegada]]=0,detalhe_carro1[[#This Row],[Chegada]]=0),"",detalhe_carro1[[#This Row],[Hora Inicio]]-detalhe_carro1[[#This Row],[Ultima Chegada]])</f>
        <v/>
      </c>
      <c r="P72" s="3">
        <f>IF(detalhe_carro1[[#This Row],[Tipo]]="Visitar Nó",((detalhe_carro1[[#This Row],[Hora Fim]]-detalhe_carro1[[#This Row],[Hora Inicio]])/60*velocidade_nos),0)</f>
        <v>0</v>
      </c>
      <c r="Q72" s="29">
        <f>detalhe_carro1[[#This Row],[Kms Nós]]+detalhe_carro1[[#This Row],[kms]]</f>
        <v>0</v>
      </c>
      <c r="S72" s="20">
        <v>2</v>
      </c>
      <c r="T72" s="38">
        <v>2</v>
      </c>
      <c r="U72" s="38">
        <v>6</v>
      </c>
      <c r="V72" s="38" t="s">
        <v>300</v>
      </c>
      <c r="W72" s="30">
        <v>844</v>
      </c>
      <c r="X72" s="30">
        <v>844</v>
      </c>
      <c r="Y72" s="30">
        <v>735</v>
      </c>
      <c r="Z72" s="39">
        <v>0.87777777777777777</v>
      </c>
      <c r="AA72" s="39">
        <v>0.87777777777777777</v>
      </c>
      <c r="AB72" s="39">
        <v>0.80208333333333337</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1.8166666666666667</v>
      </c>
      <c r="AJ72" s="18"/>
      <c r="AM72"/>
      <c r="AN72"/>
    </row>
    <row r="73" spans="2:40" x14ac:dyDescent="0.25">
      <c r="B73" s="3">
        <v>2</v>
      </c>
      <c r="C73">
        <v>0</v>
      </c>
      <c r="D73">
        <v>4</v>
      </c>
      <c r="E73" s="29" t="s">
        <v>2</v>
      </c>
      <c r="F73" s="3">
        <v>480</v>
      </c>
      <c r="G73" s="3">
        <v>480</v>
      </c>
      <c r="H73" s="29" t="s">
        <v>44</v>
      </c>
      <c r="J73" s="7">
        <v>0.625</v>
      </c>
      <c r="K73" s="7">
        <v>0.625</v>
      </c>
      <c r="L73" s="3">
        <f t="shared" si="2"/>
        <v>0</v>
      </c>
      <c r="M73" s="3">
        <f t="shared" si="3"/>
        <v>0</v>
      </c>
      <c r="N73" s="29">
        <f>_xlfn.MAXIFS($G$7:G72,$E$7:E72,detalhe_carro1[[#This Row],[Nó]],$B$7:B72,detalhe_carro1[[#This Row],[Numero Voltas]],$L$7:L72,1)</f>
        <v>386</v>
      </c>
      <c r="O73" s="3" t="str">
        <f>IF(OR(detalhe_carro1[[#This Row],[Ultima Chegada]]=0,detalhe_carro1[[#This Row],[Chegada]]=0),"",detalhe_carro1[[#This Row],[Hora Inicio]]-detalhe_carro1[[#This Row],[Ultima Chegada]])</f>
        <v/>
      </c>
      <c r="P73" s="3">
        <f>IF(detalhe_carro1[[#This Row],[Tipo]]="Visitar Nó",((detalhe_carro1[[#This Row],[Hora Fim]]-detalhe_carro1[[#This Row],[Hora Inicio]])/60*velocidade_nos),0)</f>
        <v>0</v>
      </c>
      <c r="Q73" s="29">
        <f>detalhe_carro1[[#This Row],[Kms Nós]]+detalhe_carro1[[#This Row],[kms]]</f>
        <v>0</v>
      </c>
      <c r="S73" s="20">
        <v>2</v>
      </c>
      <c r="T73" s="38">
        <v>2</v>
      </c>
      <c r="U73" s="38">
        <v>7</v>
      </c>
      <c r="V73" s="38" t="s">
        <v>301</v>
      </c>
      <c r="W73" s="30">
        <v>846</v>
      </c>
      <c r="X73" s="30">
        <v>846</v>
      </c>
      <c r="Y73" s="30">
        <v>732</v>
      </c>
      <c r="Z73" s="39">
        <v>0.87916666666666665</v>
      </c>
      <c r="AA73" s="39">
        <v>0.87916666666666665</v>
      </c>
      <c r="AB73" s="39">
        <v>0.8</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v>
      </c>
      <c r="AJ73" s="18"/>
      <c r="AM73"/>
      <c r="AN73"/>
    </row>
    <row r="74" spans="2:40" x14ac:dyDescent="0.25">
      <c r="B74" s="3">
        <v>2</v>
      </c>
      <c r="C74">
        <v>1</v>
      </c>
      <c r="D74">
        <v>4</v>
      </c>
      <c r="E74" s="29" t="s">
        <v>2</v>
      </c>
      <c r="F74" s="3">
        <v>480</v>
      </c>
      <c r="G74" s="3">
        <v>480</v>
      </c>
      <c r="H74" s="29" t="s">
        <v>42</v>
      </c>
      <c r="J74" s="7">
        <v>0.625</v>
      </c>
      <c r="K74" s="7">
        <v>0.625</v>
      </c>
      <c r="L74" s="3">
        <f t="shared" si="2"/>
        <v>0</v>
      </c>
      <c r="M74" s="3">
        <f t="shared" si="3"/>
        <v>0</v>
      </c>
      <c r="N74" s="29">
        <f>_xlfn.MAXIFS($G$7:G73,$E$7:E73,detalhe_carro1[[#This Row],[Nó]],$B$7:B73,detalhe_carro1[[#This Row],[Numero Voltas]],$L$7:L73,1)</f>
        <v>386</v>
      </c>
      <c r="O74" s="3" t="str">
        <f>IF(OR(detalhe_carro1[[#This Row],[Ultima Chegada]]=0,detalhe_carro1[[#This Row],[Chegada]]=0),"",detalhe_carro1[[#This Row],[Hora Inicio]]-detalhe_carro1[[#This Row],[Ultima Chegada]])</f>
        <v/>
      </c>
      <c r="P74" s="3">
        <f>IF(detalhe_carro1[[#This Row],[Tipo]]="Visitar Nó",((detalhe_carro1[[#This Row],[Hora Fim]]-detalhe_carro1[[#This Row],[Hora Inicio]])/60*velocidade_nos),0)</f>
        <v>0</v>
      </c>
      <c r="Q74" s="29">
        <f>detalhe_carro1[[#This Row],[Kms Nós]]+detalhe_carro1[[#This Row],[kms]]</f>
        <v>0</v>
      </c>
      <c r="S74" s="20">
        <v>2</v>
      </c>
      <c r="T74" s="38">
        <v>2</v>
      </c>
      <c r="U74" s="38">
        <v>8</v>
      </c>
      <c r="V74" s="38" t="s">
        <v>302</v>
      </c>
      <c r="W74" s="30">
        <v>852</v>
      </c>
      <c r="X74" s="30">
        <v>852</v>
      </c>
      <c r="Y74" s="30">
        <v>726</v>
      </c>
      <c r="Z74" s="39">
        <v>0.8833333333333333</v>
      </c>
      <c r="AA74" s="39">
        <v>0.8833333333333333</v>
      </c>
      <c r="AB74" s="39">
        <v>0.79583333333333328</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c r="AJ74" s="18"/>
      <c r="AM74"/>
      <c r="AN74"/>
    </row>
    <row r="75" spans="2:40" x14ac:dyDescent="0.25">
      <c r="B75" s="3">
        <v>2</v>
      </c>
      <c r="C75">
        <v>1</v>
      </c>
      <c r="D75">
        <v>4</v>
      </c>
      <c r="E75" s="29" t="s">
        <v>2</v>
      </c>
      <c r="F75" s="3">
        <v>480</v>
      </c>
      <c r="G75" s="3">
        <v>480</v>
      </c>
      <c r="H75" s="29" t="s">
        <v>44</v>
      </c>
      <c r="J75" s="7">
        <v>0.625</v>
      </c>
      <c r="K75" s="7">
        <v>0.625</v>
      </c>
      <c r="L75" s="3">
        <f t="shared" si="2"/>
        <v>0</v>
      </c>
      <c r="M75" s="3">
        <f t="shared" si="3"/>
        <v>0</v>
      </c>
      <c r="N75" s="29">
        <f>_xlfn.MAXIFS($G$7:G74,$E$7:E74,detalhe_carro1[[#This Row],[Nó]],$B$7:B74,detalhe_carro1[[#This Row],[Numero Voltas]],$L$7:L74,1)</f>
        <v>386</v>
      </c>
      <c r="O75" s="3" t="str">
        <f>IF(OR(detalhe_carro1[[#This Row],[Ultima Chegada]]=0,detalhe_carro1[[#This Row],[Chegada]]=0),"",detalhe_carro1[[#This Row],[Hora Inicio]]-detalhe_carro1[[#This Row],[Ultima Chegada]])</f>
        <v/>
      </c>
      <c r="P75" s="3">
        <f>IF(detalhe_carro1[[#This Row],[Tipo]]="Visitar Nó",((detalhe_carro1[[#This Row],[Hora Fim]]-detalhe_carro1[[#This Row],[Hora Inicio]])/60*velocidade_nos),0)</f>
        <v>0</v>
      </c>
      <c r="Q75" s="29">
        <f>detalhe_carro1[[#This Row],[Kms Nós]]+detalhe_carro1[[#This Row],[kms]]</f>
        <v>0</v>
      </c>
      <c r="S75" s="20">
        <v>2</v>
      </c>
      <c r="T75" s="38">
        <v>2</v>
      </c>
      <c r="U75" s="38">
        <v>9</v>
      </c>
      <c r="V75" s="38" t="s">
        <v>303</v>
      </c>
      <c r="W75" s="30">
        <v>858</v>
      </c>
      <c r="X75" s="30">
        <v>858</v>
      </c>
      <c r="Y75" s="30">
        <v>720</v>
      </c>
      <c r="Z75" s="39">
        <v>0.88749999999999996</v>
      </c>
      <c r="AA75" s="39">
        <v>0.88749999999999996</v>
      </c>
      <c r="AB75" s="39">
        <v>0.79166666666666663</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2.2999999999999998</v>
      </c>
      <c r="AJ75" s="18"/>
      <c r="AM75"/>
      <c r="AN75"/>
    </row>
    <row r="76" spans="2:40" x14ac:dyDescent="0.25">
      <c r="B76" s="3">
        <v>2</v>
      </c>
      <c r="C76">
        <v>1</v>
      </c>
      <c r="D76">
        <v>4</v>
      </c>
      <c r="E76" s="29" t="s">
        <v>2</v>
      </c>
      <c r="F76" s="3">
        <v>480</v>
      </c>
      <c r="G76" s="3">
        <v>495</v>
      </c>
      <c r="H76" s="29" t="s">
        <v>47</v>
      </c>
      <c r="J76" s="7">
        <v>0.625</v>
      </c>
      <c r="K76" s="7">
        <v>0.63541666666666663</v>
      </c>
      <c r="L76" s="3">
        <f t="shared" si="2"/>
        <v>1</v>
      </c>
      <c r="M76" s="3">
        <f t="shared" si="3"/>
        <v>0</v>
      </c>
      <c r="N76" s="29">
        <f>_xlfn.MAXIFS($G$7:G75,$E$7:E75,detalhe_carro1[[#This Row],[Nó]],$B$7:B75,detalhe_carro1[[#This Row],[Numero Voltas]],$L$7:L75,1)</f>
        <v>386</v>
      </c>
      <c r="O76" s="3" t="str">
        <f>IF(OR(detalhe_carro1[[#This Row],[Ultima Chegada]]=0,detalhe_carro1[[#This Row],[Chegada]]=0),"",detalhe_carro1[[#This Row],[Hora Inicio]]-detalhe_carro1[[#This Row],[Ultima Chegada]])</f>
        <v/>
      </c>
      <c r="P76" s="3">
        <f>IF(detalhe_carro1[[#This Row],[Tipo]]="Visitar Nó",((detalhe_carro1[[#This Row],[Hora Fim]]-detalhe_carro1[[#This Row],[Hora Inicio]])/60*velocidade_nos),0)</f>
        <v>0</v>
      </c>
      <c r="Q76" s="29">
        <f>detalhe_carro1[[#This Row],[Kms Nós]]+detalhe_carro1[[#This Row],[kms]]</f>
        <v>0</v>
      </c>
      <c r="S76" s="20">
        <v>2</v>
      </c>
      <c r="T76" s="38">
        <v>2</v>
      </c>
      <c r="U76" s="38">
        <v>8</v>
      </c>
      <c r="V76" s="38" t="s">
        <v>302</v>
      </c>
      <c r="W76" s="30">
        <v>864</v>
      </c>
      <c r="X76" s="30">
        <v>874</v>
      </c>
      <c r="Y76" s="30">
        <v>852</v>
      </c>
      <c r="Z76" s="39">
        <v>0.89166666666666672</v>
      </c>
      <c r="AA76" s="39">
        <v>0.89861111111111114</v>
      </c>
      <c r="AB76" s="39">
        <v>0.8833333333333333</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c r="AJ76" s="18"/>
      <c r="AM76"/>
      <c r="AN76"/>
    </row>
    <row r="77" spans="2:40" x14ac:dyDescent="0.25">
      <c r="B77" s="3">
        <v>2</v>
      </c>
      <c r="C77">
        <v>1</v>
      </c>
      <c r="D77">
        <v>3</v>
      </c>
      <c r="E77" s="29" t="s">
        <v>208</v>
      </c>
      <c r="F77" s="3">
        <v>500</v>
      </c>
      <c r="G77" s="3">
        <v>500</v>
      </c>
      <c r="H77" s="29" t="s">
        <v>44</v>
      </c>
      <c r="J77" s="7">
        <v>0.63888888888888884</v>
      </c>
      <c r="K77" s="7">
        <v>0.63888888888888884</v>
      </c>
      <c r="L77" s="3">
        <f t="shared" si="2"/>
        <v>0</v>
      </c>
      <c r="M77" s="3">
        <f t="shared" si="3"/>
        <v>1</v>
      </c>
      <c r="N77" s="29">
        <f>_xlfn.MAXIFS($G$7:G76,$E$7:E76,detalhe_carro1[[#This Row],[Nó]],$B$7:B76,detalhe_carro1[[#This Row],[Numero Voltas]],$L$7:L76,1)</f>
        <v>381</v>
      </c>
      <c r="O77" s="3">
        <f>IF(OR(detalhe_carro1[[#This Row],[Ultima Chegada]]=0,detalhe_carro1[[#This Row],[Chegada]]=0),"",detalhe_carro1[[#This Row],[Hora Inicio]]-detalhe_carro1[[#This Row],[Ultima Chegada]])</f>
        <v>119</v>
      </c>
      <c r="P77" s="3">
        <f>IF(detalhe_carro1[[#This Row],[Tipo]]="Visitar Nó",((detalhe_carro1[[#This Row],[Hora Fim]]-detalhe_carro1[[#This Row],[Hora Inicio]])/60*velocidade_nos),0)</f>
        <v>0</v>
      </c>
      <c r="Q77" s="29">
        <f>detalhe_carro1[[#This Row],[Kms Nós]]+detalhe_carro1[[#This Row],[kms]]</f>
        <v>0</v>
      </c>
      <c r="S77" s="20">
        <v>2</v>
      </c>
      <c r="T77" s="38">
        <v>2</v>
      </c>
      <c r="U77" s="38">
        <v>7</v>
      </c>
      <c r="V77" s="38" t="s">
        <v>301</v>
      </c>
      <c r="W77" s="30">
        <v>880</v>
      </c>
      <c r="X77" s="30">
        <v>890</v>
      </c>
      <c r="Y77" s="30">
        <v>846</v>
      </c>
      <c r="Z77" s="39">
        <v>0.90277777777777779</v>
      </c>
      <c r="AA77" s="39">
        <v>0.90972222222222221</v>
      </c>
      <c r="AB77" s="39">
        <v>0.87916666666666665</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c r="AJ77" s="18"/>
      <c r="AM77"/>
      <c r="AN77"/>
    </row>
    <row r="78" spans="2:40" x14ac:dyDescent="0.25">
      <c r="B78" s="3">
        <v>2</v>
      </c>
      <c r="C78">
        <v>1</v>
      </c>
      <c r="D78">
        <v>3</v>
      </c>
      <c r="E78" s="29" t="s">
        <v>208</v>
      </c>
      <c r="F78" s="3">
        <v>500</v>
      </c>
      <c r="G78" s="3">
        <v>513</v>
      </c>
      <c r="H78" s="29" t="s">
        <v>43</v>
      </c>
      <c r="J78" s="7">
        <v>0.63888888888888884</v>
      </c>
      <c r="K78" s="7">
        <v>0.6479166666666667</v>
      </c>
      <c r="L78" s="3">
        <f t="shared" si="2"/>
        <v>1</v>
      </c>
      <c r="M78" s="3">
        <f t="shared" si="3"/>
        <v>0</v>
      </c>
      <c r="N78" s="29">
        <f>_xlfn.MAXIFS($G$7:G77,$E$7:E77,detalhe_carro1[[#This Row],[Nó]],$B$7:B77,detalhe_carro1[[#This Row],[Numero Voltas]],$L$7:L77,1)</f>
        <v>381</v>
      </c>
      <c r="O78" s="3" t="str">
        <f>IF(OR(detalhe_carro1[[#This Row],[Ultima Chegada]]=0,detalhe_carro1[[#This Row],[Chegada]]=0),"",detalhe_carro1[[#This Row],[Hora Inicio]]-detalhe_carro1[[#This Row],[Ultima Chegada]])</f>
        <v/>
      </c>
      <c r="P78" s="3">
        <f>IF(detalhe_carro1[[#This Row],[Tipo]]="Visitar Nó",((detalhe_carro1[[#This Row],[Hora Fim]]-detalhe_carro1[[#This Row],[Hora Inicio]])/60*velocidade_nos),0)</f>
        <v>6.5</v>
      </c>
      <c r="Q78" s="29">
        <f>detalhe_carro1[[#This Row],[Kms Nós]]+detalhe_carro1[[#This Row],[kms]]</f>
        <v>6.5</v>
      </c>
      <c r="S78" s="20">
        <v>2</v>
      </c>
      <c r="T78" s="38">
        <v>2</v>
      </c>
      <c r="U78" s="38">
        <v>6</v>
      </c>
      <c r="V78" s="38" t="s">
        <v>300</v>
      </c>
      <c r="W78" s="30">
        <v>894</v>
      </c>
      <c r="X78" s="30">
        <v>894</v>
      </c>
      <c r="Y78" s="30">
        <v>844</v>
      </c>
      <c r="Z78" s="39">
        <v>0.91249999999999998</v>
      </c>
      <c r="AA78" s="39">
        <v>0.91249999999999998</v>
      </c>
      <c r="AB78" s="39">
        <v>0.87777777777777777</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0.83333333333333337</v>
      </c>
      <c r="AJ78" s="18"/>
      <c r="AM78"/>
      <c r="AN78"/>
    </row>
    <row r="79" spans="2:40" x14ac:dyDescent="0.25">
      <c r="B79" s="3">
        <v>2</v>
      </c>
      <c r="C79">
        <v>1</v>
      </c>
      <c r="D79">
        <v>2</v>
      </c>
      <c r="E79" s="29" t="s">
        <v>228</v>
      </c>
      <c r="F79" s="3">
        <v>516</v>
      </c>
      <c r="G79" s="3">
        <v>516</v>
      </c>
      <c r="H79" s="29" t="s">
        <v>44</v>
      </c>
      <c r="J79" s="7">
        <v>0.65</v>
      </c>
      <c r="K79" s="7">
        <v>0.65</v>
      </c>
      <c r="L79" s="3">
        <f t="shared" si="2"/>
        <v>1</v>
      </c>
      <c r="M79" s="3">
        <f t="shared" si="3"/>
        <v>1</v>
      </c>
      <c r="N79" s="29">
        <f>_xlfn.MAXIFS($G$7:G78,$E$7:E78,detalhe_carro1[[#This Row],[Nó]],$B$7:B78,detalhe_carro1[[#This Row],[Numero Voltas]],$L$7:L78,1)</f>
        <v>365</v>
      </c>
      <c r="O79" s="3">
        <f>IF(OR(detalhe_carro1[[#This Row],[Ultima Chegada]]=0,detalhe_carro1[[#This Row],[Chegada]]=0),"",detalhe_carro1[[#This Row],[Hora Inicio]]-detalhe_carro1[[#This Row],[Ultima Chegada]])</f>
        <v>151</v>
      </c>
      <c r="P79" s="3">
        <f>IF(detalhe_carro1[[#This Row],[Tipo]]="Visitar Nó",((detalhe_carro1[[#This Row],[Hora Fim]]-detalhe_carro1[[#This Row],[Hora Inicio]])/60*velocidade_nos),0)</f>
        <v>0</v>
      </c>
      <c r="Q79" s="29">
        <f>detalhe_carro1[[#This Row],[Kms Nós]]+detalhe_carro1[[#This Row],[kms]]</f>
        <v>0</v>
      </c>
      <c r="S79" s="20">
        <v>2</v>
      </c>
      <c r="T79" s="38">
        <v>2</v>
      </c>
      <c r="U79" s="38">
        <v>5</v>
      </c>
      <c r="V79" s="38" t="s">
        <v>215</v>
      </c>
      <c r="W79" s="30">
        <v>898</v>
      </c>
      <c r="X79" s="30">
        <v>898</v>
      </c>
      <c r="Y79" s="30">
        <v>840</v>
      </c>
      <c r="Z79" s="39">
        <v>0.91527777777777775</v>
      </c>
      <c r="AA79" s="39">
        <v>0.91527777777777775</v>
      </c>
      <c r="AB79" s="39">
        <v>0.875</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c r="AJ79" s="18"/>
      <c r="AM79"/>
      <c r="AN79"/>
    </row>
    <row r="80" spans="2:40" x14ac:dyDescent="0.25">
      <c r="B80" s="3">
        <v>2</v>
      </c>
      <c r="C80">
        <v>1</v>
      </c>
      <c r="D80">
        <v>1</v>
      </c>
      <c r="E80" s="29" t="s">
        <v>200</v>
      </c>
      <c r="F80" s="3">
        <v>517</v>
      </c>
      <c r="G80" s="3">
        <v>517</v>
      </c>
      <c r="H80" s="29" t="s">
        <v>44</v>
      </c>
      <c r="J80" s="7">
        <v>0.65069444444444446</v>
      </c>
      <c r="K80" s="7">
        <v>0.65069444444444446</v>
      </c>
      <c r="L80" s="3">
        <f t="shared" si="2"/>
        <v>1</v>
      </c>
      <c r="M80" s="3">
        <f t="shared" si="3"/>
        <v>1</v>
      </c>
      <c r="N80" s="29">
        <f>_xlfn.MAXIFS($G$7:G79,$E$7:E79,detalhe_carro1[[#This Row],[Nó]],$B$7:B79,detalhe_carro1[[#This Row],[Numero Voltas]],$L$7:L79,1)</f>
        <v>364</v>
      </c>
      <c r="O80" s="3">
        <f>IF(OR(detalhe_carro1[[#This Row],[Ultima Chegada]]=0,detalhe_carro1[[#This Row],[Chegada]]=0),"",detalhe_carro1[[#This Row],[Hora Inicio]]-detalhe_carro1[[#This Row],[Ultima Chegada]])</f>
        <v>153</v>
      </c>
      <c r="P80" s="3">
        <f>IF(detalhe_carro1[[#This Row],[Tipo]]="Visitar Nó",((detalhe_carro1[[#This Row],[Hora Fim]]-detalhe_carro1[[#This Row],[Hora Inicio]])/60*velocidade_nos),0)</f>
        <v>0</v>
      </c>
      <c r="Q80" s="29">
        <f>detalhe_carro1[[#This Row],[Kms Nós]]+detalhe_carro1[[#This Row],[kms]]</f>
        <v>0</v>
      </c>
      <c r="S80" s="20">
        <v>2</v>
      </c>
      <c r="T80" s="38">
        <v>2</v>
      </c>
      <c r="U80" s="38">
        <v>4</v>
      </c>
      <c r="V80" s="38" t="s">
        <v>2</v>
      </c>
      <c r="W80" s="30">
        <v>900</v>
      </c>
      <c r="X80" s="30">
        <v>960</v>
      </c>
      <c r="Y80" s="30">
        <v>836</v>
      </c>
      <c r="Z80" s="39">
        <v>0.91666666666666663</v>
      </c>
      <c r="AA80" s="39">
        <v>0.95833333333333337</v>
      </c>
      <c r="AB80" s="39">
        <v>0.87222222222222223</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J80" s="18"/>
      <c r="AM80"/>
      <c r="AN80"/>
    </row>
    <row r="81" spans="2:40" x14ac:dyDescent="0.25">
      <c r="B81" s="3">
        <v>2</v>
      </c>
      <c r="C81">
        <v>1</v>
      </c>
      <c r="D81">
        <v>0</v>
      </c>
      <c r="E81" s="29" t="s">
        <v>203</v>
      </c>
      <c r="F81" s="3">
        <v>519</v>
      </c>
      <c r="G81" s="3">
        <v>519</v>
      </c>
      <c r="H81" s="29" t="s">
        <v>44</v>
      </c>
      <c r="J81" s="7">
        <v>0.65208333333333335</v>
      </c>
      <c r="K81" s="7">
        <v>0.65208333333333335</v>
      </c>
      <c r="L81" s="3">
        <f t="shared" si="2"/>
        <v>0</v>
      </c>
      <c r="M81" s="3">
        <f t="shared" si="3"/>
        <v>1</v>
      </c>
      <c r="N81" s="29">
        <f>_xlfn.MAXIFS($G$7:G80,$E$7:E80,detalhe_carro1[[#This Row],[Nó]],$B$7:B80,detalhe_carro1[[#This Row],[Numero Voltas]],$L$7:L80,1)</f>
        <v>362</v>
      </c>
      <c r="O81" s="3">
        <f>IF(OR(detalhe_carro1[[#This Row],[Ultima Chegada]]=0,detalhe_carro1[[#This Row],[Chegada]]=0),"",detalhe_carro1[[#This Row],[Hora Inicio]]-detalhe_carro1[[#This Row],[Ultima Chegada]])</f>
        <v>157</v>
      </c>
      <c r="P81" s="3">
        <f>IF(detalhe_carro1[[#This Row],[Tipo]]="Visitar Nó",((detalhe_carro1[[#This Row],[Hora Fim]]-detalhe_carro1[[#This Row],[Hora Inicio]])/60*velocidade_nos),0)</f>
        <v>0</v>
      </c>
      <c r="Q81" s="29">
        <f>detalhe_carro1[[#This Row],[Kms Nós]]+detalhe_carro1[[#This Row],[kms]]</f>
        <v>0</v>
      </c>
      <c r="S81" s="20">
        <v>2</v>
      </c>
      <c r="T81" s="38">
        <v>2</v>
      </c>
      <c r="U81" s="38">
        <v>4</v>
      </c>
      <c r="V81" s="38" t="s">
        <v>2</v>
      </c>
      <c r="W81" s="30">
        <v>960</v>
      </c>
      <c r="X81" s="30">
        <v>975</v>
      </c>
      <c r="Y81" s="30">
        <v>960</v>
      </c>
      <c r="Z81" s="39">
        <v>0.95833333333333337</v>
      </c>
      <c r="AA81" s="39">
        <v>0.96875</v>
      </c>
      <c r="AB81" s="39">
        <v>0.95833333333333337</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81" s="18"/>
      <c r="AM81"/>
      <c r="AN81"/>
    </row>
    <row r="82" spans="2:40" x14ac:dyDescent="0.25">
      <c r="B82" s="3">
        <v>2</v>
      </c>
      <c r="C82">
        <v>1</v>
      </c>
      <c r="D82">
        <v>0</v>
      </c>
      <c r="E82" s="29" t="s">
        <v>203</v>
      </c>
      <c r="F82" s="3">
        <v>519</v>
      </c>
      <c r="G82" s="3">
        <v>549</v>
      </c>
      <c r="H82" s="29" t="s">
        <v>45</v>
      </c>
      <c r="J82" s="7">
        <v>0.65208333333333335</v>
      </c>
      <c r="K82" s="7">
        <v>0.67291666666666672</v>
      </c>
      <c r="L82" s="3">
        <f t="shared" si="2"/>
        <v>0</v>
      </c>
      <c r="M82" s="3">
        <f t="shared" si="3"/>
        <v>0</v>
      </c>
      <c r="N82" s="29">
        <f>_xlfn.MAXIFS($G$7:G81,$E$7:E81,detalhe_carro1[[#This Row],[Nó]],$B$7:B81,detalhe_carro1[[#This Row],[Numero Voltas]],$L$7:L81,1)</f>
        <v>362</v>
      </c>
      <c r="O82" s="3" t="str">
        <f>IF(OR(detalhe_carro1[[#This Row],[Ultima Chegada]]=0,detalhe_carro1[[#This Row],[Chegada]]=0),"",detalhe_carro1[[#This Row],[Hora Inicio]]-detalhe_carro1[[#This Row],[Ultima Chegada]])</f>
        <v/>
      </c>
      <c r="P82" s="3">
        <f>IF(detalhe_carro1[[#This Row],[Tipo]]="Visitar Nó",((detalhe_carro1[[#This Row],[Hora Fim]]-detalhe_carro1[[#This Row],[Hora Inicio]])/60*velocidade_nos),0)</f>
        <v>0</v>
      </c>
      <c r="Q82" s="29">
        <f>detalhe_carro1[[#This Row],[Kms Nós]]+detalhe_carro1[[#This Row],[kms]]</f>
        <v>0</v>
      </c>
      <c r="S82" s="20">
        <v>2</v>
      </c>
      <c r="T82" s="38">
        <v>2</v>
      </c>
      <c r="U82" s="38">
        <v>3</v>
      </c>
      <c r="V82" s="38" t="s">
        <v>208</v>
      </c>
      <c r="W82" s="30">
        <v>980</v>
      </c>
      <c r="X82" s="30">
        <v>980</v>
      </c>
      <c r="Y82" s="30">
        <v>832</v>
      </c>
      <c r="Z82" s="39">
        <v>0.97222222222222221</v>
      </c>
      <c r="AA82" s="39">
        <v>0.97222222222222221</v>
      </c>
      <c r="AB82" s="39">
        <v>0.86944444444444446</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2.4666666666666668</v>
      </c>
      <c r="AJ82" s="18"/>
      <c r="AM82"/>
      <c r="AN82"/>
    </row>
    <row r="83" spans="2:40" x14ac:dyDescent="0.25">
      <c r="B83" s="3">
        <v>2</v>
      </c>
      <c r="C83">
        <v>1</v>
      </c>
      <c r="D83">
        <v>0</v>
      </c>
      <c r="E83" s="29" t="s">
        <v>203</v>
      </c>
      <c r="F83" s="3">
        <v>549</v>
      </c>
      <c r="G83" s="3">
        <v>549</v>
      </c>
      <c r="H83" s="29" t="s">
        <v>44</v>
      </c>
      <c r="J83" s="7">
        <v>0.67291666666666672</v>
      </c>
      <c r="K83" s="7">
        <v>0.67291666666666672</v>
      </c>
      <c r="L83" s="3">
        <f t="shared" si="2"/>
        <v>1</v>
      </c>
      <c r="M83" s="3">
        <f t="shared" si="3"/>
        <v>0</v>
      </c>
      <c r="N83" s="29">
        <f>_xlfn.MAXIFS($G$7:G82,$E$7:E82,detalhe_carro1[[#This Row],[Nó]],$B$7:B82,detalhe_carro1[[#This Row],[Numero Voltas]],$L$7:L82,1)</f>
        <v>362</v>
      </c>
      <c r="O83" s="3" t="str">
        <f>IF(OR(detalhe_carro1[[#This Row],[Ultima Chegada]]=0,detalhe_carro1[[#This Row],[Chegada]]=0),"",detalhe_carro1[[#This Row],[Hora Inicio]]-detalhe_carro1[[#This Row],[Ultima Chegada]])</f>
        <v/>
      </c>
      <c r="P83" s="3">
        <f>IF(detalhe_carro1[[#This Row],[Tipo]]="Visitar Nó",((detalhe_carro1[[#This Row],[Hora Fim]]-detalhe_carro1[[#This Row],[Hora Inicio]])/60*velocidade_nos),0)</f>
        <v>0</v>
      </c>
      <c r="Q83" s="29">
        <f>detalhe_carro1[[#This Row],[Kms Nós]]+detalhe_carro1[[#This Row],[kms]]</f>
        <v>0</v>
      </c>
      <c r="S83" s="20">
        <v>2</v>
      </c>
      <c r="T83" s="38">
        <v>2</v>
      </c>
      <c r="U83" s="38">
        <v>2</v>
      </c>
      <c r="V83" s="38" t="s">
        <v>228</v>
      </c>
      <c r="W83" s="30">
        <v>983</v>
      </c>
      <c r="X83" s="30">
        <v>983</v>
      </c>
      <c r="Y83" s="30">
        <v>828</v>
      </c>
      <c r="Z83" s="39">
        <v>0.97430555555555554</v>
      </c>
      <c r="AA83" s="39">
        <v>0.97430555555555554</v>
      </c>
      <c r="AB83" s="39">
        <v>0.8666666666666667</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2.5833333333333335</v>
      </c>
      <c r="AJ83" s="18"/>
    </row>
    <row r="84" spans="2:40" x14ac:dyDescent="0.25">
      <c r="B84" s="3">
        <v>2</v>
      </c>
      <c r="C84">
        <v>1</v>
      </c>
      <c r="D84">
        <v>1</v>
      </c>
      <c r="E84" s="29" t="s">
        <v>200</v>
      </c>
      <c r="F84" s="3">
        <v>551</v>
      </c>
      <c r="G84" s="3">
        <v>551</v>
      </c>
      <c r="H84" s="29" t="s">
        <v>44</v>
      </c>
      <c r="J84" s="7">
        <v>0.6743055555555556</v>
      </c>
      <c r="K84" s="7">
        <v>0.6743055555555556</v>
      </c>
      <c r="L84" s="3">
        <f t="shared" si="2"/>
        <v>0</v>
      </c>
      <c r="M84" s="3">
        <f t="shared" si="3"/>
        <v>1</v>
      </c>
      <c r="N84" s="29">
        <f>_xlfn.MAXIFS($G$7:G83,$E$7:E83,detalhe_carro1[[#This Row],[Nó]],$B$7:B83,detalhe_carro1[[#This Row],[Numero Voltas]],$L$7:L83,1)</f>
        <v>517</v>
      </c>
      <c r="O84" s="3">
        <f>IF(OR(detalhe_carro1[[#This Row],[Ultima Chegada]]=0,detalhe_carro1[[#This Row],[Chegada]]=0),"",detalhe_carro1[[#This Row],[Hora Inicio]]-detalhe_carro1[[#This Row],[Ultima Chegada]])</f>
        <v>34</v>
      </c>
      <c r="P84" s="3">
        <f>IF(detalhe_carro1[[#This Row],[Tipo]]="Visitar Nó",((detalhe_carro1[[#This Row],[Hora Fim]]-detalhe_carro1[[#This Row],[Hora Inicio]])/60*velocidade_nos),0)</f>
        <v>0</v>
      </c>
      <c r="Q84" s="29">
        <f>detalhe_carro1[[#This Row],[Kms Nós]]+detalhe_carro1[[#This Row],[kms]]</f>
        <v>0</v>
      </c>
      <c r="S84" s="20">
        <v>2</v>
      </c>
      <c r="T84" s="38">
        <v>2</v>
      </c>
      <c r="U84" s="38">
        <v>1</v>
      </c>
      <c r="V84" s="38" t="s">
        <v>200</v>
      </c>
      <c r="W84" s="30">
        <v>984</v>
      </c>
      <c r="X84" s="30">
        <v>984</v>
      </c>
      <c r="Y84" s="30">
        <v>828</v>
      </c>
      <c r="Z84" s="39">
        <v>0.97499999999999998</v>
      </c>
      <c r="AA84" s="39">
        <v>0.97499999999999998</v>
      </c>
      <c r="AB84" s="39">
        <v>0.8666666666666667</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c r="AJ84" s="18"/>
    </row>
    <row r="85" spans="2:40" x14ac:dyDescent="0.25">
      <c r="B85" s="3">
        <v>2</v>
      </c>
      <c r="C85">
        <v>1</v>
      </c>
      <c r="D85">
        <v>1</v>
      </c>
      <c r="E85" s="29" t="s">
        <v>200</v>
      </c>
      <c r="F85" s="3">
        <v>551</v>
      </c>
      <c r="G85" s="3">
        <v>555</v>
      </c>
      <c r="H85" s="29" t="s">
        <v>43</v>
      </c>
      <c r="J85" s="7">
        <v>0.6743055555555556</v>
      </c>
      <c r="K85" s="7">
        <v>0.67708333333333337</v>
      </c>
      <c r="L85" s="3">
        <f t="shared" si="2"/>
        <v>1</v>
      </c>
      <c r="M85" s="3">
        <f t="shared" si="3"/>
        <v>0</v>
      </c>
      <c r="N85" s="29">
        <f>_xlfn.MAXIFS($G$7:G84,$E$7:E84,detalhe_carro1[[#This Row],[Nó]],$B$7:B84,detalhe_carro1[[#This Row],[Numero Voltas]],$L$7:L84,1)</f>
        <v>517</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2</v>
      </c>
      <c r="Q85" s="29">
        <f>detalhe_carro1[[#This Row],[Kms Nós]]+detalhe_carro1[[#This Row],[kms]]</f>
        <v>2</v>
      </c>
      <c r="S85" s="20">
        <v>2</v>
      </c>
      <c r="T85" s="38">
        <v>2</v>
      </c>
      <c r="U85" s="38">
        <v>0</v>
      </c>
      <c r="V85" s="38" t="s">
        <v>203</v>
      </c>
      <c r="W85" s="30">
        <v>986</v>
      </c>
      <c r="X85" s="30">
        <v>1016</v>
      </c>
      <c r="Y85" s="30">
        <v>826</v>
      </c>
      <c r="Z85" s="39">
        <v>0.97638888888888886</v>
      </c>
      <c r="AA85" s="39">
        <v>0.99722222222222223</v>
      </c>
      <c r="AB85" s="39">
        <v>0.86527777777777781</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c r="AJ85" s="18"/>
    </row>
    <row r="86" spans="2:40" x14ac:dyDescent="0.25">
      <c r="B86" s="3">
        <v>2</v>
      </c>
      <c r="C86">
        <v>1</v>
      </c>
      <c r="D86">
        <v>2</v>
      </c>
      <c r="E86" s="29" t="s">
        <v>228</v>
      </c>
      <c r="F86" s="3">
        <v>556</v>
      </c>
      <c r="G86" s="3">
        <v>556</v>
      </c>
      <c r="H86" s="29" t="s">
        <v>44</v>
      </c>
      <c r="J86" s="7">
        <v>0.67777777777777781</v>
      </c>
      <c r="K86" s="7">
        <v>0.67777777777777781</v>
      </c>
      <c r="L86" s="3">
        <f t="shared" si="2"/>
        <v>0</v>
      </c>
      <c r="M86" s="3">
        <f t="shared" si="3"/>
        <v>1</v>
      </c>
      <c r="N86" s="29">
        <f>_xlfn.MAXIFS($G$7:G85,$E$7:E85,detalhe_carro1[[#This Row],[Nó]],$B$7:B85,detalhe_carro1[[#This Row],[Numero Voltas]],$L$7:L85,1)</f>
        <v>516</v>
      </c>
      <c r="O86" s="3">
        <f>IF(OR(detalhe_carro1[[#This Row],[Ultima Chegada]]=0,detalhe_carro1[[#This Row],[Chegada]]=0),"",detalhe_carro1[[#This Row],[Hora Inicio]]-detalhe_carro1[[#This Row],[Ultima Chegada]])</f>
        <v>40</v>
      </c>
      <c r="P86" s="3">
        <f>IF(detalhe_carro1[[#This Row],[Tipo]]="Visitar Nó",((detalhe_carro1[[#This Row],[Hora Fim]]-detalhe_carro1[[#This Row],[Hora Inicio]])/60*velocidade_nos),0)</f>
        <v>0</v>
      </c>
      <c r="Q86" s="29">
        <f>detalhe_carro1[[#This Row],[Kms Nós]]+detalhe_carro1[[#This Row],[kms]]</f>
        <v>0</v>
      </c>
      <c r="S86" s="20">
        <v>2</v>
      </c>
      <c r="T86" s="38">
        <v>2</v>
      </c>
      <c r="U86" s="38">
        <v>1</v>
      </c>
      <c r="V86" s="38" t="s">
        <v>200</v>
      </c>
      <c r="W86" s="30">
        <v>1018</v>
      </c>
      <c r="X86" s="30">
        <v>1022</v>
      </c>
      <c r="Y86" s="30">
        <v>984</v>
      </c>
      <c r="Z86" s="39">
        <v>0.99861111111111112</v>
      </c>
      <c r="AA86" s="39">
        <v>1.3888888888888889E-3</v>
      </c>
      <c r="AB86" s="39">
        <v>0.97499999999999998</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87" spans="2:40" x14ac:dyDescent="0.25">
      <c r="B87" s="3">
        <v>2</v>
      </c>
      <c r="C87">
        <v>1</v>
      </c>
      <c r="D87">
        <v>2</v>
      </c>
      <c r="E87" s="29" t="s">
        <v>228</v>
      </c>
      <c r="F87" s="3">
        <v>556</v>
      </c>
      <c r="G87" s="3">
        <v>574</v>
      </c>
      <c r="H87" s="29" t="s">
        <v>43</v>
      </c>
      <c r="J87" s="7">
        <v>0.67777777777777781</v>
      </c>
      <c r="K87" s="7">
        <v>0.69027777777777777</v>
      </c>
      <c r="L87" s="3">
        <f t="shared" si="2"/>
        <v>1</v>
      </c>
      <c r="M87" s="3">
        <f t="shared" si="3"/>
        <v>0</v>
      </c>
      <c r="N87" s="29">
        <f>_xlfn.MAXIFS($G$7:G86,$E$7:E86,detalhe_carro1[[#This Row],[Nó]],$B$7:B86,detalhe_carro1[[#This Row],[Numero Voltas]],$L$7:L86,1)</f>
        <v>516</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9</v>
      </c>
      <c r="Q87" s="29">
        <f>detalhe_carro1[[#This Row],[Kms Nós]]+detalhe_carro1[[#This Row],[kms]]</f>
        <v>9</v>
      </c>
      <c r="S87" s="20">
        <v>2</v>
      </c>
      <c r="T87" s="38">
        <v>2</v>
      </c>
      <c r="U87" s="38">
        <v>2</v>
      </c>
      <c r="V87" s="38" t="s">
        <v>228</v>
      </c>
      <c r="W87" s="30">
        <v>1023</v>
      </c>
      <c r="X87" s="30">
        <v>1041</v>
      </c>
      <c r="Y87" s="30">
        <v>983</v>
      </c>
      <c r="Z87" s="39">
        <v>2.0833333333333333E-3</v>
      </c>
      <c r="AA87" s="39">
        <v>1.4583333333333334E-2</v>
      </c>
      <c r="AB87" s="39">
        <v>0.97430555555555554</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row>
    <row r="88" spans="2:40" x14ac:dyDescent="0.25">
      <c r="B88" s="3">
        <v>2</v>
      </c>
      <c r="C88">
        <v>1</v>
      </c>
      <c r="D88">
        <v>3</v>
      </c>
      <c r="E88" s="29" t="s">
        <v>208</v>
      </c>
      <c r="F88" s="3">
        <v>577</v>
      </c>
      <c r="G88" s="3">
        <v>577</v>
      </c>
      <c r="H88" s="29" t="s">
        <v>44</v>
      </c>
      <c r="J88" s="7">
        <v>0.69236111111111109</v>
      </c>
      <c r="K88" s="7">
        <v>0.69236111111111109</v>
      </c>
      <c r="L88" s="3">
        <f t="shared" si="2"/>
        <v>0</v>
      </c>
      <c r="M88" s="3">
        <f t="shared" si="3"/>
        <v>1</v>
      </c>
      <c r="N88" s="29">
        <f>_xlfn.MAXIFS($G$7:G87,$E$7:E87,detalhe_carro1[[#This Row],[Nó]],$B$7:B87,detalhe_carro1[[#This Row],[Numero Voltas]],$L$7:L87,1)</f>
        <v>513</v>
      </c>
      <c r="O88" s="3">
        <f>IF(OR(detalhe_carro1[[#This Row],[Ultima Chegada]]=0,detalhe_carro1[[#This Row],[Chegada]]=0),"",detalhe_carro1[[#This Row],[Hora Inicio]]-detalhe_carro1[[#This Row],[Ultima Chegada]])</f>
        <v>64</v>
      </c>
      <c r="P88" s="3">
        <f>IF(detalhe_carro1[[#This Row],[Tipo]]="Visitar Nó",((detalhe_carro1[[#This Row],[Hora Fim]]-detalhe_carro1[[#This Row],[Hora Inicio]])/60*velocidade_nos),0)</f>
        <v>0</v>
      </c>
      <c r="Q88" s="29">
        <f>detalhe_carro1[[#This Row],[Kms Nós]]+detalhe_carro1[[#This Row],[kms]]</f>
        <v>0</v>
      </c>
      <c r="S88" s="20">
        <v>2</v>
      </c>
      <c r="T88" s="38">
        <v>2</v>
      </c>
      <c r="U88" s="38">
        <v>3</v>
      </c>
      <c r="V88" s="38" t="s">
        <v>208</v>
      </c>
      <c r="W88" s="30">
        <v>1044</v>
      </c>
      <c r="X88" s="30">
        <v>1044</v>
      </c>
      <c r="Y88" s="30">
        <v>980</v>
      </c>
      <c r="Z88" s="39">
        <v>1.6666666666666666E-2</v>
      </c>
      <c r="AA88" s="39">
        <v>1.6666666666666666E-2</v>
      </c>
      <c r="AB88" s="39">
        <v>0.97222222222222221</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row>
    <row r="89" spans="2:40" x14ac:dyDescent="0.25">
      <c r="B89" s="3">
        <v>2</v>
      </c>
      <c r="C89">
        <v>1</v>
      </c>
      <c r="D89">
        <v>3</v>
      </c>
      <c r="E89" s="29" t="s">
        <v>208</v>
      </c>
      <c r="F89" s="3">
        <v>577</v>
      </c>
      <c r="G89" s="3">
        <v>590</v>
      </c>
      <c r="H89" s="29" t="s">
        <v>43</v>
      </c>
      <c r="J89" s="7">
        <v>0.69236111111111109</v>
      </c>
      <c r="K89" s="7">
        <v>0.70138888888888884</v>
      </c>
      <c r="L89" s="3">
        <f t="shared" si="2"/>
        <v>1</v>
      </c>
      <c r="M89" s="3">
        <f t="shared" si="3"/>
        <v>0</v>
      </c>
      <c r="N89" s="29">
        <f>_xlfn.MAXIFS($G$7:G88,$E$7:E88,detalhe_carro1[[#This Row],[Nó]],$B$7:B88,detalhe_carro1[[#This Row],[Numero Voltas]],$L$7:L88,1)</f>
        <v>513</v>
      </c>
      <c r="O89" s="3" t="str">
        <f>IF(OR(detalhe_carro1[[#This Row],[Ultima Chegada]]=0,detalhe_carro1[[#This Row],[Chegada]]=0),"",detalhe_carro1[[#This Row],[Hora Inicio]]-detalhe_carro1[[#This Row],[Ultima Chegada]])</f>
        <v/>
      </c>
      <c r="P89" s="3">
        <f>IF(detalhe_carro1[[#This Row],[Tipo]]="Visitar Nó",((detalhe_carro1[[#This Row],[Hora Fim]]-detalhe_carro1[[#This Row],[Hora Inicio]])/60*velocidade_nos),0)</f>
        <v>6.5</v>
      </c>
      <c r="Q89" s="29">
        <f>detalhe_carro1[[#This Row],[Kms Nós]]+detalhe_carro1[[#This Row],[kms]]</f>
        <v>6.5</v>
      </c>
      <c r="S89" s="20">
        <v>2</v>
      </c>
      <c r="T89" s="38">
        <v>2</v>
      </c>
      <c r="U89" s="38">
        <v>4</v>
      </c>
      <c r="V89" s="38" t="s">
        <v>2</v>
      </c>
      <c r="W89" s="30">
        <v>1049</v>
      </c>
      <c r="X89" s="30">
        <v>1062</v>
      </c>
      <c r="Y89" s="30">
        <v>975</v>
      </c>
      <c r="Z89" s="39">
        <v>2.013888888888889E-2</v>
      </c>
      <c r="AA89" s="39">
        <v>2.9166666666666667E-2</v>
      </c>
      <c r="AB89" s="39">
        <v>0.96875</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90" spans="2:40" x14ac:dyDescent="0.25">
      <c r="B90" s="3">
        <v>2</v>
      </c>
      <c r="C90">
        <v>1</v>
      </c>
      <c r="D90">
        <v>4</v>
      </c>
      <c r="E90" s="29" t="s">
        <v>2</v>
      </c>
      <c r="F90" s="3">
        <v>595</v>
      </c>
      <c r="G90" s="3">
        <v>595</v>
      </c>
      <c r="H90" s="29" t="s">
        <v>44</v>
      </c>
      <c r="J90" s="7">
        <v>0.70486111111111116</v>
      </c>
      <c r="K90" s="7">
        <v>0.70486111111111116</v>
      </c>
      <c r="L90" s="3">
        <f t="shared" si="2"/>
        <v>0</v>
      </c>
      <c r="M90" s="3">
        <f t="shared" si="3"/>
        <v>1</v>
      </c>
      <c r="N90" s="29">
        <f>_xlfn.MAXIFS($G$7:G89,$E$7:E89,detalhe_carro1[[#This Row],[Nó]],$B$7:B89,detalhe_carro1[[#This Row],[Numero Voltas]],$L$7:L89,1)</f>
        <v>495</v>
      </c>
      <c r="O90" s="3">
        <f>IF(OR(detalhe_carro1[[#This Row],[Ultima Chegada]]=0,detalhe_carro1[[#This Row],[Chegada]]=0),"",detalhe_carro1[[#This Row],[Hora Inicio]]-detalhe_carro1[[#This Row],[Ultima Chegada]])</f>
        <v>100</v>
      </c>
      <c r="P90" s="3">
        <f>IF(detalhe_carro1[[#This Row],[Tipo]]="Visitar Nó",((detalhe_carro1[[#This Row],[Hora Fim]]-detalhe_carro1[[#This Row],[Hora Inicio]])/60*velocidade_nos),0)</f>
        <v>0</v>
      </c>
      <c r="Q90" s="29">
        <f>detalhe_carro1[[#This Row],[Kms Nós]]+detalhe_carro1[[#This Row],[kms]]</f>
        <v>0</v>
      </c>
      <c r="S90" s="20">
        <v>2</v>
      </c>
      <c r="T90" s="38">
        <v>2</v>
      </c>
      <c r="U90" s="38">
        <v>5</v>
      </c>
      <c r="V90" s="38" t="s">
        <v>215</v>
      </c>
      <c r="W90" s="30">
        <v>1065</v>
      </c>
      <c r="X90" s="30">
        <v>1065</v>
      </c>
      <c r="Y90" s="30">
        <v>898</v>
      </c>
      <c r="Z90" s="39">
        <v>3.125E-2</v>
      </c>
      <c r="AA90" s="39">
        <v>3.125E-2</v>
      </c>
      <c r="AB90" s="39">
        <v>0.91527777777777775</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row>
    <row r="91" spans="2:40" x14ac:dyDescent="0.25">
      <c r="B91" s="3">
        <v>2</v>
      </c>
      <c r="C91">
        <v>1</v>
      </c>
      <c r="D91">
        <v>4</v>
      </c>
      <c r="E91" s="29" t="s">
        <v>2</v>
      </c>
      <c r="F91" s="3">
        <v>595</v>
      </c>
      <c r="G91" s="3">
        <v>608</v>
      </c>
      <c r="H91" s="29" t="s">
        <v>43</v>
      </c>
      <c r="J91" s="7">
        <v>0.70486111111111116</v>
      </c>
      <c r="K91" s="7">
        <v>0.71388888888888891</v>
      </c>
      <c r="L91" s="3">
        <f t="shared" si="2"/>
        <v>1</v>
      </c>
      <c r="M91" s="3">
        <f t="shared" si="3"/>
        <v>0</v>
      </c>
      <c r="N91" s="29">
        <f>_xlfn.MAXIFS($G$7:G90,$E$7:E90,detalhe_carro1[[#This Row],[Nó]],$B$7:B90,detalhe_carro1[[#This Row],[Numero Voltas]],$L$7:L90,1)</f>
        <v>495</v>
      </c>
      <c r="O91" s="3" t="str">
        <f>IF(OR(detalhe_carro1[[#This Row],[Ultima Chegada]]=0,detalhe_carro1[[#This Row],[Chegada]]=0),"",detalhe_carro1[[#This Row],[Hora Inicio]]-detalhe_carro1[[#This Row],[Ultima Chegada]])</f>
        <v/>
      </c>
      <c r="P91" s="3">
        <f>IF(detalhe_carro1[[#This Row],[Tipo]]="Visitar Nó",((detalhe_carro1[[#This Row],[Hora Fim]]-detalhe_carro1[[#This Row],[Hora Inicio]])/60*velocidade_nos),0)</f>
        <v>6.5</v>
      </c>
      <c r="Q91" s="29">
        <f>detalhe_carro1[[#This Row],[Kms Nós]]+detalhe_carro1[[#This Row],[kms]]</f>
        <v>6.5</v>
      </c>
      <c r="S91" s="20">
        <v>2</v>
      </c>
      <c r="T91" s="38">
        <v>2</v>
      </c>
      <c r="U91" s="38">
        <v>6</v>
      </c>
      <c r="V91" s="38" t="s">
        <v>300</v>
      </c>
      <c r="W91" s="30">
        <v>1069</v>
      </c>
      <c r="X91" s="30">
        <v>1069</v>
      </c>
      <c r="Y91" s="30">
        <v>894</v>
      </c>
      <c r="Z91" s="39">
        <v>3.4027777777777775E-2</v>
      </c>
      <c r="AA91" s="39">
        <v>3.4027777777777775E-2</v>
      </c>
      <c r="AB91" s="39">
        <v>0.91249999999999998</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2.9166666666666665</v>
      </c>
    </row>
    <row r="92" spans="2:40" x14ac:dyDescent="0.25">
      <c r="B92" s="3">
        <v>2</v>
      </c>
      <c r="C92">
        <v>1</v>
      </c>
      <c r="D92">
        <v>5</v>
      </c>
      <c r="E92" s="29" t="s">
        <v>215</v>
      </c>
      <c r="F92" s="3">
        <v>611</v>
      </c>
      <c r="G92" s="3">
        <v>611</v>
      </c>
      <c r="H92" s="29" t="s">
        <v>44</v>
      </c>
      <c r="J92" s="7">
        <v>0.71597222222222223</v>
      </c>
      <c r="K92" s="7">
        <v>0.71597222222222223</v>
      </c>
      <c r="L92" s="3">
        <f t="shared" si="2"/>
        <v>1</v>
      </c>
      <c r="M92" s="3">
        <f t="shared" si="3"/>
        <v>1</v>
      </c>
      <c r="N92" s="29">
        <f>_xlfn.MAXIFS($G$7:G91,$E$7:E91,detalhe_carro1[[#This Row],[Nó]],$B$7:B91,detalhe_carro1[[#This Row],[Numero Voltas]],$L$7:L91,1)</f>
        <v>447</v>
      </c>
      <c r="O92" s="3">
        <f>IF(OR(detalhe_carro1[[#This Row],[Ultima Chegada]]=0,detalhe_carro1[[#This Row],[Chegada]]=0),"",detalhe_carro1[[#This Row],[Hora Inicio]]-detalhe_carro1[[#This Row],[Ultima Chegada]])</f>
        <v>164</v>
      </c>
      <c r="P92" s="3">
        <f>IF(detalhe_carro1[[#This Row],[Tipo]]="Visitar Nó",((detalhe_carro1[[#This Row],[Hora Fim]]-detalhe_carro1[[#This Row],[Hora Inicio]])/60*velocidade_nos),0)</f>
        <v>0</v>
      </c>
      <c r="Q92" s="29">
        <f>detalhe_carro1[[#This Row],[Kms Nós]]+detalhe_carro1[[#This Row],[kms]]</f>
        <v>0</v>
      </c>
      <c r="S92" s="20">
        <v>2</v>
      </c>
      <c r="T92" s="38">
        <v>2</v>
      </c>
      <c r="U92" s="38">
        <v>7</v>
      </c>
      <c r="V92" s="38" t="s">
        <v>301</v>
      </c>
      <c r="W92" s="30">
        <v>1072</v>
      </c>
      <c r="X92" s="30">
        <v>1072</v>
      </c>
      <c r="Y92" s="30">
        <v>890</v>
      </c>
      <c r="Z92" s="39">
        <v>3.6111111111111108E-2</v>
      </c>
      <c r="AA92" s="39">
        <v>3.6111111111111108E-2</v>
      </c>
      <c r="AB92" s="39">
        <v>0.90972222222222221</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3.0333333333333332</v>
      </c>
    </row>
    <row r="93" spans="2:40" x14ac:dyDescent="0.25">
      <c r="B93" s="3">
        <v>2</v>
      </c>
      <c r="C93">
        <v>1</v>
      </c>
      <c r="D93">
        <v>6</v>
      </c>
      <c r="E93" s="29" t="s">
        <v>300</v>
      </c>
      <c r="F93" s="3">
        <v>615</v>
      </c>
      <c r="G93" s="3">
        <v>615</v>
      </c>
      <c r="H93" s="29" t="s">
        <v>44</v>
      </c>
      <c r="J93" s="7">
        <v>0.71875</v>
      </c>
      <c r="K93" s="7">
        <v>0.71875</v>
      </c>
      <c r="L93" s="3">
        <f t="shared" si="2"/>
        <v>1</v>
      </c>
      <c r="M93" s="3">
        <f t="shared" si="3"/>
        <v>1</v>
      </c>
      <c r="N93" s="29">
        <f>_xlfn.MAXIFS($G$7:G92,$E$7:E92,detalhe_carro1[[#This Row],[Nó]],$B$7:B92,detalhe_carro1[[#This Row],[Numero Voltas]],$L$7:L92,1)</f>
        <v>443</v>
      </c>
      <c r="O93" s="3">
        <f>IF(OR(detalhe_carro1[[#This Row],[Ultima Chegada]]=0,detalhe_carro1[[#This Row],[Chegada]]=0),"",detalhe_carro1[[#This Row],[Hora Inicio]]-detalhe_carro1[[#This Row],[Ultima Chegada]])</f>
        <v>172</v>
      </c>
      <c r="P93" s="3">
        <f>IF(detalhe_carro1[[#This Row],[Tipo]]="Visitar Nó",((detalhe_carro1[[#This Row],[Hora Fim]]-detalhe_carro1[[#This Row],[Hora Inicio]])/60*velocidade_nos),0)</f>
        <v>0</v>
      </c>
      <c r="Q93" s="29">
        <f>detalhe_carro1[[#This Row],[Kms Nós]]+detalhe_carro1[[#This Row],[kms]]</f>
        <v>0</v>
      </c>
      <c r="S93" s="20">
        <v>2</v>
      </c>
      <c r="T93" s="38">
        <v>2</v>
      </c>
      <c r="U93" s="38">
        <v>8</v>
      </c>
      <c r="V93" s="38" t="s">
        <v>302</v>
      </c>
      <c r="W93" s="30">
        <v>1078</v>
      </c>
      <c r="X93" s="30">
        <v>1088</v>
      </c>
      <c r="Y93" s="30">
        <v>874</v>
      </c>
      <c r="Z93" s="39">
        <v>4.027777777777778E-2</v>
      </c>
      <c r="AA93" s="39">
        <v>4.7222222222222221E-2</v>
      </c>
      <c r="AB93" s="39">
        <v>0.89861111111111114</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v>
      </c>
    </row>
    <row r="94" spans="2:40" x14ac:dyDescent="0.25">
      <c r="B94" s="3">
        <v>2</v>
      </c>
      <c r="C94">
        <v>1</v>
      </c>
      <c r="D94">
        <v>7</v>
      </c>
      <c r="E94" s="29" t="s">
        <v>301</v>
      </c>
      <c r="F94" s="3">
        <v>618</v>
      </c>
      <c r="G94" s="3">
        <v>618</v>
      </c>
      <c r="H94" s="29" t="s">
        <v>44</v>
      </c>
      <c r="J94" s="7">
        <v>0.72083333333333333</v>
      </c>
      <c r="K94" s="7">
        <v>0.72083333333333333</v>
      </c>
      <c r="L94" s="3">
        <f t="shared" si="2"/>
        <v>0</v>
      </c>
      <c r="M94" s="3">
        <f t="shared" si="3"/>
        <v>1</v>
      </c>
      <c r="N94" s="29">
        <f>_xlfn.MAXIFS($G$7:G93,$E$7:E93,detalhe_carro1[[#This Row],[Nó]],$B$7:B93,detalhe_carro1[[#This Row],[Numero Voltas]],$L$7:L93,1)</f>
        <v>440</v>
      </c>
      <c r="O94" s="3">
        <f>IF(OR(detalhe_carro1[[#This Row],[Ultima Chegada]]=0,detalhe_carro1[[#This Row],[Chegada]]=0),"",detalhe_carro1[[#This Row],[Hora Inicio]]-detalhe_carro1[[#This Row],[Ultima Chegada]])</f>
        <v>178</v>
      </c>
      <c r="P94" s="3">
        <f>IF(detalhe_carro1[[#This Row],[Tipo]]="Visitar Nó",((detalhe_carro1[[#This Row],[Hora Fim]]-detalhe_carro1[[#This Row],[Hora Inicio]])/60*velocidade_nos),0)</f>
        <v>0</v>
      </c>
      <c r="Q94" s="29">
        <f>detalhe_carro1[[#This Row],[Kms Nós]]+detalhe_carro1[[#This Row],[kms]]</f>
        <v>0</v>
      </c>
      <c r="S94" s="20">
        <v>2</v>
      </c>
      <c r="T94" s="38">
        <v>2</v>
      </c>
      <c r="U94" s="38">
        <v>9</v>
      </c>
      <c r="V94" s="38" t="s">
        <v>303</v>
      </c>
      <c r="W94" s="30">
        <v>1094</v>
      </c>
      <c r="X94" s="30">
        <v>1094</v>
      </c>
      <c r="Y94" s="30">
        <v>858</v>
      </c>
      <c r="Z94" s="39">
        <v>5.1388888888888887E-2</v>
      </c>
      <c r="AA94" s="39">
        <v>5.1388888888888887E-2</v>
      </c>
      <c r="AB94" s="39">
        <v>0.88749999999999996</v>
      </c>
      <c r="AC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3.9333333333333331</v>
      </c>
    </row>
    <row r="95" spans="2:40" x14ac:dyDescent="0.25">
      <c r="B95" s="3">
        <v>2</v>
      </c>
      <c r="C95">
        <v>1</v>
      </c>
      <c r="D95">
        <v>7</v>
      </c>
      <c r="E95" s="29" t="s">
        <v>301</v>
      </c>
      <c r="F95" s="3">
        <v>618</v>
      </c>
      <c r="G95" s="3">
        <v>628</v>
      </c>
      <c r="H95" s="29" t="s">
        <v>43</v>
      </c>
      <c r="J95" s="7">
        <v>0.72083333333333333</v>
      </c>
      <c r="K95" s="7">
        <v>0.72777777777777775</v>
      </c>
      <c r="L95" s="3">
        <f t="shared" si="2"/>
        <v>1</v>
      </c>
      <c r="M95" s="3">
        <f t="shared" si="3"/>
        <v>0</v>
      </c>
      <c r="N95" s="29">
        <f>_xlfn.MAXIFS($G$7:G94,$E$7:E94,detalhe_carro1[[#This Row],[Nó]],$B$7:B94,detalhe_carro1[[#This Row],[Numero Voltas]],$L$7:L94,1)</f>
        <v>440</v>
      </c>
      <c r="O95" s="3" t="str">
        <f>IF(OR(detalhe_carro1[[#This Row],[Ultima Chegada]]=0,detalhe_carro1[[#This Row],[Chegada]]=0),"",detalhe_carro1[[#This Row],[Hora Inicio]]-detalhe_carro1[[#This Row],[Ultima Chegada]])</f>
        <v/>
      </c>
      <c r="P95" s="3">
        <f>IF(detalhe_carro1[[#This Row],[Tipo]]="Visitar Nó",((detalhe_carro1[[#This Row],[Hora Fim]]-detalhe_carro1[[#This Row],[Hora Inicio]])/60*velocidade_nos),0)</f>
        <v>5</v>
      </c>
      <c r="Q95" s="29">
        <f>detalhe_carro1[[#This Row],[Kms Nós]]+detalhe_carro1[[#This Row],[kms]]</f>
        <v>5</v>
      </c>
      <c r="S95" s="20">
        <v>2</v>
      </c>
      <c r="T95" s="38">
        <v>2</v>
      </c>
      <c r="U95" s="38">
        <v>8</v>
      </c>
      <c r="V95" s="38" t="s">
        <v>302</v>
      </c>
      <c r="W95" s="30">
        <v>1100</v>
      </c>
      <c r="X95" s="30">
        <v>1170</v>
      </c>
      <c r="Y95" s="30">
        <v>1088</v>
      </c>
      <c r="Z95" s="39">
        <v>5.5555555555555552E-2</v>
      </c>
      <c r="AA95" s="39">
        <v>0.10416666666666667</v>
      </c>
      <c r="AB95" s="39">
        <v>4.7222222222222221E-2</v>
      </c>
      <c r="AC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96" spans="2:40" x14ac:dyDescent="0.25">
      <c r="B96" s="3">
        <v>2</v>
      </c>
      <c r="C96">
        <v>1</v>
      </c>
      <c r="D96">
        <v>8</v>
      </c>
      <c r="E96" s="29" t="s">
        <v>302</v>
      </c>
      <c r="F96" s="3">
        <v>634</v>
      </c>
      <c r="G96" s="3">
        <v>634</v>
      </c>
      <c r="H96" s="29" t="s">
        <v>44</v>
      </c>
      <c r="J96" s="7">
        <v>0.7319444444444444</v>
      </c>
      <c r="K96" s="7">
        <v>0.7319444444444444</v>
      </c>
      <c r="L96" s="3">
        <f t="shared" si="2"/>
        <v>0</v>
      </c>
      <c r="M96" s="3">
        <f t="shared" si="3"/>
        <v>1</v>
      </c>
      <c r="N96" s="29">
        <f>_xlfn.MAXIFS($G$7:G95,$E$7:E95,detalhe_carro1[[#This Row],[Nó]],$B$7:B95,detalhe_carro1[[#This Row],[Numero Voltas]],$L$7:L95,1)</f>
        <v>434</v>
      </c>
      <c r="O96" s="3">
        <f>IF(OR(detalhe_carro1[[#This Row],[Ultima Chegada]]=0,detalhe_carro1[[#This Row],[Chegada]]=0),"",detalhe_carro1[[#This Row],[Hora Inicio]]-detalhe_carro1[[#This Row],[Ultima Chegada]])</f>
        <v>200</v>
      </c>
      <c r="P96" s="3">
        <f>IF(detalhe_carro1[[#This Row],[Tipo]]="Visitar Nó",((detalhe_carro1[[#This Row],[Hora Fim]]-detalhe_carro1[[#This Row],[Hora Inicio]])/60*velocidade_nos),0)</f>
        <v>0</v>
      </c>
      <c r="Q96" s="29">
        <f>detalhe_carro1[[#This Row],[Kms Nós]]+detalhe_carro1[[#This Row],[kms]]</f>
        <v>0</v>
      </c>
      <c r="S96" s="20">
        <v>2</v>
      </c>
      <c r="T96" s="38">
        <v>2</v>
      </c>
      <c r="U96" s="38">
        <v>7</v>
      </c>
      <c r="V96" s="38" t="s">
        <v>301</v>
      </c>
      <c r="W96" s="30">
        <v>1176</v>
      </c>
      <c r="X96" s="30">
        <v>1186</v>
      </c>
      <c r="Y96" s="30">
        <v>1072</v>
      </c>
      <c r="Z96" s="39">
        <v>0.10833333333333334</v>
      </c>
      <c r="AA96" s="39">
        <v>0.11527777777777778</v>
      </c>
      <c r="AB96" s="39">
        <v>3.6111111111111108E-2</v>
      </c>
      <c r="AC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97" spans="2:29" x14ac:dyDescent="0.25">
      <c r="B97" s="3">
        <v>2</v>
      </c>
      <c r="C97">
        <v>1</v>
      </c>
      <c r="D97">
        <v>8</v>
      </c>
      <c r="E97" s="29" t="s">
        <v>302</v>
      </c>
      <c r="F97" s="3">
        <v>634</v>
      </c>
      <c r="G97" s="3">
        <v>694</v>
      </c>
      <c r="H97" s="29" t="s">
        <v>47</v>
      </c>
      <c r="J97" s="7">
        <v>0.7319444444444444</v>
      </c>
      <c r="K97" s="7">
        <v>0.77361111111111114</v>
      </c>
      <c r="L97" s="3">
        <f t="shared" si="2"/>
        <v>0</v>
      </c>
      <c r="M97" s="3">
        <f t="shared" si="3"/>
        <v>0</v>
      </c>
      <c r="N97" s="29">
        <f>_xlfn.MAXIFS($G$7:G96,$E$7:E96,detalhe_carro1[[#This Row],[Nó]],$B$7:B96,detalhe_carro1[[#This Row],[Numero Voltas]],$L$7:L96,1)</f>
        <v>434</v>
      </c>
      <c r="O97" s="3" t="str">
        <f>IF(OR(detalhe_carro1[[#This Row],[Ultima Chegada]]=0,detalhe_carro1[[#This Row],[Chegada]]=0),"",detalhe_carro1[[#This Row],[Hora Inicio]]-detalhe_carro1[[#This Row],[Ultima Chegada]])</f>
        <v/>
      </c>
      <c r="P97" s="3">
        <f>IF(detalhe_carro1[[#This Row],[Tipo]]="Visitar Nó",((detalhe_carro1[[#This Row],[Hora Fim]]-detalhe_carro1[[#This Row],[Hora Inicio]])/60*velocidade_nos),0)</f>
        <v>0</v>
      </c>
      <c r="Q97" s="29">
        <f>detalhe_carro1[[#This Row],[Kms Nós]]+detalhe_carro1[[#This Row],[kms]]</f>
        <v>0</v>
      </c>
      <c r="S97" s="20">
        <v>2</v>
      </c>
      <c r="T97" s="38">
        <v>2</v>
      </c>
      <c r="U97" s="38">
        <v>6</v>
      </c>
      <c r="V97" s="38" t="s">
        <v>300</v>
      </c>
      <c r="W97" s="30">
        <v>1189</v>
      </c>
      <c r="X97" s="30">
        <v>1189</v>
      </c>
      <c r="Y97" s="30">
        <v>1069</v>
      </c>
      <c r="Z97" s="39">
        <v>0.11736111111111111</v>
      </c>
      <c r="AA97" s="39">
        <v>0.11736111111111111</v>
      </c>
      <c r="AB97" s="39">
        <v>3.4027777777777775E-2</v>
      </c>
      <c r="AC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row>
    <row r="98" spans="2:29" x14ac:dyDescent="0.25">
      <c r="B98" s="3">
        <v>2</v>
      </c>
      <c r="C98">
        <v>1</v>
      </c>
      <c r="D98">
        <v>8</v>
      </c>
      <c r="E98" s="29" t="s">
        <v>302</v>
      </c>
      <c r="F98" s="3">
        <v>694</v>
      </c>
      <c r="G98" s="3">
        <v>704</v>
      </c>
      <c r="H98" s="29" t="s">
        <v>43</v>
      </c>
      <c r="J98" s="7">
        <v>0.77361111111111114</v>
      </c>
      <c r="K98" s="7">
        <v>0.78055555555555556</v>
      </c>
      <c r="L98" s="3">
        <f t="shared" si="2"/>
        <v>1</v>
      </c>
      <c r="M98" s="3">
        <f t="shared" si="3"/>
        <v>0</v>
      </c>
      <c r="N98" s="29">
        <f>_xlfn.MAXIFS($G$7:G97,$E$7:E97,detalhe_carro1[[#This Row],[Nó]],$B$7:B97,detalhe_carro1[[#This Row],[Numero Voltas]],$L$7:L97,1)</f>
        <v>434</v>
      </c>
      <c r="O98" s="3" t="str">
        <f>IF(OR(detalhe_carro1[[#This Row],[Ultima Chegada]]=0,detalhe_carro1[[#This Row],[Chegada]]=0),"",detalhe_carro1[[#This Row],[Hora Inicio]]-detalhe_carro1[[#This Row],[Ultima Chegada]])</f>
        <v/>
      </c>
      <c r="P98" s="3">
        <f>IF(detalhe_carro1[[#This Row],[Tipo]]="Visitar Nó",((detalhe_carro1[[#This Row],[Hora Fim]]-detalhe_carro1[[#This Row],[Hora Inicio]])/60*velocidade_nos),0)</f>
        <v>5</v>
      </c>
      <c r="Q98" s="29">
        <f>detalhe_carro1[[#This Row],[Kms Nós]]+detalhe_carro1[[#This Row],[kms]]</f>
        <v>5</v>
      </c>
      <c r="S98" s="20">
        <v>2</v>
      </c>
      <c r="T98" s="38">
        <v>2</v>
      </c>
      <c r="U98" s="38">
        <v>5</v>
      </c>
      <c r="V98" s="38" t="s">
        <v>215</v>
      </c>
      <c r="W98" s="30">
        <v>1193</v>
      </c>
      <c r="X98" s="30">
        <v>1193</v>
      </c>
      <c r="Y98" s="30">
        <v>1065</v>
      </c>
      <c r="Z98" s="39">
        <v>0.12013888888888889</v>
      </c>
      <c r="AA98" s="39">
        <v>0.12013888888888889</v>
      </c>
      <c r="AB98" s="39">
        <v>3.125E-2</v>
      </c>
      <c r="AC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99" spans="2:29" x14ac:dyDescent="0.25">
      <c r="B99" s="3">
        <v>2</v>
      </c>
      <c r="C99">
        <v>1</v>
      </c>
      <c r="D99">
        <v>9</v>
      </c>
      <c r="E99" s="29" t="s">
        <v>303</v>
      </c>
      <c r="F99" s="3">
        <v>710</v>
      </c>
      <c r="G99" s="3">
        <v>710</v>
      </c>
      <c r="H99" s="29" t="s">
        <v>44</v>
      </c>
      <c r="J99" s="7">
        <v>0.78472222222222221</v>
      </c>
      <c r="K99" s="7">
        <v>0.78472222222222221</v>
      </c>
      <c r="L99" s="3">
        <f t="shared" si="2"/>
        <v>0</v>
      </c>
      <c r="M99" s="3">
        <f t="shared" si="3"/>
        <v>1</v>
      </c>
      <c r="N99" s="29">
        <f>_xlfn.MAXIFS($G$7:G98,$E$7:E98,detalhe_carro1[[#This Row],[Nó]],$B$7:B98,detalhe_carro1[[#This Row],[Numero Voltas]],$L$7:L98,1)</f>
        <v>428</v>
      </c>
      <c r="O99" s="3">
        <f>IF(OR(detalhe_carro1[[#This Row],[Ultima Chegada]]=0,detalhe_carro1[[#This Row],[Chegada]]=0),"",detalhe_carro1[[#This Row],[Hora Inicio]]-detalhe_carro1[[#This Row],[Ultima Chegada]])</f>
        <v>282</v>
      </c>
      <c r="P99" s="3">
        <f>IF(detalhe_carro1[[#This Row],[Tipo]]="Visitar Nó",((detalhe_carro1[[#This Row],[Hora Fim]]-detalhe_carro1[[#This Row],[Hora Inicio]])/60*velocidade_nos),0)</f>
        <v>0</v>
      </c>
      <c r="Q99" s="29">
        <f>detalhe_carro1[[#This Row],[Kms Nós]]+detalhe_carro1[[#This Row],[kms]]</f>
        <v>0</v>
      </c>
      <c r="S99" s="20">
        <v>2</v>
      </c>
      <c r="T99" s="38">
        <v>2</v>
      </c>
      <c r="U99" s="38">
        <v>4</v>
      </c>
      <c r="V99" s="38" t="s">
        <v>2</v>
      </c>
      <c r="W99" s="30">
        <v>1196</v>
      </c>
      <c r="X99" s="30">
        <v>1209</v>
      </c>
      <c r="Y99" s="30">
        <v>1062</v>
      </c>
      <c r="Z99" s="39">
        <v>0.12222222222222222</v>
      </c>
      <c r="AA99" s="39">
        <v>0.13125000000000001</v>
      </c>
      <c r="AB99" s="39">
        <v>2.9166666666666667E-2</v>
      </c>
      <c r="AC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2.2333333333333334</v>
      </c>
    </row>
    <row r="100" spans="2:29" x14ac:dyDescent="0.25">
      <c r="B100" s="3">
        <v>2</v>
      </c>
      <c r="C100">
        <v>1</v>
      </c>
      <c r="D100">
        <v>9</v>
      </c>
      <c r="E100" s="29" t="s">
        <v>303</v>
      </c>
      <c r="F100" s="3">
        <v>710</v>
      </c>
      <c r="G100" s="3">
        <v>710</v>
      </c>
      <c r="H100" s="29" t="s">
        <v>44</v>
      </c>
      <c r="J100" s="7">
        <v>0.78472222222222221</v>
      </c>
      <c r="K100" s="7">
        <v>0.78472222222222221</v>
      </c>
      <c r="L100" s="3">
        <f t="shared" si="2"/>
        <v>0</v>
      </c>
      <c r="M100" s="3">
        <f t="shared" si="3"/>
        <v>0</v>
      </c>
      <c r="N100" s="29">
        <f>_xlfn.MAXIFS($G$7:G99,$E$7:E99,detalhe_carro1[[#This Row],[Nó]],$B$7:B99,detalhe_carro1[[#This Row],[Numero Voltas]],$L$7:L99,1)</f>
        <v>428</v>
      </c>
      <c r="O100" s="3" t="str">
        <f>IF(OR(detalhe_carro1[[#This Row],[Ultima Chegada]]=0,detalhe_carro1[[#This Row],[Chegada]]=0),"",detalhe_carro1[[#This Row],[Hora Inicio]]-detalhe_carro1[[#This Row],[Ultima Chegada]])</f>
        <v/>
      </c>
      <c r="P100" s="3">
        <f>IF(detalhe_carro1[[#This Row],[Tipo]]="Visitar Nó",((detalhe_carro1[[#This Row],[Hora Fim]]-detalhe_carro1[[#This Row],[Hora Inicio]])/60*velocidade_nos),0)</f>
        <v>0</v>
      </c>
      <c r="Q100" s="29">
        <f>detalhe_carro1[[#This Row],[Kms Nós]]+detalhe_carro1[[#This Row],[kms]]</f>
        <v>0</v>
      </c>
      <c r="S100" s="20">
        <v>2</v>
      </c>
      <c r="T100" s="38">
        <v>2</v>
      </c>
      <c r="U100" s="38">
        <v>3</v>
      </c>
      <c r="V100" s="38" t="s">
        <v>208</v>
      </c>
      <c r="W100" s="30">
        <v>1214</v>
      </c>
      <c r="X100" s="30">
        <v>1227</v>
      </c>
      <c r="Y100" s="30">
        <v>1044</v>
      </c>
      <c r="Z100" s="39">
        <v>0.13472222222222222</v>
      </c>
      <c r="AA100" s="39">
        <v>0.14374999999999999</v>
      </c>
      <c r="AB100" s="39">
        <v>1.6666666666666666E-2</v>
      </c>
      <c r="AC1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2.8333333333333335</v>
      </c>
    </row>
    <row r="101" spans="2:29" x14ac:dyDescent="0.25">
      <c r="B101" s="3">
        <v>2</v>
      </c>
      <c r="C101">
        <v>1</v>
      </c>
      <c r="D101">
        <v>9</v>
      </c>
      <c r="E101" s="29" t="s">
        <v>303</v>
      </c>
      <c r="F101" s="3">
        <v>710</v>
      </c>
      <c r="G101" s="3">
        <v>720</v>
      </c>
      <c r="H101" s="29" t="s">
        <v>43</v>
      </c>
      <c r="J101" s="7">
        <v>0.78472222222222221</v>
      </c>
      <c r="K101" s="7">
        <v>0.79166666666666663</v>
      </c>
      <c r="L101" s="3">
        <f t="shared" si="2"/>
        <v>1</v>
      </c>
      <c r="M101" s="3">
        <f t="shared" si="3"/>
        <v>0</v>
      </c>
      <c r="N101" s="29">
        <f>_xlfn.MAXIFS($G$7:G100,$E$7:E100,detalhe_carro1[[#This Row],[Nó]],$B$7:B100,detalhe_carro1[[#This Row],[Numero Voltas]],$L$7:L100,1)</f>
        <v>428</v>
      </c>
      <c r="O101" s="3" t="str">
        <f>IF(OR(detalhe_carro1[[#This Row],[Ultima Chegada]]=0,detalhe_carro1[[#This Row],[Chegada]]=0),"",detalhe_carro1[[#This Row],[Hora Inicio]]-detalhe_carro1[[#This Row],[Ultima Chegada]])</f>
        <v/>
      </c>
      <c r="P101" s="3">
        <f>IF(detalhe_carro1[[#This Row],[Tipo]]="Visitar Nó",((detalhe_carro1[[#This Row],[Hora Fim]]-detalhe_carro1[[#This Row],[Hora Inicio]])/60*velocidade_nos),0)</f>
        <v>5</v>
      </c>
      <c r="Q101" s="29">
        <f>detalhe_carro1[[#This Row],[Kms Nós]]+detalhe_carro1[[#This Row],[kms]]</f>
        <v>5</v>
      </c>
      <c r="S101" s="20">
        <v>2</v>
      </c>
      <c r="T101" s="38">
        <v>2</v>
      </c>
      <c r="U101" s="38">
        <v>2</v>
      </c>
      <c r="V101" s="38" t="s">
        <v>228</v>
      </c>
      <c r="W101" s="30">
        <v>1230</v>
      </c>
      <c r="X101" s="30">
        <v>1248</v>
      </c>
      <c r="Y101" s="30">
        <v>1041</v>
      </c>
      <c r="Z101" s="39">
        <v>0.14583333333333334</v>
      </c>
      <c r="AA101" s="39">
        <v>0.15833333333333333</v>
      </c>
      <c r="AB101" s="39">
        <v>1.4583333333333334E-2</v>
      </c>
      <c r="AC1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3.15</v>
      </c>
    </row>
    <row r="102" spans="2:29" x14ac:dyDescent="0.25">
      <c r="B102" s="3">
        <v>2</v>
      </c>
      <c r="C102">
        <v>1</v>
      </c>
      <c r="D102">
        <v>8</v>
      </c>
      <c r="E102" s="29" t="s">
        <v>302</v>
      </c>
      <c r="F102" s="3">
        <v>726</v>
      </c>
      <c r="G102" s="3">
        <v>726</v>
      </c>
      <c r="H102" s="29" t="s">
        <v>44</v>
      </c>
      <c r="J102" s="7">
        <v>0.79583333333333328</v>
      </c>
      <c r="K102" s="7">
        <v>0.79583333333333328</v>
      </c>
      <c r="L102" s="3">
        <f t="shared" si="2"/>
        <v>1</v>
      </c>
      <c r="M102" s="3">
        <f t="shared" si="3"/>
        <v>1</v>
      </c>
      <c r="N102" s="29">
        <f>_xlfn.MAXIFS($G$7:G101,$E$7:E101,detalhe_carro1[[#This Row],[Nó]],$B$7:B101,detalhe_carro1[[#This Row],[Numero Voltas]],$L$7:L101,1)</f>
        <v>704</v>
      </c>
      <c r="O102" s="3">
        <f>IF(OR(detalhe_carro1[[#This Row],[Ultima Chegada]]=0,detalhe_carro1[[#This Row],[Chegada]]=0),"",detalhe_carro1[[#This Row],[Hora Inicio]]-detalhe_carro1[[#This Row],[Ultima Chegada]])</f>
        <v>22</v>
      </c>
      <c r="P102" s="3">
        <f>IF(detalhe_carro1[[#This Row],[Tipo]]="Visitar Nó",((detalhe_carro1[[#This Row],[Hora Fim]]-detalhe_carro1[[#This Row],[Hora Inicio]])/60*velocidade_nos),0)</f>
        <v>0</v>
      </c>
      <c r="Q102" s="29">
        <f>detalhe_carro1[[#This Row],[Kms Nós]]+detalhe_carro1[[#This Row],[kms]]</f>
        <v>0</v>
      </c>
      <c r="S102" s="20">
        <v>2</v>
      </c>
      <c r="T102" s="38">
        <v>2</v>
      </c>
      <c r="U102" s="38">
        <v>1</v>
      </c>
      <c r="V102" s="38" t="s">
        <v>200</v>
      </c>
      <c r="W102" s="30">
        <v>1249</v>
      </c>
      <c r="X102" s="30">
        <v>1253</v>
      </c>
      <c r="Y102" s="30">
        <v>1022</v>
      </c>
      <c r="Z102" s="39">
        <v>0.15902777777777777</v>
      </c>
      <c r="AA102" s="39">
        <v>0.16180555555555556</v>
      </c>
      <c r="AB102" s="39">
        <v>1.3888888888888889E-3</v>
      </c>
      <c r="AC1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3.7833333333333332</v>
      </c>
    </row>
    <row r="103" spans="2:29" x14ac:dyDescent="0.25">
      <c r="B103" s="3">
        <v>2</v>
      </c>
      <c r="C103">
        <v>1</v>
      </c>
      <c r="D103">
        <v>7</v>
      </c>
      <c r="E103" s="29" t="s">
        <v>301</v>
      </c>
      <c r="F103" s="3">
        <v>732</v>
      </c>
      <c r="G103" s="3">
        <v>732</v>
      </c>
      <c r="H103" s="29" t="s">
        <v>44</v>
      </c>
      <c r="J103" s="7">
        <v>0.8</v>
      </c>
      <c r="K103" s="7">
        <v>0.8</v>
      </c>
      <c r="L103" s="3">
        <f t="shared" si="2"/>
        <v>1</v>
      </c>
      <c r="M103" s="3">
        <f t="shared" si="3"/>
        <v>1</v>
      </c>
      <c r="N103" s="29">
        <f>_xlfn.MAXIFS($G$7:G102,$E$7:E102,detalhe_carro1[[#This Row],[Nó]],$B$7:B102,detalhe_carro1[[#This Row],[Numero Voltas]],$L$7:L102,1)</f>
        <v>628</v>
      </c>
      <c r="O103" s="3">
        <f>IF(OR(detalhe_carro1[[#This Row],[Ultima Chegada]]=0,detalhe_carro1[[#This Row],[Chegada]]=0),"",detalhe_carro1[[#This Row],[Hora Inicio]]-detalhe_carro1[[#This Row],[Ultima Chegada]])</f>
        <v>104</v>
      </c>
      <c r="P103" s="3">
        <f>IF(detalhe_carro1[[#This Row],[Tipo]]="Visitar Nó",((detalhe_carro1[[#This Row],[Hora Fim]]-detalhe_carro1[[#This Row],[Hora Inicio]])/60*velocidade_nos),0)</f>
        <v>0</v>
      </c>
      <c r="Q103" s="29">
        <f>detalhe_carro1[[#This Row],[Kms Nós]]+detalhe_carro1[[#This Row],[kms]]</f>
        <v>0</v>
      </c>
      <c r="S103" s="20">
        <v>2</v>
      </c>
      <c r="T103" s="38">
        <v>2</v>
      </c>
      <c r="U103" s="38">
        <v>0</v>
      </c>
      <c r="V103" s="38" t="s">
        <v>203</v>
      </c>
      <c r="W103" s="30">
        <v>1255</v>
      </c>
      <c r="X103" s="30">
        <v>1322</v>
      </c>
      <c r="Y103" s="30">
        <v>1016</v>
      </c>
      <c r="Z103" s="39">
        <v>0.16319444444444445</v>
      </c>
      <c r="AA103" s="39">
        <v>0.20972222222222223</v>
      </c>
      <c r="AB103" s="39">
        <v>0.99722222222222223</v>
      </c>
      <c r="AC1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3.9833333333333334</v>
      </c>
    </row>
    <row r="104" spans="2:29" x14ac:dyDescent="0.25">
      <c r="B104" s="3">
        <v>2</v>
      </c>
      <c r="C104">
        <v>1</v>
      </c>
      <c r="D104">
        <v>6</v>
      </c>
      <c r="E104" s="29" t="s">
        <v>300</v>
      </c>
      <c r="F104" s="3">
        <v>735</v>
      </c>
      <c r="G104" s="3">
        <v>735</v>
      </c>
      <c r="H104" s="29" t="s">
        <v>44</v>
      </c>
      <c r="J104" s="7">
        <v>0.80208333333333337</v>
      </c>
      <c r="K104" s="7">
        <v>0.80208333333333337</v>
      </c>
      <c r="L104" s="3">
        <f t="shared" si="2"/>
        <v>1</v>
      </c>
      <c r="M104" s="3">
        <f t="shared" si="3"/>
        <v>1</v>
      </c>
      <c r="N104" s="29">
        <f>_xlfn.MAXIFS($G$7:G103,$E$7:E103,detalhe_carro1[[#This Row],[Nó]],$B$7:B103,detalhe_carro1[[#This Row],[Numero Voltas]],$L$7:L103,1)</f>
        <v>615</v>
      </c>
      <c r="O104" s="3">
        <f>IF(OR(detalhe_carro1[[#This Row],[Ultima Chegada]]=0,detalhe_carro1[[#This Row],[Chegada]]=0),"",detalhe_carro1[[#This Row],[Hora Inicio]]-detalhe_carro1[[#This Row],[Ultima Chegada]])</f>
        <v>120</v>
      </c>
      <c r="P104" s="3">
        <f>IF(detalhe_carro1[[#This Row],[Tipo]]="Visitar Nó",((detalhe_carro1[[#This Row],[Hora Fim]]-detalhe_carro1[[#This Row],[Hora Inicio]])/60*velocidade_nos),0)</f>
        <v>0</v>
      </c>
      <c r="Q104" s="29">
        <f>detalhe_carro1[[#This Row],[Kms Nós]]+detalhe_carro1[[#This Row],[kms]]</f>
        <v>0</v>
      </c>
      <c r="S104" s="20">
        <v>2</v>
      </c>
      <c r="T104" s="38">
        <v>2</v>
      </c>
      <c r="U104" s="38">
        <v>1</v>
      </c>
      <c r="V104" s="38" t="s">
        <v>200</v>
      </c>
      <c r="W104" s="30">
        <v>1324</v>
      </c>
      <c r="X104" s="30">
        <v>1324</v>
      </c>
      <c r="Y104" s="30">
        <v>1253</v>
      </c>
      <c r="Z104" s="39">
        <v>0.21111111111111111</v>
      </c>
      <c r="AA104" s="39">
        <v>0.21111111111111111</v>
      </c>
      <c r="AB104" s="39">
        <v>0.16180555555555556</v>
      </c>
      <c r="AC1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row>
    <row r="105" spans="2:29" x14ac:dyDescent="0.25">
      <c r="B105" s="3">
        <v>2</v>
      </c>
      <c r="C105">
        <v>1</v>
      </c>
      <c r="D105">
        <v>5</v>
      </c>
      <c r="E105" s="29" t="s">
        <v>215</v>
      </c>
      <c r="F105" s="3">
        <v>739</v>
      </c>
      <c r="G105" s="3">
        <v>739</v>
      </c>
      <c r="H105" s="29" t="s">
        <v>44</v>
      </c>
      <c r="J105" s="7">
        <v>0.80486111111111114</v>
      </c>
      <c r="K105" s="7">
        <v>0.80486111111111114</v>
      </c>
      <c r="L105" s="3">
        <f t="shared" si="2"/>
        <v>1</v>
      </c>
      <c r="M105" s="3">
        <f t="shared" si="3"/>
        <v>1</v>
      </c>
      <c r="N105" s="29">
        <f>_xlfn.MAXIFS($G$7:G104,$E$7:E104,detalhe_carro1[[#This Row],[Nó]],$B$7:B104,detalhe_carro1[[#This Row],[Numero Voltas]],$L$7:L104,1)</f>
        <v>611</v>
      </c>
      <c r="O105" s="3">
        <f>IF(OR(detalhe_carro1[[#This Row],[Ultima Chegada]]=0,detalhe_carro1[[#This Row],[Chegada]]=0),"",detalhe_carro1[[#This Row],[Hora Inicio]]-detalhe_carro1[[#This Row],[Ultima Chegada]])</f>
        <v>128</v>
      </c>
      <c r="P105" s="3">
        <f>IF(detalhe_carro1[[#This Row],[Tipo]]="Visitar Nó",((detalhe_carro1[[#This Row],[Hora Fim]]-detalhe_carro1[[#This Row],[Hora Inicio]])/60*velocidade_nos),0)</f>
        <v>0</v>
      </c>
      <c r="Q105" s="29">
        <f>detalhe_carro1[[#This Row],[Kms Nós]]+detalhe_carro1[[#This Row],[kms]]</f>
        <v>0</v>
      </c>
      <c r="S105" s="20">
        <v>2</v>
      </c>
      <c r="T105" s="38">
        <v>2</v>
      </c>
      <c r="U105" s="38">
        <v>2</v>
      </c>
      <c r="V105" s="38" t="s">
        <v>228</v>
      </c>
      <c r="W105" s="30">
        <v>1325</v>
      </c>
      <c r="X105" s="30">
        <v>1325</v>
      </c>
      <c r="Y105" s="30">
        <v>1248</v>
      </c>
      <c r="Z105" s="39">
        <v>0.21180555555555555</v>
      </c>
      <c r="AA105" s="39">
        <v>0.21180555555555555</v>
      </c>
      <c r="AB105" s="39">
        <v>0.15833333333333333</v>
      </c>
      <c r="AC1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row>
    <row r="106" spans="2:29" x14ac:dyDescent="0.25">
      <c r="B106" s="3">
        <v>2</v>
      </c>
      <c r="C106">
        <v>1</v>
      </c>
      <c r="D106">
        <v>4</v>
      </c>
      <c r="E106" s="29" t="s">
        <v>2</v>
      </c>
      <c r="F106" s="3">
        <v>742</v>
      </c>
      <c r="G106" s="3">
        <v>742</v>
      </c>
      <c r="H106" s="29" t="s">
        <v>44</v>
      </c>
      <c r="J106" s="7">
        <v>0.80694444444444446</v>
      </c>
      <c r="K106" s="7">
        <v>0.80694444444444446</v>
      </c>
      <c r="L106" s="3">
        <f t="shared" si="2"/>
        <v>0</v>
      </c>
      <c r="M106" s="3">
        <f t="shared" si="3"/>
        <v>1</v>
      </c>
      <c r="N106" s="29">
        <f>_xlfn.MAXIFS($G$7:G105,$E$7:E105,detalhe_carro1[[#This Row],[Nó]],$B$7:B105,detalhe_carro1[[#This Row],[Numero Voltas]],$L$7:L105,1)</f>
        <v>608</v>
      </c>
      <c r="O106" s="3">
        <f>IF(OR(detalhe_carro1[[#This Row],[Ultima Chegada]]=0,detalhe_carro1[[#This Row],[Chegada]]=0),"",detalhe_carro1[[#This Row],[Hora Inicio]]-detalhe_carro1[[#This Row],[Ultima Chegada]])</f>
        <v>134</v>
      </c>
      <c r="P106" s="3">
        <f>IF(detalhe_carro1[[#This Row],[Tipo]]="Visitar Nó",((detalhe_carro1[[#This Row],[Hora Fim]]-detalhe_carro1[[#This Row],[Hora Inicio]])/60*velocidade_nos),0)</f>
        <v>0</v>
      </c>
      <c r="Q106" s="29">
        <f>detalhe_carro1[[#This Row],[Kms Nós]]+detalhe_carro1[[#This Row],[kms]]</f>
        <v>0</v>
      </c>
      <c r="S106" s="20">
        <v>2</v>
      </c>
      <c r="T106" s="38">
        <v>2</v>
      </c>
      <c r="U106" s="38">
        <v>3</v>
      </c>
      <c r="V106" s="38" t="s">
        <v>208</v>
      </c>
      <c r="W106" s="30">
        <v>1328</v>
      </c>
      <c r="X106" s="30">
        <v>1341</v>
      </c>
      <c r="Y106" s="30">
        <v>1227</v>
      </c>
      <c r="Z106" s="39">
        <v>0.21388888888888888</v>
      </c>
      <c r="AA106" s="39">
        <v>0.22291666666666668</v>
      </c>
      <c r="AB106" s="39">
        <v>0.14374999999999999</v>
      </c>
      <c r="AC1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107" spans="2:29" x14ac:dyDescent="0.25">
      <c r="B107" s="3">
        <v>2</v>
      </c>
      <c r="C107">
        <v>1</v>
      </c>
      <c r="D107">
        <v>4</v>
      </c>
      <c r="E107" s="29" t="s">
        <v>2</v>
      </c>
      <c r="F107" s="3">
        <v>742</v>
      </c>
      <c r="G107" s="3">
        <v>755</v>
      </c>
      <c r="H107" s="29" t="s">
        <v>43</v>
      </c>
      <c r="J107" s="7">
        <v>0.80694444444444446</v>
      </c>
      <c r="K107" s="7">
        <v>0.81597222222222221</v>
      </c>
      <c r="L107" s="3">
        <f t="shared" si="2"/>
        <v>1</v>
      </c>
      <c r="M107" s="3">
        <f t="shared" si="3"/>
        <v>0</v>
      </c>
      <c r="N107" s="29">
        <f>_xlfn.MAXIFS($G$7:G106,$E$7:E106,detalhe_carro1[[#This Row],[Nó]],$B$7:B106,detalhe_carro1[[#This Row],[Numero Voltas]],$L$7:L106,1)</f>
        <v>608</v>
      </c>
      <c r="O107" s="3" t="str">
        <f>IF(OR(detalhe_carro1[[#This Row],[Ultima Chegada]]=0,detalhe_carro1[[#This Row],[Chegada]]=0),"",detalhe_carro1[[#This Row],[Hora Inicio]]-detalhe_carro1[[#This Row],[Ultima Chegada]])</f>
        <v/>
      </c>
      <c r="P107" s="3">
        <f>IF(detalhe_carro1[[#This Row],[Tipo]]="Visitar Nó",((detalhe_carro1[[#This Row],[Hora Fim]]-detalhe_carro1[[#This Row],[Hora Inicio]])/60*velocidade_nos),0)</f>
        <v>6.5</v>
      </c>
      <c r="Q107" s="29">
        <f>detalhe_carro1[[#This Row],[Kms Nós]]+detalhe_carro1[[#This Row],[kms]]</f>
        <v>6.5</v>
      </c>
      <c r="S107" s="20">
        <v>2</v>
      </c>
      <c r="T107" s="38">
        <v>2</v>
      </c>
      <c r="U107" s="38">
        <v>4</v>
      </c>
      <c r="V107" s="38" t="s">
        <v>2</v>
      </c>
      <c r="W107" s="30">
        <v>1346</v>
      </c>
      <c r="X107" s="30">
        <v>1346</v>
      </c>
      <c r="Y107" s="30">
        <v>1209</v>
      </c>
      <c r="Z107" s="39">
        <v>0.22638888888888889</v>
      </c>
      <c r="AA107" s="39">
        <v>0.22638888888888889</v>
      </c>
      <c r="AB107" s="39">
        <v>0.13125000000000001</v>
      </c>
      <c r="AC1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2.2833333333333332</v>
      </c>
    </row>
    <row r="108" spans="2:29" x14ac:dyDescent="0.25">
      <c r="B108" s="3">
        <v>2</v>
      </c>
      <c r="C108">
        <v>1</v>
      </c>
      <c r="D108">
        <v>3</v>
      </c>
      <c r="E108" s="29" t="s">
        <v>208</v>
      </c>
      <c r="F108" s="3">
        <v>760</v>
      </c>
      <c r="G108" s="3">
        <v>760</v>
      </c>
      <c r="H108" s="29" t="s">
        <v>44</v>
      </c>
      <c r="J108" s="7">
        <v>0.81944444444444442</v>
      </c>
      <c r="K108" s="7">
        <v>0.81944444444444442</v>
      </c>
      <c r="L108" s="3">
        <f t="shared" si="2"/>
        <v>1</v>
      </c>
      <c r="M108" s="3">
        <f t="shared" si="3"/>
        <v>1</v>
      </c>
      <c r="N108" s="29">
        <f>_xlfn.MAXIFS($G$7:G107,$E$7:E107,detalhe_carro1[[#This Row],[Nó]],$B$7:B107,detalhe_carro1[[#This Row],[Numero Voltas]],$L$7:L107,1)</f>
        <v>590</v>
      </c>
      <c r="O108" s="3">
        <f>IF(OR(detalhe_carro1[[#This Row],[Ultima Chegada]]=0,detalhe_carro1[[#This Row],[Chegada]]=0),"",detalhe_carro1[[#This Row],[Hora Inicio]]-detalhe_carro1[[#This Row],[Ultima Chegada]])</f>
        <v>170</v>
      </c>
      <c r="P108" s="3">
        <f>IF(detalhe_carro1[[#This Row],[Tipo]]="Visitar Nó",((detalhe_carro1[[#This Row],[Hora Fim]]-detalhe_carro1[[#This Row],[Hora Inicio]])/60*velocidade_nos),0)</f>
        <v>0</v>
      </c>
      <c r="Q108" s="29">
        <f>detalhe_carro1[[#This Row],[Kms Nós]]+detalhe_carro1[[#This Row],[kms]]</f>
        <v>0</v>
      </c>
      <c r="S108" s="20">
        <v>2</v>
      </c>
      <c r="T108" s="38">
        <v>2</v>
      </c>
      <c r="U108" s="38">
        <v>5</v>
      </c>
      <c r="V108" s="38" t="s">
        <v>215</v>
      </c>
      <c r="W108" s="30">
        <v>1349</v>
      </c>
      <c r="X108" s="30">
        <v>1349</v>
      </c>
      <c r="Y108" s="30">
        <v>1193</v>
      </c>
      <c r="Z108" s="39">
        <v>0.22847222222222222</v>
      </c>
      <c r="AA108" s="39">
        <v>0.22847222222222222</v>
      </c>
      <c r="AB108" s="39">
        <v>0.12013888888888889</v>
      </c>
      <c r="AC1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row>
    <row r="109" spans="2:29" x14ac:dyDescent="0.25">
      <c r="B109" s="3">
        <v>2</v>
      </c>
      <c r="C109">
        <v>1</v>
      </c>
      <c r="D109">
        <v>2</v>
      </c>
      <c r="E109" s="29" t="s">
        <v>228</v>
      </c>
      <c r="F109" s="3">
        <v>763</v>
      </c>
      <c r="G109" s="3">
        <v>763</v>
      </c>
      <c r="H109" s="29" t="s">
        <v>44</v>
      </c>
      <c r="J109" s="7">
        <v>0.82152777777777775</v>
      </c>
      <c r="K109" s="7">
        <v>0.82152777777777775</v>
      </c>
      <c r="L109" s="3">
        <f t="shared" si="2"/>
        <v>0</v>
      </c>
      <c r="M109" s="3">
        <f t="shared" si="3"/>
        <v>1</v>
      </c>
      <c r="N109" s="29">
        <f>_xlfn.MAXIFS($G$7:G108,$E$7:E108,detalhe_carro1[[#This Row],[Nó]],$B$7:B108,detalhe_carro1[[#This Row],[Numero Voltas]],$L$7:L108,1)</f>
        <v>574</v>
      </c>
      <c r="O109" s="3">
        <f>IF(OR(detalhe_carro1[[#This Row],[Ultima Chegada]]=0,detalhe_carro1[[#This Row],[Chegada]]=0),"",detalhe_carro1[[#This Row],[Hora Inicio]]-detalhe_carro1[[#This Row],[Ultima Chegada]])</f>
        <v>189</v>
      </c>
      <c r="P109" s="3">
        <f>IF(detalhe_carro1[[#This Row],[Tipo]]="Visitar Nó",((detalhe_carro1[[#This Row],[Hora Fim]]-detalhe_carro1[[#This Row],[Hora Inicio]])/60*velocidade_nos),0)</f>
        <v>0</v>
      </c>
      <c r="Q109" s="29">
        <f>detalhe_carro1[[#This Row],[Kms Nós]]+detalhe_carro1[[#This Row],[kms]]</f>
        <v>0</v>
      </c>
      <c r="S109" s="20">
        <v>2</v>
      </c>
      <c r="T109" s="38">
        <v>2</v>
      </c>
      <c r="U109" s="38">
        <v>6</v>
      </c>
      <c r="V109" s="38" t="s">
        <v>300</v>
      </c>
      <c r="W109" s="30">
        <v>1353</v>
      </c>
      <c r="X109" s="30">
        <v>1353</v>
      </c>
      <c r="Y109" s="30">
        <v>1189</v>
      </c>
      <c r="Z109" s="39">
        <v>0.23125000000000001</v>
      </c>
      <c r="AA109" s="39">
        <v>0.23125000000000001</v>
      </c>
      <c r="AB109" s="39">
        <v>0.11736111111111111</v>
      </c>
      <c r="AC1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row>
    <row r="110" spans="2:29" x14ac:dyDescent="0.25">
      <c r="B110" s="3">
        <v>2</v>
      </c>
      <c r="C110">
        <v>1</v>
      </c>
      <c r="D110">
        <v>2</v>
      </c>
      <c r="E110" s="29" t="s">
        <v>228</v>
      </c>
      <c r="F110" s="3">
        <v>763</v>
      </c>
      <c r="G110" s="3">
        <v>781</v>
      </c>
      <c r="H110" s="29" t="s">
        <v>43</v>
      </c>
      <c r="J110" s="7">
        <v>0.82152777777777775</v>
      </c>
      <c r="K110" s="7">
        <v>0.83402777777777781</v>
      </c>
      <c r="L110" s="3">
        <f t="shared" si="2"/>
        <v>1</v>
      </c>
      <c r="M110" s="3">
        <f t="shared" si="3"/>
        <v>0</v>
      </c>
      <c r="N110" s="29">
        <f>_xlfn.MAXIFS($G$7:G109,$E$7:E109,detalhe_carro1[[#This Row],[Nó]],$B$7:B109,detalhe_carro1[[#This Row],[Numero Voltas]],$L$7:L109,1)</f>
        <v>574</v>
      </c>
      <c r="O110" s="3" t="str">
        <f>IF(OR(detalhe_carro1[[#This Row],[Ultima Chegada]]=0,detalhe_carro1[[#This Row],[Chegada]]=0),"",detalhe_carro1[[#This Row],[Hora Inicio]]-detalhe_carro1[[#This Row],[Ultima Chegada]])</f>
        <v/>
      </c>
      <c r="P110" s="3">
        <f>IF(detalhe_carro1[[#This Row],[Tipo]]="Visitar Nó",((detalhe_carro1[[#This Row],[Hora Fim]]-detalhe_carro1[[#This Row],[Hora Inicio]])/60*velocidade_nos),0)</f>
        <v>9</v>
      </c>
      <c r="Q110" s="29">
        <f>detalhe_carro1[[#This Row],[Kms Nós]]+detalhe_carro1[[#This Row],[kms]]</f>
        <v>9</v>
      </c>
      <c r="S110" s="20">
        <v>2</v>
      </c>
      <c r="T110" s="38">
        <v>2</v>
      </c>
      <c r="U110" s="38">
        <v>7</v>
      </c>
      <c r="V110" s="38" t="s">
        <v>301</v>
      </c>
      <c r="W110" s="30">
        <v>1356</v>
      </c>
      <c r="X110" s="30">
        <v>1366</v>
      </c>
      <c r="Y110" s="30">
        <v>1186</v>
      </c>
      <c r="Z110" s="39">
        <v>0.23333333333333334</v>
      </c>
      <c r="AA110" s="39">
        <v>0.24027777777777778</v>
      </c>
      <c r="AB110" s="39">
        <v>0.11527777777777778</v>
      </c>
      <c r="AC1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2.8333333333333335</v>
      </c>
    </row>
    <row r="111" spans="2:29" x14ac:dyDescent="0.25">
      <c r="B111" s="3">
        <v>2</v>
      </c>
      <c r="C111">
        <v>1</v>
      </c>
      <c r="D111">
        <v>1</v>
      </c>
      <c r="E111" s="29" t="s">
        <v>200</v>
      </c>
      <c r="F111" s="3">
        <v>782</v>
      </c>
      <c r="G111" s="3">
        <v>782</v>
      </c>
      <c r="H111" s="29" t="s">
        <v>44</v>
      </c>
      <c r="J111" s="7">
        <v>0.83472222222222225</v>
      </c>
      <c r="K111" s="7">
        <v>0.83472222222222225</v>
      </c>
      <c r="L111" s="3">
        <f t="shared" si="2"/>
        <v>0</v>
      </c>
      <c r="M111" s="3">
        <f t="shared" si="3"/>
        <v>1</v>
      </c>
      <c r="N111" s="29">
        <f>_xlfn.MAXIFS($G$7:G110,$E$7:E110,detalhe_carro1[[#This Row],[Nó]],$B$7:B110,detalhe_carro1[[#This Row],[Numero Voltas]],$L$7:L110,1)</f>
        <v>555</v>
      </c>
      <c r="O111" s="3">
        <f>IF(OR(detalhe_carro1[[#This Row],[Ultima Chegada]]=0,detalhe_carro1[[#This Row],[Chegada]]=0),"",detalhe_carro1[[#This Row],[Hora Inicio]]-detalhe_carro1[[#This Row],[Ultima Chegada]])</f>
        <v>227</v>
      </c>
      <c r="P111" s="3">
        <f>IF(detalhe_carro1[[#This Row],[Tipo]]="Visitar Nó",((detalhe_carro1[[#This Row],[Hora Fim]]-detalhe_carro1[[#This Row],[Hora Inicio]])/60*velocidade_nos),0)</f>
        <v>0</v>
      </c>
      <c r="Q111" s="29">
        <f>detalhe_carro1[[#This Row],[Kms Nós]]+detalhe_carro1[[#This Row],[kms]]</f>
        <v>0</v>
      </c>
      <c r="S111" s="20">
        <v>2</v>
      </c>
      <c r="T111" s="38">
        <v>2</v>
      </c>
      <c r="U111" s="38">
        <v>8</v>
      </c>
      <c r="V111" s="38" t="s">
        <v>302</v>
      </c>
      <c r="W111" s="30">
        <v>1372</v>
      </c>
      <c r="X111" s="30">
        <v>1372</v>
      </c>
      <c r="Y111" s="30">
        <v>1170</v>
      </c>
      <c r="Z111" s="39">
        <v>0.24444444444444444</v>
      </c>
      <c r="AA111" s="39">
        <v>0.24444444444444444</v>
      </c>
      <c r="AB111" s="39">
        <v>0.10416666666666667</v>
      </c>
      <c r="AC1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3.3666666666666667</v>
      </c>
    </row>
    <row r="112" spans="2:29" x14ac:dyDescent="0.25">
      <c r="B112" s="3">
        <v>2</v>
      </c>
      <c r="C112">
        <v>1</v>
      </c>
      <c r="D112">
        <v>1</v>
      </c>
      <c r="E112" s="29" t="s">
        <v>200</v>
      </c>
      <c r="F112" s="3">
        <v>782</v>
      </c>
      <c r="G112" s="3">
        <v>786</v>
      </c>
      <c r="H112" s="29" t="s">
        <v>43</v>
      </c>
      <c r="J112" s="7">
        <v>0.83472222222222225</v>
      </c>
      <c r="K112" s="7">
        <v>0.83750000000000002</v>
      </c>
      <c r="L112" s="3">
        <f t="shared" si="2"/>
        <v>1</v>
      </c>
      <c r="M112" s="3">
        <f t="shared" si="3"/>
        <v>0</v>
      </c>
      <c r="N112" s="29">
        <f>_xlfn.MAXIFS($G$7:G111,$E$7:E111,detalhe_carro1[[#This Row],[Nó]],$B$7:B111,detalhe_carro1[[#This Row],[Numero Voltas]],$L$7:L111,1)</f>
        <v>555</v>
      </c>
      <c r="O112" s="3" t="str">
        <f>IF(OR(detalhe_carro1[[#This Row],[Ultima Chegada]]=0,detalhe_carro1[[#This Row],[Chegada]]=0),"",detalhe_carro1[[#This Row],[Hora Inicio]]-detalhe_carro1[[#This Row],[Ultima Chegada]])</f>
        <v/>
      </c>
      <c r="P112" s="3">
        <f>IF(detalhe_carro1[[#This Row],[Tipo]]="Visitar Nó",((detalhe_carro1[[#This Row],[Hora Fim]]-detalhe_carro1[[#This Row],[Hora Inicio]])/60*velocidade_nos),0)</f>
        <v>2</v>
      </c>
      <c r="Q112" s="29">
        <f>detalhe_carro1[[#This Row],[Kms Nós]]+detalhe_carro1[[#This Row],[kms]]</f>
        <v>2</v>
      </c>
      <c r="S112" s="20">
        <v>2</v>
      </c>
      <c r="T112" s="38">
        <v>2</v>
      </c>
      <c r="U112" s="38">
        <v>9</v>
      </c>
      <c r="V112" s="38" t="s">
        <v>303</v>
      </c>
      <c r="W112" s="30">
        <v>1378</v>
      </c>
      <c r="X112" s="30">
        <v>1388</v>
      </c>
      <c r="Y112" s="30">
        <v>1094</v>
      </c>
      <c r="Z112" s="39">
        <v>0.24861111111111112</v>
      </c>
      <c r="AA112" s="39">
        <v>0.25555555555555554</v>
      </c>
      <c r="AB112" s="39">
        <v>5.1388888888888887E-2</v>
      </c>
      <c r="AC1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4.7333333333333334</v>
      </c>
    </row>
    <row r="113" spans="2:29" x14ac:dyDescent="0.25">
      <c r="B113" s="3">
        <v>2</v>
      </c>
      <c r="C113">
        <v>1</v>
      </c>
      <c r="D113">
        <v>0</v>
      </c>
      <c r="E113" s="29" t="s">
        <v>203</v>
      </c>
      <c r="F113" s="3">
        <v>788</v>
      </c>
      <c r="G113" s="3">
        <v>788</v>
      </c>
      <c r="H113" s="29" t="s">
        <v>44</v>
      </c>
      <c r="J113" s="7">
        <v>0.83888888888888891</v>
      </c>
      <c r="K113" s="7">
        <v>0.83888888888888891</v>
      </c>
      <c r="L113" s="3">
        <f t="shared" si="2"/>
        <v>0</v>
      </c>
      <c r="M113" s="3">
        <f t="shared" si="3"/>
        <v>1</v>
      </c>
      <c r="N113" s="29">
        <f>_xlfn.MAXIFS($G$7:G112,$E$7:E112,detalhe_carro1[[#This Row],[Nó]],$B$7:B112,detalhe_carro1[[#This Row],[Numero Voltas]],$L$7:L112,1)</f>
        <v>549</v>
      </c>
      <c r="O113" s="3">
        <f>IF(OR(detalhe_carro1[[#This Row],[Ultima Chegada]]=0,detalhe_carro1[[#This Row],[Chegada]]=0),"",detalhe_carro1[[#This Row],[Hora Inicio]]-detalhe_carro1[[#This Row],[Ultima Chegada]])</f>
        <v>239</v>
      </c>
      <c r="P113" s="3">
        <f>IF(detalhe_carro1[[#This Row],[Tipo]]="Visitar Nó",((detalhe_carro1[[#This Row],[Hora Fim]]-detalhe_carro1[[#This Row],[Hora Inicio]])/60*velocidade_nos),0)</f>
        <v>0</v>
      </c>
      <c r="Q113" s="29">
        <f>detalhe_carro1[[#This Row],[Kms Nós]]+detalhe_carro1[[#This Row],[kms]]</f>
        <v>0</v>
      </c>
      <c r="S113" s="20">
        <v>2</v>
      </c>
      <c r="T113" s="38">
        <v>2</v>
      </c>
      <c r="U113" s="38">
        <v>8</v>
      </c>
      <c r="V113" s="38" t="s">
        <v>302</v>
      </c>
      <c r="W113" s="30">
        <v>1394</v>
      </c>
      <c r="X113" s="30">
        <v>1394</v>
      </c>
      <c r="Y113" s="30">
        <v>1372</v>
      </c>
      <c r="Z113" s="39">
        <v>0.25972222222222224</v>
      </c>
      <c r="AA113" s="39">
        <v>0.25972222222222224</v>
      </c>
      <c r="AB113" s="39">
        <v>0.24444444444444444</v>
      </c>
      <c r="AC1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114" spans="2:29" x14ac:dyDescent="0.25">
      <c r="B114" s="3">
        <v>2</v>
      </c>
      <c r="C114">
        <v>1</v>
      </c>
      <c r="D114">
        <v>0</v>
      </c>
      <c r="E114" s="29" t="s">
        <v>203</v>
      </c>
      <c r="F114" s="3">
        <v>788</v>
      </c>
      <c r="G114" s="3">
        <v>818</v>
      </c>
      <c r="H114" s="29" t="s">
        <v>45</v>
      </c>
      <c r="J114" s="7">
        <v>0.83888888888888891</v>
      </c>
      <c r="K114" s="7">
        <v>0.85972222222222228</v>
      </c>
      <c r="L114" s="3">
        <f t="shared" si="2"/>
        <v>0</v>
      </c>
      <c r="M114" s="3">
        <f t="shared" si="3"/>
        <v>0</v>
      </c>
      <c r="N114" s="29">
        <f>_xlfn.MAXIFS($G$7:G113,$E$7:E113,detalhe_carro1[[#This Row],[Nó]],$B$7:B113,detalhe_carro1[[#This Row],[Numero Voltas]],$L$7:L113,1)</f>
        <v>549</v>
      </c>
      <c r="O114" s="3" t="str">
        <f>IF(OR(detalhe_carro1[[#This Row],[Ultima Chegada]]=0,detalhe_carro1[[#This Row],[Chegada]]=0),"",detalhe_carro1[[#This Row],[Hora Inicio]]-detalhe_carro1[[#This Row],[Ultima Chegada]])</f>
        <v/>
      </c>
      <c r="P114" s="3">
        <f>IF(detalhe_carro1[[#This Row],[Tipo]]="Visitar Nó",((detalhe_carro1[[#This Row],[Hora Fim]]-detalhe_carro1[[#This Row],[Hora Inicio]])/60*velocidade_nos),0)</f>
        <v>0</v>
      </c>
      <c r="Q114" s="29">
        <f>detalhe_carro1[[#This Row],[Kms Nós]]+detalhe_carro1[[#This Row],[kms]]</f>
        <v>0</v>
      </c>
      <c r="S114" s="20">
        <v>2</v>
      </c>
      <c r="T114" s="38">
        <v>2</v>
      </c>
      <c r="U114" s="38">
        <v>7</v>
      </c>
      <c r="V114" s="38" t="s">
        <v>301</v>
      </c>
      <c r="W114" s="30">
        <v>1400</v>
      </c>
      <c r="X114" s="30">
        <v>1400</v>
      </c>
      <c r="Y114" s="30">
        <v>1366</v>
      </c>
      <c r="Z114" s="39">
        <v>0.2638888888888889</v>
      </c>
      <c r="AA114" s="39">
        <v>0.2638888888888889</v>
      </c>
      <c r="AB114" s="39">
        <v>0.24027777777777778</v>
      </c>
      <c r="AC1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15" spans="2:29" x14ac:dyDescent="0.25">
      <c r="B115" s="3">
        <v>2</v>
      </c>
      <c r="C115">
        <v>1</v>
      </c>
      <c r="D115">
        <v>0</v>
      </c>
      <c r="E115" s="29" t="s">
        <v>203</v>
      </c>
      <c r="F115" s="3">
        <v>818</v>
      </c>
      <c r="G115" s="3">
        <v>818</v>
      </c>
      <c r="H115" s="29" t="s">
        <v>44</v>
      </c>
      <c r="J115" s="7">
        <v>0.85972222222222228</v>
      </c>
      <c r="K115" s="7">
        <v>0.85972222222222228</v>
      </c>
      <c r="L115" s="3">
        <f t="shared" si="2"/>
        <v>0</v>
      </c>
      <c r="M115" s="3">
        <f t="shared" si="3"/>
        <v>0</v>
      </c>
      <c r="N115" s="29">
        <f>_xlfn.MAXIFS($G$7:G114,$E$7:E114,detalhe_carro1[[#This Row],[Nó]],$B$7:B114,detalhe_carro1[[#This Row],[Numero Voltas]],$L$7:L114,1)</f>
        <v>549</v>
      </c>
      <c r="O115" s="3" t="str">
        <f>IF(OR(detalhe_carro1[[#This Row],[Ultima Chegada]]=0,detalhe_carro1[[#This Row],[Chegada]]=0),"",detalhe_carro1[[#This Row],[Hora Inicio]]-detalhe_carro1[[#This Row],[Ultima Chegada]])</f>
        <v/>
      </c>
      <c r="P115" s="3">
        <f>IF(detalhe_carro1[[#This Row],[Tipo]]="Visitar Nó",((detalhe_carro1[[#This Row],[Hora Fim]]-detalhe_carro1[[#This Row],[Hora Inicio]])/60*velocidade_nos),0)</f>
        <v>0</v>
      </c>
      <c r="Q115" s="29">
        <f>detalhe_carro1[[#This Row],[Kms Nós]]+detalhe_carro1[[#This Row],[kms]]</f>
        <v>0</v>
      </c>
      <c r="S115" s="20">
        <v>2</v>
      </c>
      <c r="T115" s="38">
        <v>2</v>
      </c>
      <c r="U115" s="38">
        <v>6</v>
      </c>
      <c r="V115" s="38" t="s">
        <v>300</v>
      </c>
      <c r="W115" s="30">
        <v>1403</v>
      </c>
      <c r="X115" s="30">
        <v>1403</v>
      </c>
      <c r="Y115" s="30">
        <v>1353</v>
      </c>
      <c r="Z115" s="39">
        <v>0.26597222222222222</v>
      </c>
      <c r="AA115" s="39">
        <v>0.26597222222222222</v>
      </c>
      <c r="AB115" s="39">
        <v>0.23125000000000001</v>
      </c>
      <c r="AC1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0.83333333333333337</v>
      </c>
    </row>
    <row r="116" spans="2:29" x14ac:dyDescent="0.25">
      <c r="B116" s="3">
        <v>2</v>
      </c>
      <c r="C116">
        <v>1</v>
      </c>
      <c r="D116">
        <v>0</v>
      </c>
      <c r="E116" s="29" t="s">
        <v>203</v>
      </c>
      <c r="F116" s="3">
        <v>818</v>
      </c>
      <c r="G116" s="3">
        <v>826</v>
      </c>
      <c r="H116" s="29" t="s">
        <v>43</v>
      </c>
      <c r="J116" s="7">
        <v>0.85972222222222228</v>
      </c>
      <c r="K116" s="7">
        <v>0.86527777777777781</v>
      </c>
      <c r="L116" s="3">
        <f t="shared" si="2"/>
        <v>1</v>
      </c>
      <c r="M116" s="3">
        <f t="shared" si="3"/>
        <v>0</v>
      </c>
      <c r="N116" s="29">
        <f>_xlfn.MAXIFS($G$7:G115,$E$7:E115,detalhe_carro1[[#This Row],[Nó]],$B$7:B115,detalhe_carro1[[#This Row],[Numero Voltas]],$L$7:L115,1)</f>
        <v>549</v>
      </c>
      <c r="O116" s="3" t="str">
        <f>IF(OR(detalhe_carro1[[#This Row],[Ultima Chegada]]=0,detalhe_carro1[[#This Row],[Chegada]]=0),"",detalhe_carro1[[#This Row],[Hora Inicio]]-detalhe_carro1[[#This Row],[Ultima Chegada]])</f>
        <v/>
      </c>
      <c r="P116" s="3">
        <f>IF(detalhe_carro1[[#This Row],[Tipo]]="Visitar Nó",((detalhe_carro1[[#This Row],[Hora Fim]]-detalhe_carro1[[#This Row],[Hora Inicio]])/60*velocidade_nos),0)</f>
        <v>4</v>
      </c>
      <c r="Q116" s="29">
        <f>detalhe_carro1[[#This Row],[Kms Nós]]+detalhe_carro1[[#This Row],[kms]]</f>
        <v>4</v>
      </c>
      <c r="S116" s="20">
        <v>2</v>
      </c>
      <c r="T116" s="38">
        <v>2</v>
      </c>
      <c r="U116" s="38">
        <v>5</v>
      </c>
      <c r="V116" s="38" t="s">
        <v>215</v>
      </c>
      <c r="W116" s="30">
        <v>1407</v>
      </c>
      <c r="X116" s="30">
        <v>1407</v>
      </c>
      <c r="Y116" s="30">
        <v>1349</v>
      </c>
      <c r="Z116" s="39">
        <v>0.26874999999999999</v>
      </c>
      <c r="AA116" s="39">
        <v>0.26874999999999999</v>
      </c>
      <c r="AB116" s="39">
        <v>0.22847222222222222</v>
      </c>
      <c r="AC1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117" spans="2:29" x14ac:dyDescent="0.25">
      <c r="B117" s="3">
        <v>2</v>
      </c>
      <c r="C117">
        <v>1</v>
      </c>
      <c r="D117">
        <v>1</v>
      </c>
      <c r="E117" s="29" t="s">
        <v>200</v>
      </c>
      <c r="F117" s="3">
        <v>828</v>
      </c>
      <c r="G117" s="3">
        <v>828</v>
      </c>
      <c r="H117" s="29" t="s">
        <v>44</v>
      </c>
      <c r="J117" s="7">
        <v>0.8666666666666667</v>
      </c>
      <c r="K117" s="7">
        <v>0.8666666666666667</v>
      </c>
      <c r="L117" s="3">
        <f t="shared" si="2"/>
        <v>1</v>
      </c>
      <c r="M117" s="3">
        <f t="shared" si="3"/>
        <v>1</v>
      </c>
      <c r="N117" s="29">
        <f>_xlfn.MAXIFS($G$7:G116,$E$7:E116,detalhe_carro1[[#This Row],[Nó]],$B$7:B116,detalhe_carro1[[#This Row],[Numero Voltas]],$L$7:L116,1)</f>
        <v>786</v>
      </c>
      <c r="O117" s="3">
        <f>IF(OR(detalhe_carro1[[#This Row],[Ultima Chegada]]=0,detalhe_carro1[[#This Row],[Chegada]]=0),"",detalhe_carro1[[#This Row],[Hora Inicio]]-detalhe_carro1[[#This Row],[Ultima Chegada]])</f>
        <v>42</v>
      </c>
      <c r="P117" s="3">
        <f>IF(detalhe_carro1[[#This Row],[Tipo]]="Visitar Nó",((detalhe_carro1[[#This Row],[Hora Fim]]-detalhe_carro1[[#This Row],[Hora Inicio]])/60*velocidade_nos),0)</f>
        <v>0</v>
      </c>
      <c r="Q117" s="29">
        <f>detalhe_carro1[[#This Row],[Kms Nós]]+detalhe_carro1[[#This Row],[kms]]</f>
        <v>0</v>
      </c>
      <c r="S117" s="20">
        <v>2</v>
      </c>
      <c r="T117" s="38">
        <v>2</v>
      </c>
      <c r="U117" s="38">
        <v>4</v>
      </c>
      <c r="V117" s="38" t="s">
        <v>2</v>
      </c>
      <c r="W117" s="30">
        <v>1410</v>
      </c>
      <c r="X117" s="30">
        <v>1440</v>
      </c>
      <c r="Y117" s="30">
        <v>1346</v>
      </c>
      <c r="Z117" s="39">
        <v>0.27083333333333331</v>
      </c>
      <c r="AA117" s="39">
        <v>0.29166666666666669</v>
      </c>
      <c r="AB117" s="39">
        <v>0.22638888888888889</v>
      </c>
      <c r="AC1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row>
    <row r="118" spans="2:29" x14ac:dyDescent="0.25">
      <c r="B118" s="3">
        <v>2</v>
      </c>
      <c r="C118">
        <v>1</v>
      </c>
      <c r="D118">
        <v>2</v>
      </c>
      <c r="E118" s="29" t="s">
        <v>228</v>
      </c>
      <c r="F118" s="3">
        <v>828</v>
      </c>
      <c r="G118" s="3">
        <v>828</v>
      </c>
      <c r="H118" s="29" t="s">
        <v>44</v>
      </c>
      <c r="J118" s="7">
        <v>0.8666666666666667</v>
      </c>
      <c r="K118" s="7">
        <v>0.8666666666666667</v>
      </c>
      <c r="L118" s="3">
        <f t="shared" si="2"/>
        <v>1</v>
      </c>
      <c r="M118" s="3">
        <f t="shared" si="3"/>
        <v>1</v>
      </c>
      <c r="N118" s="29">
        <f>_xlfn.MAXIFS($G$7:G117,$E$7:E117,detalhe_carro1[[#This Row],[Nó]],$B$7:B117,detalhe_carro1[[#This Row],[Numero Voltas]],$L$7:L117,1)</f>
        <v>781</v>
      </c>
      <c r="O118" s="3">
        <f>IF(OR(detalhe_carro1[[#This Row],[Ultima Chegada]]=0,detalhe_carro1[[#This Row],[Chegada]]=0),"",detalhe_carro1[[#This Row],[Hora Inicio]]-detalhe_carro1[[#This Row],[Ultima Chegada]])</f>
        <v>47</v>
      </c>
      <c r="P118" s="3">
        <f>IF(detalhe_carro1[[#This Row],[Tipo]]="Visitar Nó",((detalhe_carro1[[#This Row],[Hora Fim]]-detalhe_carro1[[#This Row],[Hora Inicio]])/60*velocidade_nos),0)</f>
        <v>0</v>
      </c>
      <c r="Q118" s="29">
        <f>detalhe_carro1[[#This Row],[Kms Nós]]+detalhe_carro1[[#This Row],[kms]]</f>
        <v>0</v>
      </c>
      <c r="S118" s="20">
        <v>3</v>
      </c>
      <c r="T118" s="38">
        <v>2</v>
      </c>
      <c r="U118" s="38">
        <v>4</v>
      </c>
      <c r="V118" s="38" t="s">
        <v>2</v>
      </c>
      <c r="W118" s="30">
        <v>0</v>
      </c>
      <c r="X118" s="30">
        <v>13</v>
      </c>
      <c r="Y118" s="30">
        <v>1440</v>
      </c>
      <c r="Z118" s="39">
        <v>0.29166666666666669</v>
      </c>
      <c r="AA118" s="39">
        <v>0.30069444444444443</v>
      </c>
      <c r="AB118" s="39">
        <v>0.29166666666666669</v>
      </c>
      <c r="AC118"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row>
    <row r="119" spans="2:29" x14ac:dyDescent="0.25">
      <c r="B119" s="3">
        <v>2</v>
      </c>
      <c r="C119">
        <v>1</v>
      </c>
      <c r="D119">
        <v>3</v>
      </c>
      <c r="E119" s="29" t="s">
        <v>208</v>
      </c>
      <c r="F119" s="3">
        <v>832</v>
      </c>
      <c r="G119" s="3">
        <v>832</v>
      </c>
      <c r="H119" s="29" t="s">
        <v>44</v>
      </c>
      <c r="J119" s="7">
        <v>0.86944444444444446</v>
      </c>
      <c r="K119" s="7">
        <v>0.86944444444444446</v>
      </c>
      <c r="L119" s="3">
        <f t="shared" si="2"/>
        <v>1</v>
      </c>
      <c r="M119" s="3">
        <f t="shared" si="3"/>
        <v>1</v>
      </c>
      <c r="N119" s="29">
        <f>_xlfn.MAXIFS($G$7:G118,$E$7:E118,detalhe_carro1[[#This Row],[Nó]],$B$7:B118,detalhe_carro1[[#This Row],[Numero Voltas]],$L$7:L118,1)</f>
        <v>760</v>
      </c>
      <c r="O119" s="3">
        <f>IF(OR(detalhe_carro1[[#This Row],[Ultima Chegada]]=0,detalhe_carro1[[#This Row],[Chegada]]=0),"",detalhe_carro1[[#This Row],[Hora Inicio]]-detalhe_carro1[[#This Row],[Ultima Chegada]])</f>
        <v>72</v>
      </c>
      <c r="P119" s="3">
        <f>IF(detalhe_carro1[[#This Row],[Tipo]]="Visitar Nó",((detalhe_carro1[[#This Row],[Hora Fim]]-detalhe_carro1[[#This Row],[Hora Inicio]])/60*velocidade_nos),0)</f>
        <v>0</v>
      </c>
      <c r="Q119" s="29">
        <f>detalhe_carro1[[#This Row],[Kms Nós]]+detalhe_carro1[[#This Row],[kms]]</f>
        <v>0</v>
      </c>
      <c r="S119" s="20">
        <v>3</v>
      </c>
      <c r="T119" s="38">
        <v>2</v>
      </c>
      <c r="U119" s="38">
        <v>3</v>
      </c>
      <c r="V119" s="38" t="s">
        <v>208</v>
      </c>
      <c r="W119" s="30">
        <v>18</v>
      </c>
      <c r="X119" s="30">
        <v>18</v>
      </c>
      <c r="Y119" s="30">
        <v>1391</v>
      </c>
      <c r="Z119" s="39">
        <v>0.30416666666666664</v>
      </c>
      <c r="AA119" s="39">
        <v>0.30416666666666664</v>
      </c>
      <c r="AB119" s="39">
        <v>0.25763888888888886</v>
      </c>
      <c r="AC1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120" spans="2:29" x14ac:dyDescent="0.25">
      <c r="B120" s="3">
        <v>2</v>
      </c>
      <c r="C120">
        <v>1</v>
      </c>
      <c r="D120">
        <v>4</v>
      </c>
      <c r="E120" s="29" t="s">
        <v>2</v>
      </c>
      <c r="F120" s="3">
        <v>836</v>
      </c>
      <c r="G120" s="3">
        <v>836</v>
      </c>
      <c r="H120" s="29" t="s">
        <v>44</v>
      </c>
      <c r="J120" s="7">
        <v>0.87222222222222223</v>
      </c>
      <c r="K120" s="7">
        <v>0.87222222222222223</v>
      </c>
      <c r="L120" s="3">
        <f t="shared" si="2"/>
        <v>1</v>
      </c>
      <c r="M120" s="3">
        <f t="shared" si="3"/>
        <v>1</v>
      </c>
      <c r="N120" s="29">
        <f>_xlfn.MAXIFS($G$7:G119,$E$7:E119,detalhe_carro1[[#This Row],[Nó]],$B$7:B119,detalhe_carro1[[#This Row],[Numero Voltas]],$L$7:L119,1)</f>
        <v>755</v>
      </c>
      <c r="O120" s="3">
        <f>IF(OR(detalhe_carro1[[#This Row],[Ultima Chegada]]=0,detalhe_carro1[[#This Row],[Chegada]]=0),"",detalhe_carro1[[#This Row],[Hora Inicio]]-detalhe_carro1[[#This Row],[Ultima Chegada]])</f>
        <v>81</v>
      </c>
      <c r="P120" s="3">
        <f>IF(detalhe_carro1[[#This Row],[Tipo]]="Visitar Nó",((detalhe_carro1[[#This Row],[Hora Fim]]-detalhe_carro1[[#This Row],[Hora Inicio]])/60*velocidade_nos),0)</f>
        <v>0</v>
      </c>
      <c r="Q120" s="29">
        <f>detalhe_carro1[[#This Row],[Kms Nós]]+detalhe_carro1[[#This Row],[kms]]</f>
        <v>0</v>
      </c>
      <c r="S120" s="20">
        <v>3</v>
      </c>
      <c r="T120" s="38">
        <v>2</v>
      </c>
      <c r="U120" s="38">
        <v>2</v>
      </c>
      <c r="V120" s="38" t="s">
        <v>228</v>
      </c>
      <c r="W120" s="30">
        <v>21</v>
      </c>
      <c r="X120" s="30">
        <v>21</v>
      </c>
      <c r="Y120" s="30">
        <v>1388</v>
      </c>
      <c r="Z120" s="39">
        <v>0.30625000000000002</v>
      </c>
      <c r="AA120" s="39">
        <v>0.30625000000000002</v>
      </c>
      <c r="AB120" s="39">
        <v>0.25555555555555554</v>
      </c>
      <c r="AC1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row>
    <row r="121" spans="2:29" x14ac:dyDescent="0.25">
      <c r="B121" s="3">
        <v>2</v>
      </c>
      <c r="C121">
        <v>1</v>
      </c>
      <c r="D121">
        <v>5</v>
      </c>
      <c r="E121" s="29" t="s">
        <v>215</v>
      </c>
      <c r="F121" s="3">
        <v>840</v>
      </c>
      <c r="G121" s="3">
        <v>840</v>
      </c>
      <c r="H121" s="29" t="s">
        <v>44</v>
      </c>
      <c r="J121" s="7">
        <v>0.875</v>
      </c>
      <c r="K121" s="7">
        <v>0.875</v>
      </c>
      <c r="L121" s="3">
        <f t="shared" si="2"/>
        <v>0</v>
      </c>
      <c r="M121" s="3">
        <f t="shared" si="3"/>
        <v>1</v>
      </c>
      <c r="N121" s="29">
        <f>_xlfn.MAXIFS($G$7:G120,$E$7:E120,detalhe_carro1[[#This Row],[Nó]],$B$7:B120,detalhe_carro1[[#This Row],[Numero Voltas]],$L$7:L120,1)</f>
        <v>739</v>
      </c>
      <c r="O121" s="3">
        <f>IF(OR(detalhe_carro1[[#This Row],[Ultima Chegada]]=0,detalhe_carro1[[#This Row],[Chegada]]=0),"",detalhe_carro1[[#This Row],[Hora Inicio]]-detalhe_carro1[[#This Row],[Ultima Chegada]])</f>
        <v>101</v>
      </c>
      <c r="P121" s="3">
        <f>IF(detalhe_carro1[[#This Row],[Tipo]]="Visitar Nó",((detalhe_carro1[[#This Row],[Hora Fim]]-detalhe_carro1[[#This Row],[Hora Inicio]])/60*velocidade_nos),0)</f>
        <v>0</v>
      </c>
      <c r="Q121" s="29">
        <f>detalhe_carro1[[#This Row],[Kms Nós]]+detalhe_carro1[[#This Row],[kms]]</f>
        <v>0</v>
      </c>
      <c r="S121" s="20">
        <v>3</v>
      </c>
      <c r="T121" s="38">
        <v>2</v>
      </c>
      <c r="U121" s="38">
        <v>1</v>
      </c>
      <c r="V121" s="38" t="s">
        <v>200</v>
      </c>
      <c r="W121" s="30">
        <v>22</v>
      </c>
      <c r="X121" s="30">
        <v>22</v>
      </c>
      <c r="Y121" s="30">
        <v>1387</v>
      </c>
      <c r="Z121" s="39">
        <v>0.30694444444444446</v>
      </c>
      <c r="AA121" s="39">
        <v>0.30694444444444446</v>
      </c>
      <c r="AB121" s="39">
        <v>0.25486111111111109</v>
      </c>
      <c r="AC1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1.25</v>
      </c>
    </row>
    <row r="122" spans="2:29" x14ac:dyDescent="0.25">
      <c r="B122" s="3">
        <v>2</v>
      </c>
      <c r="C122">
        <v>1</v>
      </c>
      <c r="D122">
        <v>5</v>
      </c>
      <c r="E122" s="29" t="s">
        <v>215</v>
      </c>
      <c r="F122" s="3">
        <v>840</v>
      </c>
      <c r="G122" s="3">
        <v>840</v>
      </c>
      <c r="H122" s="29" t="s">
        <v>43</v>
      </c>
      <c r="J122" s="7">
        <v>0.875</v>
      </c>
      <c r="K122" s="7">
        <v>0.875</v>
      </c>
      <c r="L122" s="3">
        <f t="shared" si="2"/>
        <v>1</v>
      </c>
      <c r="M122" s="3">
        <f t="shared" si="3"/>
        <v>0</v>
      </c>
      <c r="N122" s="29">
        <f>_xlfn.MAXIFS($G$7:G121,$E$7:E121,detalhe_carro1[[#This Row],[Nó]],$B$7:B121,detalhe_carro1[[#This Row],[Numero Voltas]],$L$7:L121,1)</f>
        <v>739</v>
      </c>
      <c r="O122" s="3" t="str">
        <f>IF(OR(detalhe_carro1[[#This Row],[Ultima Chegada]]=0,detalhe_carro1[[#This Row],[Chegada]]=0),"",detalhe_carro1[[#This Row],[Hora Inicio]]-detalhe_carro1[[#This Row],[Ultima Chegada]])</f>
        <v/>
      </c>
      <c r="P122" s="3">
        <f>IF(detalhe_carro1[[#This Row],[Tipo]]="Visitar Nó",((detalhe_carro1[[#This Row],[Hora Fim]]-detalhe_carro1[[#This Row],[Hora Inicio]])/60*velocidade_nos),0)</f>
        <v>0</v>
      </c>
      <c r="Q122" s="29">
        <f>detalhe_carro1[[#This Row],[Kms Nós]]+detalhe_carro1[[#This Row],[kms]]</f>
        <v>0</v>
      </c>
      <c r="S122" s="20">
        <v>3</v>
      </c>
      <c r="T122" s="38">
        <v>2</v>
      </c>
      <c r="U122" s="38">
        <v>0</v>
      </c>
      <c r="V122" s="38" t="s">
        <v>203</v>
      </c>
      <c r="W122" s="30">
        <v>24</v>
      </c>
      <c r="X122" s="30">
        <v>24</v>
      </c>
      <c r="Y122" s="30">
        <v>1385</v>
      </c>
      <c r="Z122" s="39">
        <v>0.30833333333333335</v>
      </c>
      <c r="AA122" s="39">
        <v>0.30833333333333335</v>
      </c>
      <c r="AB122" s="39">
        <v>0.25347222222222221</v>
      </c>
      <c r="AC1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row>
    <row r="123" spans="2:29" x14ac:dyDescent="0.25">
      <c r="B123" s="3">
        <v>2</v>
      </c>
      <c r="C123">
        <v>1</v>
      </c>
      <c r="D123">
        <v>6</v>
      </c>
      <c r="E123" s="29" t="s">
        <v>300</v>
      </c>
      <c r="F123" s="3">
        <v>844</v>
      </c>
      <c r="G123" s="3">
        <v>844</v>
      </c>
      <c r="H123" s="29" t="s">
        <v>44</v>
      </c>
      <c r="J123" s="7">
        <v>0.87777777777777777</v>
      </c>
      <c r="K123" s="7">
        <v>0.87777777777777777</v>
      </c>
      <c r="L123" s="3">
        <f t="shared" si="2"/>
        <v>0</v>
      </c>
      <c r="M123" s="3">
        <f t="shared" si="3"/>
        <v>1</v>
      </c>
      <c r="N123" s="29">
        <f>_xlfn.MAXIFS($G$7:G122,$E$7:E122,detalhe_carro1[[#This Row],[Nó]],$B$7:B122,detalhe_carro1[[#This Row],[Numero Voltas]],$L$7:L122,1)</f>
        <v>735</v>
      </c>
      <c r="O123" s="3">
        <f>IF(OR(detalhe_carro1[[#This Row],[Ultima Chegada]]=0,detalhe_carro1[[#This Row],[Chegada]]=0),"",detalhe_carro1[[#This Row],[Hora Inicio]]-detalhe_carro1[[#This Row],[Ultima Chegada]])</f>
        <v>109</v>
      </c>
      <c r="P123" s="3">
        <f>IF(detalhe_carro1[[#This Row],[Tipo]]="Visitar Nó",((detalhe_carro1[[#This Row],[Hora Fim]]-detalhe_carro1[[#This Row],[Hora Inicio]])/60*velocidade_nos),0)</f>
        <v>0</v>
      </c>
      <c r="Q123" s="29">
        <f>detalhe_carro1[[#This Row],[Kms Nós]]+detalhe_carro1[[#This Row],[kms]]</f>
        <v>0</v>
      </c>
      <c r="S123" s="20">
        <v>3</v>
      </c>
      <c r="T123" s="38">
        <v>2</v>
      </c>
      <c r="U123" s="38">
        <v>1</v>
      </c>
      <c r="V123" s="38" t="s">
        <v>200</v>
      </c>
      <c r="W123" s="30">
        <v>26</v>
      </c>
      <c r="X123" s="30">
        <v>26</v>
      </c>
      <c r="Y123" s="30">
        <v>22</v>
      </c>
      <c r="Z123" s="39">
        <v>0.30972222222222223</v>
      </c>
      <c r="AA123" s="39">
        <v>0.30972222222222223</v>
      </c>
      <c r="AB123" s="39">
        <v>0.30694444444444446</v>
      </c>
      <c r="AC1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24" spans="2:29" x14ac:dyDescent="0.25">
      <c r="B124" s="3">
        <v>2</v>
      </c>
      <c r="C124">
        <v>1</v>
      </c>
      <c r="D124">
        <v>6</v>
      </c>
      <c r="E124" s="29" t="s">
        <v>300</v>
      </c>
      <c r="F124" s="3">
        <v>844</v>
      </c>
      <c r="G124" s="3">
        <v>844</v>
      </c>
      <c r="H124" s="29" t="s">
        <v>43</v>
      </c>
      <c r="J124" s="7">
        <v>0.87777777777777777</v>
      </c>
      <c r="K124" s="7">
        <v>0.87777777777777777</v>
      </c>
      <c r="L124" s="3">
        <f t="shared" si="2"/>
        <v>1</v>
      </c>
      <c r="M124" s="3">
        <f t="shared" si="3"/>
        <v>0</v>
      </c>
      <c r="N124" s="29">
        <f>_xlfn.MAXIFS($G$7:G123,$E$7:E123,detalhe_carro1[[#This Row],[Nó]],$B$7:B123,detalhe_carro1[[#This Row],[Numero Voltas]],$L$7:L123,1)</f>
        <v>735</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c r="S124" s="20">
        <v>3</v>
      </c>
      <c r="T124" s="38">
        <v>2</v>
      </c>
      <c r="U124" s="38">
        <v>2</v>
      </c>
      <c r="V124" s="38" t="s">
        <v>228</v>
      </c>
      <c r="W124" s="30">
        <v>27</v>
      </c>
      <c r="X124" s="30">
        <v>27</v>
      </c>
      <c r="Y124" s="30">
        <v>21</v>
      </c>
      <c r="Z124" s="39">
        <v>0.31041666666666667</v>
      </c>
      <c r="AA124" s="39">
        <v>0.31041666666666667</v>
      </c>
      <c r="AB124" s="39">
        <v>0.30625000000000002</v>
      </c>
      <c r="AC1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125" spans="2:29" x14ac:dyDescent="0.25">
      <c r="B125" s="3">
        <v>2</v>
      </c>
      <c r="C125">
        <v>1</v>
      </c>
      <c r="D125">
        <v>7</v>
      </c>
      <c r="E125" s="29" t="s">
        <v>301</v>
      </c>
      <c r="F125" s="3">
        <v>846</v>
      </c>
      <c r="G125" s="3">
        <v>846</v>
      </c>
      <c r="H125" s="29" t="s">
        <v>44</v>
      </c>
      <c r="J125" s="7">
        <v>0.87916666666666665</v>
      </c>
      <c r="K125" s="7">
        <v>0.87916666666666665</v>
      </c>
      <c r="L125" s="3">
        <f t="shared" si="2"/>
        <v>1</v>
      </c>
      <c r="M125" s="3">
        <f t="shared" si="3"/>
        <v>1</v>
      </c>
      <c r="N125" s="29">
        <f>_xlfn.MAXIFS($G$7:G124,$E$7:E124,detalhe_carro1[[#This Row],[Nó]],$B$7:B124,detalhe_carro1[[#This Row],[Numero Voltas]],$L$7:L124,1)</f>
        <v>732</v>
      </c>
      <c r="O125" s="3">
        <f>IF(OR(detalhe_carro1[[#This Row],[Ultima Chegada]]=0,detalhe_carro1[[#This Row],[Chegada]]=0),"",detalhe_carro1[[#This Row],[Hora Inicio]]-detalhe_carro1[[#This Row],[Ultima Chegada]])</f>
        <v>114</v>
      </c>
      <c r="P125" s="3">
        <f>IF(detalhe_carro1[[#This Row],[Tipo]]="Visitar Nó",((detalhe_carro1[[#This Row],[Hora Fim]]-detalhe_carro1[[#This Row],[Hora Inicio]])/60*velocidade_nos),0)</f>
        <v>0</v>
      </c>
      <c r="Q125" s="29">
        <f>detalhe_carro1[[#This Row],[Kms Nós]]+detalhe_carro1[[#This Row],[kms]]</f>
        <v>0</v>
      </c>
      <c r="S125" s="20">
        <v>3</v>
      </c>
      <c r="T125" s="38">
        <v>2</v>
      </c>
      <c r="U125" s="38">
        <v>3</v>
      </c>
      <c r="V125" s="38" t="s">
        <v>208</v>
      </c>
      <c r="W125" s="30">
        <v>30</v>
      </c>
      <c r="X125" s="30">
        <v>30</v>
      </c>
      <c r="Y125" s="30">
        <v>18</v>
      </c>
      <c r="Z125" s="39">
        <v>0.3125</v>
      </c>
      <c r="AA125" s="39">
        <v>0.3125</v>
      </c>
      <c r="AB125" s="39">
        <v>0.30416666666666664</v>
      </c>
      <c r="AC1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126" spans="2:29" x14ac:dyDescent="0.25">
      <c r="B126" s="3">
        <v>2</v>
      </c>
      <c r="C126">
        <v>1</v>
      </c>
      <c r="D126">
        <v>8</v>
      </c>
      <c r="E126" s="29" t="s">
        <v>302</v>
      </c>
      <c r="F126" s="3">
        <v>852</v>
      </c>
      <c r="G126" s="3">
        <v>852</v>
      </c>
      <c r="H126" s="29" t="s">
        <v>44</v>
      </c>
      <c r="J126" s="7">
        <v>0.8833333333333333</v>
      </c>
      <c r="K126" s="7">
        <v>0.8833333333333333</v>
      </c>
      <c r="L126" s="3">
        <f t="shared" si="2"/>
        <v>1</v>
      </c>
      <c r="M126" s="3">
        <f t="shared" si="3"/>
        <v>1</v>
      </c>
      <c r="N126" s="29">
        <f>_xlfn.MAXIFS($G$7:G125,$E$7:E125,detalhe_carro1[[#This Row],[Nó]],$B$7:B125,detalhe_carro1[[#This Row],[Numero Voltas]],$L$7:L125,1)</f>
        <v>726</v>
      </c>
      <c r="O126" s="3">
        <f>IF(OR(detalhe_carro1[[#This Row],[Ultima Chegada]]=0,detalhe_carro1[[#This Row],[Chegada]]=0),"",detalhe_carro1[[#This Row],[Hora Inicio]]-detalhe_carro1[[#This Row],[Ultima Chegada]])</f>
        <v>126</v>
      </c>
      <c r="P126" s="3">
        <f>IF(detalhe_carro1[[#This Row],[Tipo]]="Visitar Nó",((detalhe_carro1[[#This Row],[Hora Fim]]-detalhe_carro1[[#This Row],[Hora Inicio]])/60*velocidade_nos),0)</f>
        <v>0</v>
      </c>
      <c r="Q126" s="29">
        <f>detalhe_carro1[[#This Row],[Kms Nós]]+detalhe_carro1[[#This Row],[kms]]</f>
        <v>0</v>
      </c>
      <c r="S126" s="20">
        <v>3</v>
      </c>
      <c r="T126" s="38">
        <v>2</v>
      </c>
      <c r="U126" s="38">
        <v>4</v>
      </c>
      <c r="V126" s="38" t="s">
        <v>2</v>
      </c>
      <c r="W126" s="30">
        <v>35</v>
      </c>
      <c r="X126" s="30">
        <v>62</v>
      </c>
      <c r="Y126" s="30">
        <v>13</v>
      </c>
      <c r="Z126" s="39">
        <v>0.31597222222222221</v>
      </c>
      <c r="AA126" s="39">
        <v>0.3347222222222222</v>
      </c>
      <c r="AB126" s="39">
        <v>0.30069444444444443</v>
      </c>
      <c r="AC1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127" spans="2:29" x14ac:dyDescent="0.25">
      <c r="B127" s="3">
        <v>2</v>
      </c>
      <c r="C127">
        <v>1</v>
      </c>
      <c r="D127">
        <v>9</v>
      </c>
      <c r="E127" s="29" t="s">
        <v>303</v>
      </c>
      <c r="F127" s="3">
        <v>858</v>
      </c>
      <c r="G127" s="3">
        <v>858</v>
      </c>
      <c r="H127" s="29" t="s">
        <v>44</v>
      </c>
      <c r="J127" s="7">
        <v>0.88749999999999996</v>
      </c>
      <c r="K127" s="7">
        <v>0.88749999999999996</v>
      </c>
      <c r="L127" s="3">
        <f t="shared" si="2"/>
        <v>0</v>
      </c>
      <c r="M127" s="3">
        <f t="shared" si="3"/>
        <v>1</v>
      </c>
      <c r="N127" s="29">
        <f>_xlfn.MAXIFS($G$7:G126,$E$7:E126,detalhe_carro1[[#This Row],[Nó]],$B$7:B126,detalhe_carro1[[#This Row],[Numero Voltas]],$L$7:L126,1)</f>
        <v>720</v>
      </c>
      <c r="O127" s="3">
        <f>IF(OR(detalhe_carro1[[#This Row],[Ultima Chegada]]=0,detalhe_carro1[[#This Row],[Chegada]]=0),"",detalhe_carro1[[#This Row],[Hora Inicio]]-detalhe_carro1[[#This Row],[Ultima Chegada]])</f>
        <v>138</v>
      </c>
      <c r="P127" s="3">
        <f>IF(detalhe_carro1[[#This Row],[Tipo]]="Visitar Nó",((detalhe_carro1[[#This Row],[Hora Fim]]-detalhe_carro1[[#This Row],[Hora Inicio]])/60*velocidade_nos),0)</f>
        <v>0</v>
      </c>
      <c r="Q127" s="29">
        <f>detalhe_carro1[[#This Row],[Kms Nós]]+detalhe_carro1[[#This Row],[kms]]</f>
        <v>0</v>
      </c>
      <c r="S127" s="20">
        <v>3</v>
      </c>
      <c r="T127" s="38">
        <v>2</v>
      </c>
      <c r="U127" s="38">
        <v>5</v>
      </c>
      <c r="V127" s="38" t="s">
        <v>215</v>
      </c>
      <c r="W127" s="30">
        <v>64</v>
      </c>
      <c r="X127" s="30">
        <v>64</v>
      </c>
      <c r="Y127" s="30">
        <v>1437</v>
      </c>
      <c r="Z127" s="39">
        <v>0.33611111111111114</v>
      </c>
      <c r="AA127" s="39">
        <v>0.33611111111111114</v>
      </c>
      <c r="AB127" s="39">
        <v>0.28958333333333336</v>
      </c>
      <c r="AC1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128" spans="2:29" x14ac:dyDescent="0.25">
      <c r="B128" s="3">
        <v>2</v>
      </c>
      <c r="C128">
        <v>1</v>
      </c>
      <c r="D128">
        <v>9</v>
      </c>
      <c r="E128" s="29" t="s">
        <v>303</v>
      </c>
      <c r="F128" s="3">
        <v>858</v>
      </c>
      <c r="G128" s="3">
        <v>858</v>
      </c>
      <c r="H128" s="29" t="s">
        <v>44</v>
      </c>
      <c r="J128" s="7">
        <v>0.88749999999999996</v>
      </c>
      <c r="K128" s="7">
        <v>0.88749999999999996</v>
      </c>
      <c r="L128" s="3">
        <f t="shared" si="2"/>
        <v>1</v>
      </c>
      <c r="M128" s="3">
        <f t="shared" si="3"/>
        <v>0</v>
      </c>
      <c r="N128" s="29">
        <f>_xlfn.MAXIFS($G$7:G127,$E$7:E127,detalhe_carro1[[#This Row],[Nó]],$B$7:B127,detalhe_carro1[[#This Row],[Numero Voltas]],$L$7:L127,1)</f>
        <v>720</v>
      </c>
      <c r="O128" s="3" t="str">
        <f>IF(OR(detalhe_carro1[[#This Row],[Ultima Chegada]]=0,detalhe_carro1[[#This Row],[Chegada]]=0),"",detalhe_carro1[[#This Row],[Hora Inicio]]-detalhe_carro1[[#This Row],[Ultima Chegada]])</f>
        <v/>
      </c>
      <c r="P128" s="3">
        <f>IF(detalhe_carro1[[#This Row],[Tipo]]="Visitar Nó",((detalhe_carro1[[#This Row],[Hora Fim]]-detalhe_carro1[[#This Row],[Hora Inicio]])/60*velocidade_nos),0)</f>
        <v>0</v>
      </c>
      <c r="Q128" s="29">
        <f>detalhe_carro1[[#This Row],[Kms Nós]]+detalhe_carro1[[#This Row],[kms]]</f>
        <v>0</v>
      </c>
      <c r="S128" s="20">
        <v>3</v>
      </c>
      <c r="T128" s="38">
        <v>2</v>
      </c>
      <c r="U128" s="38">
        <v>6</v>
      </c>
      <c r="V128" s="38" t="s">
        <v>300</v>
      </c>
      <c r="W128" s="30">
        <v>68</v>
      </c>
      <c r="X128" s="30">
        <v>68</v>
      </c>
      <c r="Y128" s="30">
        <v>1433</v>
      </c>
      <c r="Z128" s="39">
        <v>0.33888888888888891</v>
      </c>
      <c r="AA128" s="39">
        <v>0.33888888888888891</v>
      </c>
      <c r="AB128" s="39">
        <v>0.28680555555555554</v>
      </c>
      <c r="AC1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1.25</v>
      </c>
    </row>
    <row r="129" spans="2:29" x14ac:dyDescent="0.25">
      <c r="B129" s="3">
        <v>2</v>
      </c>
      <c r="C129">
        <v>1</v>
      </c>
      <c r="D129">
        <v>8</v>
      </c>
      <c r="E129" s="29" t="s">
        <v>302</v>
      </c>
      <c r="F129" s="3">
        <v>864</v>
      </c>
      <c r="G129" s="3">
        <v>864</v>
      </c>
      <c r="H129" s="29" t="s">
        <v>44</v>
      </c>
      <c r="J129" s="7">
        <v>0.89166666666666672</v>
      </c>
      <c r="K129" s="7">
        <v>0.89166666666666672</v>
      </c>
      <c r="L129" s="3">
        <f t="shared" si="2"/>
        <v>0</v>
      </c>
      <c r="M129" s="3">
        <f t="shared" si="3"/>
        <v>1</v>
      </c>
      <c r="N129" s="29">
        <f>_xlfn.MAXIFS($G$7:G128,$E$7:E128,detalhe_carro1[[#This Row],[Nó]],$B$7:B128,detalhe_carro1[[#This Row],[Numero Voltas]],$L$7:L128,1)</f>
        <v>852</v>
      </c>
      <c r="O129" s="3">
        <f>IF(OR(detalhe_carro1[[#This Row],[Ultima Chegada]]=0,detalhe_carro1[[#This Row],[Chegada]]=0),"",detalhe_carro1[[#This Row],[Hora Inicio]]-detalhe_carro1[[#This Row],[Ultima Chegada]])</f>
        <v>12</v>
      </c>
      <c r="P129" s="3">
        <f>IF(detalhe_carro1[[#This Row],[Tipo]]="Visitar Nó",((detalhe_carro1[[#This Row],[Hora Fim]]-detalhe_carro1[[#This Row],[Hora Inicio]])/60*velocidade_nos),0)</f>
        <v>0</v>
      </c>
      <c r="Q129" s="29">
        <f>detalhe_carro1[[#This Row],[Kms Nós]]+detalhe_carro1[[#This Row],[kms]]</f>
        <v>0</v>
      </c>
      <c r="S129" s="20">
        <v>3</v>
      </c>
      <c r="T129" s="38">
        <v>2</v>
      </c>
      <c r="U129" s="38">
        <v>7</v>
      </c>
      <c r="V129" s="38" t="s">
        <v>301</v>
      </c>
      <c r="W129" s="30">
        <v>72</v>
      </c>
      <c r="X129" s="30">
        <v>72</v>
      </c>
      <c r="Y129" s="30">
        <v>1430</v>
      </c>
      <c r="Z129" s="39">
        <v>0.34166666666666667</v>
      </c>
      <c r="AA129" s="39">
        <v>0.34166666666666667</v>
      </c>
      <c r="AB129" s="39">
        <v>0.28472222222222221</v>
      </c>
      <c r="AC1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30" spans="2:29" x14ac:dyDescent="0.25">
      <c r="B130" s="3">
        <v>2</v>
      </c>
      <c r="C130">
        <v>1</v>
      </c>
      <c r="D130">
        <v>8</v>
      </c>
      <c r="E130" s="29" t="s">
        <v>302</v>
      </c>
      <c r="F130" s="3">
        <v>864</v>
      </c>
      <c r="G130" s="3">
        <v>874</v>
      </c>
      <c r="H130" s="29" t="s">
        <v>43</v>
      </c>
      <c r="J130" s="7">
        <v>0.89166666666666672</v>
      </c>
      <c r="K130" s="7">
        <v>0.89861111111111114</v>
      </c>
      <c r="L130" s="3">
        <f t="shared" si="2"/>
        <v>1</v>
      </c>
      <c r="M130" s="3">
        <f t="shared" si="3"/>
        <v>0</v>
      </c>
      <c r="N130" s="29">
        <f>_xlfn.MAXIFS($G$7:G129,$E$7:E129,detalhe_carro1[[#This Row],[Nó]],$B$7:B129,detalhe_carro1[[#This Row],[Numero Voltas]],$L$7:L129,1)</f>
        <v>852</v>
      </c>
      <c r="O130" s="3" t="str">
        <f>IF(OR(detalhe_carro1[[#This Row],[Ultima Chegada]]=0,detalhe_carro1[[#This Row],[Chegada]]=0),"",detalhe_carro1[[#This Row],[Hora Inicio]]-detalhe_carro1[[#This Row],[Ultima Chegada]])</f>
        <v/>
      </c>
      <c r="P130" s="3">
        <f>IF(detalhe_carro1[[#This Row],[Tipo]]="Visitar Nó",((detalhe_carro1[[#This Row],[Hora Fim]]-detalhe_carro1[[#This Row],[Hora Inicio]])/60*velocidade_nos),0)</f>
        <v>5</v>
      </c>
      <c r="Q130" s="29">
        <f>detalhe_carro1[[#This Row],[Kms Nós]]+detalhe_carro1[[#This Row],[kms]]</f>
        <v>5</v>
      </c>
      <c r="S130" s="20">
        <v>3</v>
      </c>
      <c r="T130" s="38">
        <v>2</v>
      </c>
      <c r="U130" s="38">
        <v>8</v>
      </c>
      <c r="V130" s="38" t="s">
        <v>302</v>
      </c>
      <c r="W130" s="30">
        <v>78</v>
      </c>
      <c r="X130" s="30">
        <v>78</v>
      </c>
      <c r="Y130" s="30">
        <v>1424</v>
      </c>
      <c r="Z130" s="39">
        <v>0.34583333333333333</v>
      </c>
      <c r="AA130" s="39">
        <v>0.34583333333333333</v>
      </c>
      <c r="AB130" s="39">
        <v>0.28055555555555556</v>
      </c>
      <c r="AC1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31" spans="2:29" x14ac:dyDescent="0.25">
      <c r="B131" s="3">
        <v>2</v>
      </c>
      <c r="C131">
        <v>1</v>
      </c>
      <c r="D131">
        <v>7</v>
      </c>
      <c r="E131" s="29" t="s">
        <v>301</v>
      </c>
      <c r="F131" s="3">
        <v>880</v>
      </c>
      <c r="G131" s="3">
        <v>880</v>
      </c>
      <c r="H131" s="29" t="s">
        <v>44</v>
      </c>
      <c r="J131" s="7">
        <v>0.90277777777777779</v>
      </c>
      <c r="K131" s="7">
        <v>0.90277777777777779</v>
      </c>
      <c r="L131" s="3">
        <f t="shared" si="2"/>
        <v>0</v>
      </c>
      <c r="M131" s="3">
        <f t="shared" si="3"/>
        <v>1</v>
      </c>
      <c r="N131" s="29">
        <f>_xlfn.MAXIFS($G$7:G130,$E$7:E130,detalhe_carro1[[#This Row],[Nó]],$B$7:B130,detalhe_carro1[[#This Row],[Numero Voltas]],$L$7:L130,1)</f>
        <v>846</v>
      </c>
      <c r="O131" s="3">
        <f>IF(OR(detalhe_carro1[[#This Row],[Ultima Chegada]]=0,detalhe_carro1[[#This Row],[Chegada]]=0),"",detalhe_carro1[[#This Row],[Hora Inicio]]-detalhe_carro1[[#This Row],[Ultima Chegada]])</f>
        <v>34</v>
      </c>
      <c r="P131" s="3">
        <f>IF(detalhe_carro1[[#This Row],[Tipo]]="Visitar Nó",((detalhe_carro1[[#This Row],[Hora Fim]]-detalhe_carro1[[#This Row],[Hora Inicio]])/60*velocidade_nos),0)</f>
        <v>0</v>
      </c>
      <c r="Q131" s="29">
        <f>detalhe_carro1[[#This Row],[Kms Nós]]+detalhe_carro1[[#This Row],[kms]]</f>
        <v>0</v>
      </c>
      <c r="S131" s="20">
        <v>3</v>
      </c>
      <c r="T131" s="38">
        <v>2</v>
      </c>
      <c r="U131" s="38">
        <v>9</v>
      </c>
      <c r="V131" s="38" t="s">
        <v>303</v>
      </c>
      <c r="W131" s="30">
        <v>84</v>
      </c>
      <c r="X131" s="30">
        <v>84</v>
      </c>
      <c r="Y131" s="30">
        <v>1418</v>
      </c>
      <c r="Z131" s="39">
        <v>0.35</v>
      </c>
      <c r="AA131" s="39">
        <v>0.35</v>
      </c>
      <c r="AB131" s="39">
        <v>0.27638888888888891</v>
      </c>
      <c r="AC1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row>
    <row r="132" spans="2:29" x14ac:dyDescent="0.25">
      <c r="B132" s="3">
        <v>2</v>
      </c>
      <c r="C132">
        <v>1</v>
      </c>
      <c r="D132">
        <v>7</v>
      </c>
      <c r="E132" s="29" t="s">
        <v>301</v>
      </c>
      <c r="F132" s="3">
        <v>880</v>
      </c>
      <c r="G132" s="3">
        <v>890</v>
      </c>
      <c r="H132" s="29" t="s">
        <v>43</v>
      </c>
      <c r="J132" s="7">
        <v>0.90277777777777779</v>
      </c>
      <c r="K132" s="7">
        <v>0.90972222222222221</v>
      </c>
      <c r="L132" s="3">
        <f t="shared" si="2"/>
        <v>1</v>
      </c>
      <c r="M132" s="3">
        <f t="shared" si="3"/>
        <v>0</v>
      </c>
      <c r="N132" s="29">
        <f>_xlfn.MAXIFS($G$7:G131,$E$7:E131,detalhe_carro1[[#This Row],[Nó]],$B$7:B131,detalhe_carro1[[#This Row],[Numero Voltas]],$L$7:L131,1)</f>
        <v>846</v>
      </c>
      <c r="O132" s="3" t="str">
        <f>IF(OR(detalhe_carro1[[#This Row],[Ultima Chegada]]=0,detalhe_carro1[[#This Row],[Chegada]]=0),"",detalhe_carro1[[#This Row],[Hora Inicio]]-detalhe_carro1[[#This Row],[Ultima Chegada]])</f>
        <v/>
      </c>
      <c r="P132" s="3">
        <f>IF(detalhe_carro1[[#This Row],[Tipo]]="Visitar Nó",((detalhe_carro1[[#This Row],[Hora Fim]]-detalhe_carro1[[#This Row],[Hora Inicio]])/60*velocidade_nos),0)</f>
        <v>5</v>
      </c>
      <c r="Q132" s="29">
        <f>detalhe_carro1[[#This Row],[Kms Nós]]+detalhe_carro1[[#This Row],[kms]]</f>
        <v>5</v>
      </c>
      <c r="S132" s="20">
        <v>3</v>
      </c>
      <c r="T132" s="38">
        <v>2</v>
      </c>
      <c r="U132" s="38">
        <v>8</v>
      </c>
      <c r="V132" s="38" t="s">
        <v>302</v>
      </c>
      <c r="W132" s="30">
        <v>90</v>
      </c>
      <c r="X132" s="30">
        <v>90</v>
      </c>
      <c r="Y132" s="30">
        <v>78</v>
      </c>
      <c r="Z132" s="39">
        <v>0.35416666666666669</v>
      </c>
      <c r="AA132" s="39">
        <v>0.35416666666666669</v>
      </c>
      <c r="AB132" s="39">
        <v>0.34583333333333333</v>
      </c>
      <c r="AC1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133" spans="2:29" x14ac:dyDescent="0.25">
      <c r="B133" s="3">
        <v>2</v>
      </c>
      <c r="C133">
        <v>1</v>
      </c>
      <c r="D133">
        <v>6</v>
      </c>
      <c r="E133" s="29" t="s">
        <v>300</v>
      </c>
      <c r="F133" s="3">
        <v>894</v>
      </c>
      <c r="G133" s="3">
        <v>894</v>
      </c>
      <c r="H133" s="29" t="s">
        <v>44</v>
      </c>
      <c r="J133" s="7">
        <v>0.91249999999999998</v>
      </c>
      <c r="K133" s="7">
        <v>0.91249999999999998</v>
      </c>
      <c r="L133" s="3">
        <f t="shared" si="2"/>
        <v>0</v>
      </c>
      <c r="M133" s="3">
        <f t="shared" si="3"/>
        <v>1</v>
      </c>
      <c r="N133" s="29">
        <f>_xlfn.MAXIFS($G$7:G132,$E$7:E132,detalhe_carro1[[#This Row],[Nó]],$B$7:B132,detalhe_carro1[[#This Row],[Numero Voltas]],$L$7:L132,1)</f>
        <v>844</v>
      </c>
      <c r="O133" s="3">
        <f>IF(OR(detalhe_carro1[[#This Row],[Ultima Chegada]]=0,detalhe_carro1[[#This Row],[Chegada]]=0),"",detalhe_carro1[[#This Row],[Hora Inicio]]-detalhe_carro1[[#This Row],[Ultima Chegada]])</f>
        <v>50</v>
      </c>
      <c r="P133" s="3">
        <f>IF(detalhe_carro1[[#This Row],[Tipo]]="Visitar Nó",((detalhe_carro1[[#This Row],[Hora Fim]]-detalhe_carro1[[#This Row],[Hora Inicio]])/60*velocidade_nos),0)</f>
        <v>0</v>
      </c>
      <c r="Q133" s="29">
        <f>detalhe_carro1[[#This Row],[Kms Nós]]+detalhe_carro1[[#This Row],[kms]]</f>
        <v>0</v>
      </c>
      <c r="S133" s="20">
        <v>3</v>
      </c>
      <c r="T133" s="38">
        <v>2</v>
      </c>
      <c r="U133" s="38">
        <v>7</v>
      </c>
      <c r="V133" s="38" t="s">
        <v>301</v>
      </c>
      <c r="W133" s="30">
        <v>96</v>
      </c>
      <c r="X133" s="30">
        <v>106</v>
      </c>
      <c r="Y133" s="30">
        <v>72</v>
      </c>
      <c r="Z133" s="39">
        <v>0.35833333333333334</v>
      </c>
      <c r="AA133" s="39">
        <v>0.36527777777777776</v>
      </c>
      <c r="AB133" s="39">
        <v>0.34166666666666667</v>
      </c>
      <c r="AC1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34" spans="2:29" x14ac:dyDescent="0.25">
      <c r="B134" s="3">
        <v>2</v>
      </c>
      <c r="C134">
        <v>1</v>
      </c>
      <c r="D134">
        <v>6</v>
      </c>
      <c r="E134" s="29" t="s">
        <v>300</v>
      </c>
      <c r="F134" s="3">
        <v>894</v>
      </c>
      <c r="G134" s="3">
        <v>894</v>
      </c>
      <c r="H134" s="29" t="s">
        <v>43</v>
      </c>
      <c r="J134" s="7">
        <v>0.91249999999999998</v>
      </c>
      <c r="K134" s="7">
        <v>0.91249999999999998</v>
      </c>
      <c r="L134" s="3">
        <f t="shared" si="2"/>
        <v>1</v>
      </c>
      <c r="M134" s="3">
        <f t="shared" si="3"/>
        <v>0</v>
      </c>
      <c r="N134" s="29">
        <f>_xlfn.MAXIFS($G$7:G133,$E$7:E133,detalhe_carro1[[#This Row],[Nó]],$B$7:B133,detalhe_carro1[[#This Row],[Numero Voltas]],$L$7:L133,1)</f>
        <v>844</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0</v>
      </c>
      <c r="Q134" s="29">
        <f>detalhe_carro1[[#This Row],[Kms Nós]]+detalhe_carro1[[#This Row],[kms]]</f>
        <v>0</v>
      </c>
      <c r="S134" s="20">
        <v>3</v>
      </c>
      <c r="T134" s="38">
        <v>2</v>
      </c>
      <c r="U134" s="38">
        <v>6</v>
      </c>
      <c r="V134" s="38" t="s">
        <v>300</v>
      </c>
      <c r="W134" s="30">
        <v>108</v>
      </c>
      <c r="X134" s="30">
        <v>108</v>
      </c>
      <c r="Y134" s="30">
        <v>68</v>
      </c>
      <c r="Z134" s="39">
        <v>0.36666666666666664</v>
      </c>
      <c r="AA134" s="39">
        <v>0.36666666666666664</v>
      </c>
      <c r="AB134" s="39">
        <v>0.33888888888888891</v>
      </c>
      <c r="AC1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row>
    <row r="135" spans="2:29" x14ac:dyDescent="0.25">
      <c r="B135" s="3">
        <v>2</v>
      </c>
      <c r="C135">
        <v>1</v>
      </c>
      <c r="D135">
        <v>5</v>
      </c>
      <c r="E135" s="29" t="s">
        <v>215</v>
      </c>
      <c r="F135" s="3">
        <v>898</v>
      </c>
      <c r="G135" s="3">
        <v>898</v>
      </c>
      <c r="H135" s="29" t="s">
        <v>44</v>
      </c>
      <c r="J135" s="7">
        <v>0.91527777777777775</v>
      </c>
      <c r="K135" s="7">
        <v>0.91527777777777775</v>
      </c>
      <c r="L135" s="3">
        <f t="shared" ref="L135:L198" si="4">IF(E135&lt;&gt;E136,1,0)</f>
        <v>0</v>
      </c>
      <c r="M135" s="3">
        <f t="shared" ref="M135:M198" si="5">IF(E135&lt;&gt;E134,1,0)</f>
        <v>1</v>
      </c>
      <c r="N135" s="29">
        <f>_xlfn.MAXIFS($G$7:G134,$E$7:E134,detalhe_carro1[[#This Row],[Nó]],$B$7:B134,detalhe_carro1[[#This Row],[Numero Voltas]],$L$7:L134,1)</f>
        <v>840</v>
      </c>
      <c r="O135" s="3">
        <f>IF(OR(detalhe_carro1[[#This Row],[Ultima Chegada]]=0,detalhe_carro1[[#This Row],[Chegada]]=0),"",detalhe_carro1[[#This Row],[Hora Inicio]]-detalhe_carro1[[#This Row],[Ultima Chegada]])</f>
        <v>58</v>
      </c>
      <c r="P135" s="3">
        <f>IF(detalhe_carro1[[#This Row],[Tipo]]="Visitar Nó",((detalhe_carro1[[#This Row],[Hora Fim]]-detalhe_carro1[[#This Row],[Hora Inicio]])/60*velocidade_nos),0)</f>
        <v>0</v>
      </c>
      <c r="Q135" s="29">
        <f>detalhe_carro1[[#This Row],[Kms Nós]]+detalhe_carro1[[#This Row],[kms]]</f>
        <v>0</v>
      </c>
      <c r="S135" s="20">
        <v>3</v>
      </c>
      <c r="T135" s="38">
        <v>2</v>
      </c>
      <c r="U135" s="38">
        <v>5</v>
      </c>
      <c r="V135" s="38" t="s">
        <v>215</v>
      </c>
      <c r="W135" s="30">
        <v>112</v>
      </c>
      <c r="X135" s="30">
        <v>112</v>
      </c>
      <c r="Y135" s="30">
        <v>64</v>
      </c>
      <c r="Z135" s="39">
        <v>0.36944444444444446</v>
      </c>
      <c r="AA135" s="39">
        <v>0.36944444444444446</v>
      </c>
      <c r="AB135" s="39">
        <v>0.33611111111111114</v>
      </c>
      <c r="AC1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row>
    <row r="136" spans="2:29" x14ac:dyDescent="0.25">
      <c r="B136" s="3">
        <v>2</v>
      </c>
      <c r="C136">
        <v>1</v>
      </c>
      <c r="D136">
        <v>5</v>
      </c>
      <c r="E136" s="29" t="s">
        <v>215</v>
      </c>
      <c r="F136" s="3">
        <v>898</v>
      </c>
      <c r="G136" s="3">
        <v>898</v>
      </c>
      <c r="H136" s="29" t="s">
        <v>43</v>
      </c>
      <c r="J136" s="7">
        <v>0.91527777777777775</v>
      </c>
      <c r="K136" s="7">
        <v>0.91527777777777775</v>
      </c>
      <c r="L136" s="3">
        <f t="shared" si="4"/>
        <v>1</v>
      </c>
      <c r="M136" s="3">
        <f t="shared" si="5"/>
        <v>0</v>
      </c>
      <c r="N136" s="29">
        <f>_xlfn.MAXIFS($G$7:G135,$E$7:E135,detalhe_carro1[[#This Row],[Nó]],$B$7:B135,detalhe_carro1[[#This Row],[Numero Voltas]],$L$7:L135,1)</f>
        <v>840</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0</v>
      </c>
      <c r="S136" s="20">
        <v>3</v>
      </c>
      <c r="T136" s="38">
        <v>2</v>
      </c>
      <c r="U136" s="38">
        <v>4</v>
      </c>
      <c r="V136" s="38" t="s">
        <v>2</v>
      </c>
      <c r="W136" s="30">
        <v>116</v>
      </c>
      <c r="X136" s="30">
        <v>130</v>
      </c>
      <c r="Y136" s="30">
        <v>62</v>
      </c>
      <c r="Z136" s="39">
        <v>0.37222222222222223</v>
      </c>
      <c r="AA136" s="39">
        <v>0.38194444444444442</v>
      </c>
      <c r="AB136" s="39">
        <v>0.3347222222222222</v>
      </c>
      <c r="AC1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v>
      </c>
    </row>
    <row r="137" spans="2:29" x14ac:dyDescent="0.25">
      <c r="B137" s="3">
        <v>2</v>
      </c>
      <c r="C137">
        <v>1</v>
      </c>
      <c r="D137">
        <v>4</v>
      </c>
      <c r="E137" s="29" t="s">
        <v>2</v>
      </c>
      <c r="F137" s="3">
        <v>900</v>
      </c>
      <c r="G137" s="3">
        <v>900</v>
      </c>
      <c r="H137" s="29" t="s">
        <v>44</v>
      </c>
      <c r="J137" s="7">
        <v>0.91666666666666663</v>
      </c>
      <c r="K137" s="7">
        <v>0.91666666666666663</v>
      </c>
      <c r="L137" s="3">
        <f t="shared" si="4"/>
        <v>0</v>
      </c>
      <c r="M137" s="3">
        <f t="shared" si="5"/>
        <v>1</v>
      </c>
      <c r="N137" s="29">
        <f>_xlfn.MAXIFS($G$7:G136,$E$7:E136,detalhe_carro1[[#This Row],[Nó]],$B$7:B136,detalhe_carro1[[#This Row],[Numero Voltas]],$L$7:L136,1)</f>
        <v>836</v>
      </c>
      <c r="O137" s="3">
        <f>IF(OR(detalhe_carro1[[#This Row],[Ultima Chegada]]=0,detalhe_carro1[[#This Row],[Chegada]]=0),"",detalhe_carro1[[#This Row],[Hora Inicio]]-detalhe_carro1[[#This Row],[Ultima Chegada]])</f>
        <v>64</v>
      </c>
      <c r="P137" s="3">
        <f>IF(detalhe_carro1[[#This Row],[Tipo]]="Visitar Nó",((detalhe_carro1[[#This Row],[Hora Fim]]-detalhe_carro1[[#This Row],[Hora Inicio]])/60*velocidade_nos),0)</f>
        <v>0</v>
      </c>
      <c r="Q137" s="29">
        <f>detalhe_carro1[[#This Row],[Kms Nós]]+detalhe_carro1[[#This Row],[kms]]</f>
        <v>0</v>
      </c>
      <c r="S137" s="20">
        <v>3</v>
      </c>
      <c r="T137" s="38">
        <v>2</v>
      </c>
      <c r="U137" s="38">
        <v>3</v>
      </c>
      <c r="V137" s="38" t="s">
        <v>208</v>
      </c>
      <c r="W137" s="30">
        <v>136</v>
      </c>
      <c r="X137" s="30">
        <v>136</v>
      </c>
      <c r="Y137" s="30">
        <v>30</v>
      </c>
      <c r="Z137" s="39">
        <v>0.38611111111111113</v>
      </c>
      <c r="AA137" s="39">
        <v>0.38611111111111113</v>
      </c>
      <c r="AB137" s="39">
        <v>0.3125</v>
      </c>
      <c r="AC1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row>
    <row r="138" spans="2:29" x14ac:dyDescent="0.25">
      <c r="B138" s="3">
        <v>2</v>
      </c>
      <c r="C138">
        <v>1</v>
      </c>
      <c r="D138">
        <v>4</v>
      </c>
      <c r="E138" s="29" t="s">
        <v>2</v>
      </c>
      <c r="F138" s="3">
        <v>900</v>
      </c>
      <c r="G138" s="3">
        <v>930</v>
      </c>
      <c r="H138" s="29" t="s">
        <v>45</v>
      </c>
      <c r="J138" s="7">
        <v>0.91666666666666663</v>
      </c>
      <c r="K138" s="7">
        <v>0.9375</v>
      </c>
      <c r="L138" s="3">
        <f t="shared" si="4"/>
        <v>0</v>
      </c>
      <c r="M138" s="3">
        <f t="shared" si="5"/>
        <v>0</v>
      </c>
      <c r="N138" s="29">
        <f>_xlfn.MAXIFS($G$7:G137,$E$7:E137,detalhe_carro1[[#This Row],[Nó]],$B$7:B137,detalhe_carro1[[#This Row],[Numero Voltas]],$L$7:L137,1)</f>
        <v>836</v>
      </c>
      <c r="O138" s="3" t="str">
        <f>IF(OR(detalhe_carro1[[#This Row],[Ultima Chegada]]=0,detalhe_carro1[[#This Row],[Chegada]]=0),"",detalhe_carro1[[#This Row],[Hora Inicio]]-detalhe_carro1[[#This Row],[Ultima Chegada]])</f>
        <v/>
      </c>
      <c r="P138" s="3">
        <f>IF(detalhe_carro1[[#This Row],[Tipo]]="Visitar Nó",((detalhe_carro1[[#This Row],[Hora Fim]]-detalhe_carro1[[#This Row],[Hora Inicio]])/60*velocidade_nos),0)</f>
        <v>0</v>
      </c>
      <c r="Q138" s="29">
        <f>detalhe_carro1[[#This Row],[Kms Nós]]+detalhe_carro1[[#This Row],[kms]]</f>
        <v>0</v>
      </c>
      <c r="S138" s="20">
        <v>3</v>
      </c>
      <c r="T138" s="38">
        <v>2</v>
      </c>
      <c r="U138" s="38">
        <v>2</v>
      </c>
      <c r="V138" s="38" t="s">
        <v>228</v>
      </c>
      <c r="W138" s="30">
        <v>138</v>
      </c>
      <c r="X138" s="30">
        <v>156</v>
      </c>
      <c r="Y138" s="30">
        <v>27</v>
      </c>
      <c r="Z138" s="39">
        <v>0.38750000000000001</v>
      </c>
      <c r="AA138" s="39">
        <v>0.4</v>
      </c>
      <c r="AB138" s="39">
        <v>0.31041666666666667</v>
      </c>
      <c r="AC1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39" spans="2:29" x14ac:dyDescent="0.25">
      <c r="B139" s="3">
        <v>2</v>
      </c>
      <c r="C139">
        <v>1</v>
      </c>
      <c r="D139">
        <v>4</v>
      </c>
      <c r="E139" s="29" t="s">
        <v>2</v>
      </c>
      <c r="F139" s="3">
        <v>930</v>
      </c>
      <c r="G139" s="3">
        <v>960</v>
      </c>
      <c r="H139" s="29" t="s">
        <v>45</v>
      </c>
      <c r="J139" s="7">
        <v>0.9375</v>
      </c>
      <c r="K139" s="7">
        <v>0.95833333333333337</v>
      </c>
      <c r="L139" s="3">
        <f t="shared" si="4"/>
        <v>0</v>
      </c>
      <c r="M139" s="3">
        <f t="shared" si="5"/>
        <v>0</v>
      </c>
      <c r="N139" s="29">
        <f>_xlfn.MAXIFS($G$7:G138,$E$7:E138,detalhe_carro1[[#This Row],[Nó]],$B$7:B138,detalhe_carro1[[#This Row],[Numero Voltas]],$L$7:L138,1)</f>
        <v>836</v>
      </c>
      <c r="O139" s="3" t="str">
        <f>IF(OR(detalhe_carro1[[#This Row],[Ultima Chegada]]=0,detalhe_carro1[[#This Row],[Chegada]]=0),"",detalhe_carro1[[#This Row],[Hora Inicio]]-detalhe_carro1[[#This Row],[Ultima Chegada]])</f>
        <v/>
      </c>
      <c r="P139" s="3">
        <f>IF(detalhe_carro1[[#This Row],[Tipo]]="Visitar Nó",((detalhe_carro1[[#This Row],[Hora Fim]]-detalhe_carro1[[#This Row],[Hora Inicio]])/60*velocidade_nos),0)</f>
        <v>0</v>
      </c>
      <c r="Q139" s="29">
        <f>detalhe_carro1[[#This Row],[Kms Nós]]+detalhe_carro1[[#This Row],[kms]]</f>
        <v>0</v>
      </c>
      <c r="S139" s="20">
        <v>3</v>
      </c>
      <c r="T139" s="38">
        <v>2</v>
      </c>
      <c r="U139" s="38">
        <v>1</v>
      </c>
      <c r="V139" s="38" t="s">
        <v>200</v>
      </c>
      <c r="W139" s="30">
        <v>158</v>
      </c>
      <c r="X139" s="30">
        <v>158</v>
      </c>
      <c r="Y139" s="30">
        <v>26</v>
      </c>
      <c r="Z139" s="39">
        <v>0.40138888888888891</v>
      </c>
      <c r="AA139" s="39">
        <v>0.40138888888888891</v>
      </c>
      <c r="AB139" s="39">
        <v>0.30972222222222223</v>
      </c>
      <c r="AC1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2.2000000000000002</v>
      </c>
    </row>
    <row r="140" spans="2:29" x14ac:dyDescent="0.25">
      <c r="B140" s="3">
        <v>2</v>
      </c>
      <c r="C140">
        <v>1</v>
      </c>
      <c r="D140">
        <v>4</v>
      </c>
      <c r="E140" s="29" t="s">
        <v>2</v>
      </c>
      <c r="F140" s="3">
        <v>960</v>
      </c>
      <c r="G140" s="3">
        <v>960</v>
      </c>
      <c r="H140" s="29" t="s">
        <v>44</v>
      </c>
      <c r="J140" s="7">
        <v>0.95833333333333337</v>
      </c>
      <c r="K140" s="7">
        <v>0.95833333333333337</v>
      </c>
      <c r="L140" s="3">
        <f t="shared" si="4"/>
        <v>0</v>
      </c>
      <c r="M140" s="3">
        <f t="shared" si="5"/>
        <v>0</v>
      </c>
      <c r="N140" s="29">
        <f>_xlfn.MAXIFS($G$7:G139,$E$7:E139,detalhe_carro1[[#This Row],[Nó]],$B$7:B139,detalhe_carro1[[#This Row],[Numero Voltas]],$L$7:L139,1)</f>
        <v>836</v>
      </c>
      <c r="O140" s="3" t="str">
        <f>IF(OR(detalhe_carro1[[#This Row],[Ultima Chegada]]=0,detalhe_carro1[[#This Row],[Chegada]]=0),"",detalhe_carro1[[#This Row],[Hora Inicio]]-detalhe_carro1[[#This Row],[Ultima Chegada]])</f>
        <v/>
      </c>
      <c r="P140" s="3">
        <f>IF(detalhe_carro1[[#This Row],[Tipo]]="Visitar Nó",((detalhe_carro1[[#This Row],[Hora Fim]]-detalhe_carro1[[#This Row],[Hora Inicio]])/60*velocidade_nos),0)</f>
        <v>0</v>
      </c>
      <c r="Q140" s="29">
        <f>detalhe_carro1[[#This Row],[Kms Nós]]+detalhe_carro1[[#This Row],[kms]]</f>
        <v>0</v>
      </c>
      <c r="S140" s="20">
        <v>3</v>
      </c>
      <c r="T140" s="38">
        <v>2</v>
      </c>
      <c r="U140" s="38">
        <v>0</v>
      </c>
      <c r="V140" s="38" t="s">
        <v>203</v>
      </c>
      <c r="W140" s="30">
        <v>160</v>
      </c>
      <c r="X140" s="30">
        <v>186</v>
      </c>
      <c r="Y140" s="30">
        <v>24</v>
      </c>
      <c r="Z140" s="39">
        <v>0.40277777777777779</v>
      </c>
      <c r="AA140" s="39">
        <v>0.42083333333333334</v>
      </c>
      <c r="AB140" s="39">
        <v>0.30833333333333335</v>
      </c>
      <c r="AC1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2.2666666666666666</v>
      </c>
    </row>
    <row r="141" spans="2:29" x14ac:dyDescent="0.25">
      <c r="B141" s="3">
        <v>2</v>
      </c>
      <c r="C141">
        <v>2</v>
      </c>
      <c r="D141">
        <v>4</v>
      </c>
      <c r="E141" s="29" t="s">
        <v>2</v>
      </c>
      <c r="F141" s="3">
        <v>960</v>
      </c>
      <c r="G141" s="3">
        <v>960</v>
      </c>
      <c r="H141" s="29" t="s">
        <v>42</v>
      </c>
      <c r="J141" s="7">
        <v>0.95833333333333337</v>
      </c>
      <c r="K141" s="7">
        <v>0.95833333333333337</v>
      </c>
      <c r="L141" s="3">
        <f t="shared" si="4"/>
        <v>0</v>
      </c>
      <c r="M141" s="3">
        <f t="shared" si="5"/>
        <v>0</v>
      </c>
      <c r="N141" s="29">
        <f>_xlfn.MAXIFS($G$7:G140,$E$7:E140,detalhe_carro1[[#This Row],[Nó]],$B$7:B140,detalhe_carro1[[#This Row],[Numero Voltas]],$L$7:L140,1)</f>
        <v>836</v>
      </c>
      <c r="O141" s="3" t="str">
        <f>IF(OR(detalhe_carro1[[#This Row],[Ultima Chegada]]=0,detalhe_carro1[[#This Row],[Chegada]]=0),"",detalhe_carro1[[#This Row],[Hora Inicio]]-detalhe_carro1[[#This Row],[Ultima Chegada]])</f>
        <v/>
      </c>
      <c r="P141" s="3">
        <f>IF(detalhe_carro1[[#This Row],[Tipo]]="Visitar Nó",((detalhe_carro1[[#This Row],[Hora Fim]]-detalhe_carro1[[#This Row],[Hora Inicio]])/60*velocidade_nos),0)</f>
        <v>0</v>
      </c>
      <c r="Q141" s="29">
        <f>detalhe_carro1[[#This Row],[Kms Nós]]+detalhe_carro1[[#This Row],[kms]]</f>
        <v>0</v>
      </c>
      <c r="S141" s="20">
        <v>3</v>
      </c>
      <c r="T141" s="38">
        <v>2</v>
      </c>
      <c r="U141" s="38">
        <v>1</v>
      </c>
      <c r="V141" s="38" t="s">
        <v>200</v>
      </c>
      <c r="W141" s="30">
        <v>188</v>
      </c>
      <c r="X141" s="30">
        <v>192</v>
      </c>
      <c r="Y141" s="30">
        <v>158</v>
      </c>
      <c r="Z141" s="39">
        <v>0.42222222222222222</v>
      </c>
      <c r="AA141" s="39">
        <v>0.42499999999999999</v>
      </c>
      <c r="AB141" s="39">
        <v>0.40138888888888891</v>
      </c>
      <c r="AC1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v>
      </c>
    </row>
    <row r="142" spans="2:29" x14ac:dyDescent="0.25">
      <c r="B142" s="3">
        <v>2</v>
      </c>
      <c r="C142">
        <v>2</v>
      </c>
      <c r="D142">
        <v>4</v>
      </c>
      <c r="E142" s="29" t="s">
        <v>2</v>
      </c>
      <c r="F142" s="3">
        <v>960</v>
      </c>
      <c r="G142" s="3">
        <v>960</v>
      </c>
      <c r="H142" s="29" t="s">
        <v>44</v>
      </c>
      <c r="J142" s="7">
        <v>0.95833333333333337</v>
      </c>
      <c r="K142" s="7">
        <v>0.95833333333333337</v>
      </c>
      <c r="L142" s="3">
        <f t="shared" si="4"/>
        <v>0</v>
      </c>
      <c r="M142" s="3">
        <f t="shared" si="5"/>
        <v>0</v>
      </c>
      <c r="N142" s="29">
        <f>_xlfn.MAXIFS($G$7:G141,$E$7:E141,detalhe_carro1[[#This Row],[Nó]],$B$7:B141,detalhe_carro1[[#This Row],[Numero Voltas]],$L$7:L141,1)</f>
        <v>836</v>
      </c>
      <c r="O142" s="3" t="str">
        <f>IF(OR(detalhe_carro1[[#This Row],[Ultima Chegada]]=0,detalhe_carro1[[#This Row],[Chegada]]=0),"",detalhe_carro1[[#This Row],[Hora Inicio]]-detalhe_carro1[[#This Row],[Ultima Chegada]])</f>
        <v/>
      </c>
      <c r="P142" s="3">
        <f>IF(detalhe_carro1[[#This Row],[Tipo]]="Visitar Nó",((detalhe_carro1[[#This Row],[Hora Fim]]-detalhe_carro1[[#This Row],[Hora Inicio]])/60*velocidade_nos),0)</f>
        <v>0</v>
      </c>
      <c r="Q142" s="29">
        <f>detalhe_carro1[[#This Row],[Kms Nós]]+detalhe_carro1[[#This Row],[kms]]</f>
        <v>0</v>
      </c>
      <c r="S142" s="20">
        <v>3</v>
      </c>
      <c r="T142" s="38">
        <v>2</v>
      </c>
      <c r="U142" s="38">
        <v>2</v>
      </c>
      <c r="V142" s="38" t="s">
        <v>228</v>
      </c>
      <c r="W142" s="30">
        <v>193</v>
      </c>
      <c r="X142" s="30">
        <v>211</v>
      </c>
      <c r="Y142" s="30">
        <v>156</v>
      </c>
      <c r="Z142" s="39">
        <v>0.42569444444444443</v>
      </c>
      <c r="AA142" s="39">
        <v>0.43819444444444444</v>
      </c>
      <c r="AB142" s="39">
        <v>0.4</v>
      </c>
      <c r="AC1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row>
    <row r="143" spans="2:29" x14ac:dyDescent="0.25">
      <c r="B143" s="3">
        <v>2</v>
      </c>
      <c r="C143">
        <v>2</v>
      </c>
      <c r="D143">
        <v>4</v>
      </c>
      <c r="E143" s="29" t="s">
        <v>2</v>
      </c>
      <c r="F143" s="3">
        <v>960</v>
      </c>
      <c r="G143" s="3">
        <v>975</v>
      </c>
      <c r="H143" s="29" t="s">
        <v>47</v>
      </c>
      <c r="J143" s="7">
        <v>0.95833333333333337</v>
      </c>
      <c r="K143" s="7">
        <v>0.96875</v>
      </c>
      <c r="L143" s="3">
        <f t="shared" si="4"/>
        <v>1</v>
      </c>
      <c r="M143" s="3">
        <f t="shared" si="5"/>
        <v>0</v>
      </c>
      <c r="N143" s="29">
        <f>_xlfn.MAXIFS($G$7:G142,$E$7:E142,detalhe_carro1[[#This Row],[Nó]],$B$7:B142,detalhe_carro1[[#This Row],[Numero Voltas]],$L$7:L142,1)</f>
        <v>836</v>
      </c>
      <c r="O143" s="3" t="str">
        <f>IF(OR(detalhe_carro1[[#This Row],[Ultima Chegada]]=0,detalhe_carro1[[#This Row],[Chegada]]=0),"",detalhe_carro1[[#This Row],[Hora Inicio]]-detalhe_carro1[[#This Row],[Ultima Chegada]])</f>
        <v/>
      </c>
      <c r="P143" s="3">
        <f>IF(detalhe_carro1[[#This Row],[Tipo]]="Visitar Nó",((detalhe_carro1[[#This Row],[Hora Fim]]-detalhe_carro1[[#This Row],[Hora Inicio]])/60*velocidade_nos),0)</f>
        <v>0</v>
      </c>
      <c r="Q143" s="29">
        <f>detalhe_carro1[[#This Row],[Kms Nós]]+detalhe_carro1[[#This Row],[kms]]</f>
        <v>0</v>
      </c>
      <c r="S143" s="20">
        <v>3</v>
      </c>
      <c r="T143" s="38">
        <v>2</v>
      </c>
      <c r="U143" s="38">
        <v>3</v>
      </c>
      <c r="V143" s="38" t="s">
        <v>208</v>
      </c>
      <c r="W143" s="30">
        <v>214</v>
      </c>
      <c r="X143" s="30">
        <v>287</v>
      </c>
      <c r="Y143" s="30">
        <v>136</v>
      </c>
      <c r="Z143" s="39">
        <v>0.44027777777777777</v>
      </c>
      <c r="AA143" s="39">
        <v>0.4909722222222222</v>
      </c>
      <c r="AB143" s="39">
        <v>0.38611111111111113</v>
      </c>
      <c r="AC1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144" spans="2:29" x14ac:dyDescent="0.25">
      <c r="B144" s="3">
        <v>2</v>
      </c>
      <c r="C144">
        <v>2</v>
      </c>
      <c r="D144">
        <v>3</v>
      </c>
      <c r="E144" s="29" t="s">
        <v>208</v>
      </c>
      <c r="F144" s="3">
        <v>980</v>
      </c>
      <c r="G144" s="3">
        <v>980</v>
      </c>
      <c r="H144" s="29" t="s">
        <v>44</v>
      </c>
      <c r="J144" s="7">
        <v>0.97222222222222221</v>
      </c>
      <c r="K144" s="7">
        <v>0.97222222222222221</v>
      </c>
      <c r="L144" s="3">
        <f t="shared" si="4"/>
        <v>1</v>
      </c>
      <c r="M144" s="3">
        <f t="shared" si="5"/>
        <v>1</v>
      </c>
      <c r="N144" s="29">
        <f>_xlfn.MAXIFS($G$7:G143,$E$7:E143,detalhe_carro1[[#This Row],[Nó]],$B$7:B143,detalhe_carro1[[#This Row],[Numero Voltas]],$L$7:L143,1)</f>
        <v>832</v>
      </c>
      <c r="O144" s="3">
        <f>IF(OR(detalhe_carro1[[#This Row],[Ultima Chegada]]=0,detalhe_carro1[[#This Row],[Chegada]]=0),"",detalhe_carro1[[#This Row],[Hora Inicio]]-detalhe_carro1[[#This Row],[Ultima Chegada]])</f>
        <v>148</v>
      </c>
      <c r="P144" s="3">
        <f>IF(detalhe_carro1[[#This Row],[Tipo]]="Visitar Nó",((detalhe_carro1[[#This Row],[Hora Fim]]-detalhe_carro1[[#This Row],[Hora Inicio]])/60*velocidade_nos),0)</f>
        <v>0</v>
      </c>
      <c r="Q144" s="29">
        <f>detalhe_carro1[[#This Row],[Kms Nós]]+detalhe_carro1[[#This Row],[kms]]</f>
        <v>0</v>
      </c>
      <c r="S144" s="20">
        <v>3</v>
      </c>
      <c r="T144" s="38">
        <v>2</v>
      </c>
      <c r="U144" s="38">
        <v>4</v>
      </c>
      <c r="V144" s="38" t="s">
        <v>2</v>
      </c>
      <c r="W144" s="30">
        <v>292</v>
      </c>
      <c r="X144" s="30">
        <v>305</v>
      </c>
      <c r="Y144" s="30">
        <v>130</v>
      </c>
      <c r="Z144" s="39">
        <v>0.49444444444444446</v>
      </c>
      <c r="AA144" s="39">
        <v>0.50347222222222221</v>
      </c>
      <c r="AB144" s="39">
        <v>0.38194444444444442</v>
      </c>
      <c r="AC1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v>
      </c>
    </row>
    <row r="145" spans="2:29" x14ac:dyDescent="0.25">
      <c r="B145" s="3">
        <v>2</v>
      </c>
      <c r="C145">
        <v>2</v>
      </c>
      <c r="D145">
        <v>2</v>
      </c>
      <c r="E145" s="29" t="s">
        <v>228</v>
      </c>
      <c r="F145" s="3">
        <v>983</v>
      </c>
      <c r="G145" s="3">
        <v>983</v>
      </c>
      <c r="H145" s="29" t="s">
        <v>44</v>
      </c>
      <c r="J145" s="7">
        <v>0.97430555555555554</v>
      </c>
      <c r="K145" s="7">
        <v>0.97430555555555554</v>
      </c>
      <c r="L145" s="3">
        <f t="shared" si="4"/>
        <v>1</v>
      </c>
      <c r="M145" s="3">
        <f t="shared" si="5"/>
        <v>1</v>
      </c>
      <c r="N145" s="29">
        <f>_xlfn.MAXIFS($G$7:G144,$E$7:E144,detalhe_carro1[[#This Row],[Nó]],$B$7:B144,detalhe_carro1[[#This Row],[Numero Voltas]],$L$7:L144,1)</f>
        <v>828</v>
      </c>
      <c r="O145" s="3">
        <f>IF(OR(detalhe_carro1[[#This Row],[Ultima Chegada]]=0,detalhe_carro1[[#This Row],[Chegada]]=0),"",detalhe_carro1[[#This Row],[Hora Inicio]]-detalhe_carro1[[#This Row],[Ultima Chegada]])</f>
        <v>155</v>
      </c>
      <c r="P145" s="3">
        <f>IF(detalhe_carro1[[#This Row],[Tipo]]="Visitar Nó",((detalhe_carro1[[#This Row],[Hora Fim]]-detalhe_carro1[[#This Row],[Hora Inicio]])/60*velocidade_nos),0)</f>
        <v>0</v>
      </c>
      <c r="Q145" s="29">
        <f>detalhe_carro1[[#This Row],[Kms Nós]]+detalhe_carro1[[#This Row],[kms]]</f>
        <v>0</v>
      </c>
      <c r="S145" s="20">
        <v>3</v>
      </c>
      <c r="T145" s="38">
        <v>2</v>
      </c>
      <c r="U145" s="38">
        <v>5</v>
      </c>
      <c r="V145" s="38" t="s">
        <v>215</v>
      </c>
      <c r="W145" s="30">
        <v>308</v>
      </c>
      <c r="X145" s="30">
        <v>308</v>
      </c>
      <c r="Y145" s="30">
        <v>112</v>
      </c>
      <c r="Z145" s="39">
        <v>0.50555555555555554</v>
      </c>
      <c r="AA145" s="39">
        <v>0.50555555555555554</v>
      </c>
      <c r="AB145" s="39">
        <v>0.36944444444444446</v>
      </c>
      <c r="AC1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row>
    <row r="146" spans="2:29" x14ac:dyDescent="0.25">
      <c r="B146" s="3">
        <v>2</v>
      </c>
      <c r="C146">
        <v>2</v>
      </c>
      <c r="D146">
        <v>1</v>
      </c>
      <c r="E146" s="29" t="s">
        <v>200</v>
      </c>
      <c r="F146" s="3">
        <v>984</v>
      </c>
      <c r="G146" s="3">
        <v>984</v>
      </c>
      <c r="H146" s="29" t="s">
        <v>44</v>
      </c>
      <c r="J146" s="7">
        <v>0.97499999999999998</v>
      </c>
      <c r="K146" s="7">
        <v>0.97499999999999998</v>
      </c>
      <c r="L146" s="3">
        <f t="shared" si="4"/>
        <v>1</v>
      </c>
      <c r="M146" s="3">
        <f t="shared" si="5"/>
        <v>1</v>
      </c>
      <c r="N146" s="29">
        <f>_xlfn.MAXIFS($G$7:G145,$E$7:E145,detalhe_carro1[[#This Row],[Nó]],$B$7:B145,detalhe_carro1[[#This Row],[Numero Voltas]],$L$7:L145,1)</f>
        <v>828</v>
      </c>
      <c r="O146" s="3">
        <f>IF(OR(detalhe_carro1[[#This Row],[Ultima Chegada]]=0,detalhe_carro1[[#This Row],[Chegada]]=0),"",detalhe_carro1[[#This Row],[Hora Inicio]]-detalhe_carro1[[#This Row],[Ultima Chegada]])</f>
        <v>156</v>
      </c>
      <c r="P146" s="3">
        <f>IF(detalhe_carro1[[#This Row],[Tipo]]="Visitar Nó",((detalhe_carro1[[#This Row],[Hora Fim]]-detalhe_carro1[[#This Row],[Hora Inicio]])/60*velocidade_nos),0)</f>
        <v>0</v>
      </c>
      <c r="Q146" s="29">
        <f>detalhe_carro1[[#This Row],[Kms Nós]]+detalhe_carro1[[#This Row],[kms]]</f>
        <v>0</v>
      </c>
      <c r="S146" s="20">
        <v>3</v>
      </c>
      <c r="T146" s="38">
        <v>2</v>
      </c>
      <c r="U146" s="38">
        <v>6</v>
      </c>
      <c r="V146" s="38" t="s">
        <v>300</v>
      </c>
      <c r="W146" s="30">
        <v>312</v>
      </c>
      <c r="X146" s="30">
        <v>312</v>
      </c>
      <c r="Y146" s="30">
        <v>108</v>
      </c>
      <c r="Z146" s="39">
        <v>0.5083333333333333</v>
      </c>
      <c r="AA146" s="39">
        <v>0.5083333333333333</v>
      </c>
      <c r="AB146" s="39">
        <v>0.36666666666666664</v>
      </c>
      <c r="AC1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v>
      </c>
    </row>
    <row r="147" spans="2:29" x14ac:dyDescent="0.25">
      <c r="B147" s="3">
        <v>2</v>
      </c>
      <c r="C147">
        <v>2</v>
      </c>
      <c r="D147">
        <v>0</v>
      </c>
      <c r="E147" s="29" t="s">
        <v>203</v>
      </c>
      <c r="F147" s="3">
        <v>986</v>
      </c>
      <c r="G147" s="3">
        <v>986</v>
      </c>
      <c r="H147" s="29" t="s">
        <v>44</v>
      </c>
      <c r="J147" s="7">
        <v>0.97638888888888886</v>
      </c>
      <c r="K147" s="7">
        <v>0.97638888888888886</v>
      </c>
      <c r="L147" s="3">
        <f t="shared" si="4"/>
        <v>0</v>
      </c>
      <c r="M147" s="3">
        <f t="shared" si="5"/>
        <v>1</v>
      </c>
      <c r="N147" s="29">
        <f>_xlfn.MAXIFS($G$7:G146,$E$7:E146,detalhe_carro1[[#This Row],[Nó]],$B$7:B146,detalhe_carro1[[#This Row],[Numero Voltas]],$L$7:L146,1)</f>
        <v>826</v>
      </c>
      <c r="O147" s="3">
        <f>IF(OR(detalhe_carro1[[#This Row],[Ultima Chegada]]=0,detalhe_carro1[[#This Row],[Chegada]]=0),"",detalhe_carro1[[#This Row],[Hora Inicio]]-detalhe_carro1[[#This Row],[Ultima Chegada]])</f>
        <v>160</v>
      </c>
      <c r="P147" s="3">
        <f>IF(detalhe_carro1[[#This Row],[Tipo]]="Visitar Nó",((detalhe_carro1[[#This Row],[Hora Fim]]-detalhe_carro1[[#This Row],[Hora Inicio]])/60*velocidade_nos),0)</f>
        <v>0</v>
      </c>
      <c r="Q147" s="29">
        <f>detalhe_carro1[[#This Row],[Kms Nós]]+detalhe_carro1[[#This Row],[kms]]</f>
        <v>0</v>
      </c>
      <c r="S147" s="20">
        <v>3</v>
      </c>
      <c r="T147" s="38">
        <v>2</v>
      </c>
      <c r="U147" s="38">
        <v>7</v>
      </c>
      <c r="V147" s="38" t="s">
        <v>301</v>
      </c>
      <c r="W147" s="30">
        <v>315</v>
      </c>
      <c r="X147" s="30">
        <v>325</v>
      </c>
      <c r="Y147" s="30">
        <v>106</v>
      </c>
      <c r="Z147" s="39">
        <v>0.51041666666666663</v>
      </c>
      <c r="AA147" s="39">
        <v>0.51736111111111116</v>
      </c>
      <c r="AB147" s="39">
        <v>0.36527777777777776</v>
      </c>
      <c r="AC1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3.4833333333333334</v>
      </c>
    </row>
    <row r="148" spans="2:29" x14ac:dyDescent="0.25">
      <c r="B148" s="3">
        <v>2</v>
      </c>
      <c r="C148">
        <v>2</v>
      </c>
      <c r="D148">
        <v>0</v>
      </c>
      <c r="E148" s="29" t="s">
        <v>203</v>
      </c>
      <c r="F148" s="3">
        <v>986</v>
      </c>
      <c r="G148" s="3">
        <v>1016</v>
      </c>
      <c r="H148" s="29" t="s">
        <v>45</v>
      </c>
      <c r="J148" s="7">
        <v>0.97638888888888886</v>
      </c>
      <c r="K148" s="7">
        <v>0.99722222222222223</v>
      </c>
      <c r="L148" s="3">
        <f t="shared" si="4"/>
        <v>0</v>
      </c>
      <c r="M148" s="3">
        <f t="shared" si="5"/>
        <v>0</v>
      </c>
      <c r="N148" s="29">
        <f>_xlfn.MAXIFS($G$7:G147,$E$7:E147,detalhe_carro1[[#This Row],[Nó]],$B$7:B147,detalhe_carro1[[#This Row],[Numero Voltas]],$L$7:L147,1)</f>
        <v>826</v>
      </c>
      <c r="O148" s="3" t="str">
        <f>IF(OR(detalhe_carro1[[#This Row],[Ultima Chegada]]=0,detalhe_carro1[[#This Row],[Chegada]]=0),"",detalhe_carro1[[#This Row],[Hora Inicio]]-detalhe_carro1[[#This Row],[Ultima Chegada]])</f>
        <v/>
      </c>
      <c r="P148" s="3">
        <f>IF(detalhe_carro1[[#This Row],[Tipo]]="Visitar Nó",((detalhe_carro1[[#This Row],[Hora Fim]]-detalhe_carro1[[#This Row],[Hora Inicio]])/60*velocidade_nos),0)</f>
        <v>0</v>
      </c>
      <c r="Q148" s="29">
        <f>detalhe_carro1[[#This Row],[Kms Nós]]+detalhe_carro1[[#This Row],[kms]]</f>
        <v>0</v>
      </c>
      <c r="S148" s="20">
        <v>3</v>
      </c>
      <c r="T148" s="38">
        <v>2</v>
      </c>
      <c r="U148" s="38">
        <v>8</v>
      </c>
      <c r="V148" s="38" t="s">
        <v>302</v>
      </c>
      <c r="W148" s="30">
        <v>331</v>
      </c>
      <c r="X148" s="30">
        <v>341</v>
      </c>
      <c r="Y148" s="30">
        <v>90</v>
      </c>
      <c r="Z148" s="39">
        <v>0.52152777777777781</v>
      </c>
      <c r="AA148" s="39">
        <v>0.52847222222222223</v>
      </c>
      <c r="AB148" s="39">
        <v>0.35416666666666669</v>
      </c>
      <c r="AC1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4.0166666666666666</v>
      </c>
    </row>
    <row r="149" spans="2:29" x14ac:dyDescent="0.25">
      <c r="B149" s="3">
        <v>2</v>
      </c>
      <c r="C149">
        <v>2</v>
      </c>
      <c r="D149">
        <v>0</v>
      </c>
      <c r="E149" s="29" t="s">
        <v>203</v>
      </c>
      <c r="F149" s="3">
        <v>1016</v>
      </c>
      <c r="G149" s="3">
        <v>1016</v>
      </c>
      <c r="H149" s="29" t="s">
        <v>44</v>
      </c>
      <c r="J149" s="7">
        <v>0.99722222222222223</v>
      </c>
      <c r="K149" s="7">
        <v>0.99722222222222223</v>
      </c>
      <c r="L149" s="3">
        <f t="shared" si="4"/>
        <v>1</v>
      </c>
      <c r="M149" s="3">
        <f t="shared" si="5"/>
        <v>0</v>
      </c>
      <c r="N149" s="29">
        <f>_xlfn.MAXIFS($G$7:G148,$E$7:E148,detalhe_carro1[[#This Row],[Nó]],$B$7:B148,detalhe_carro1[[#This Row],[Numero Voltas]],$L$7:L148,1)</f>
        <v>826</v>
      </c>
      <c r="O149" s="3" t="str">
        <f>IF(OR(detalhe_carro1[[#This Row],[Ultima Chegada]]=0,detalhe_carro1[[#This Row],[Chegada]]=0),"",detalhe_carro1[[#This Row],[Hora Inicio]]-detalhe_carro1[[#This Row],[Ultima Chegada]])</f>
        <v/>
      </c>
      <c r="P149" s="3">
        <f>IF(detalhe_carro1[[#This Row],[Tipo]]="Visitar Nó",((detalhe_carro1[[#This Row],[Hora Fim]]-detalhe_carro1[[#This Row],[Hora Inicio]])/60*velocidade_nos),0)</f>
        <v>0</v>
      </c>
      <c r="Q149" s="29">
        <f>detalhe_carro1[[#This Row],[Kms Nós]]+detalhe_carro1[[#This Row],[kms]]</f>
        <v>0</v>
      </c>
      <c r="S149" s="20">
        <v>3</v>
      </c>
      <c r="T149" s="38">
        <v>2</v>
      </c>
      <c r="U149" s="38">
        <v>9</v>
      </c>
      <c r="V149" s="38" t="s">
        <v>303</v>
      </c>
      <c r="W149" s="30">
        <v>347</v>
      </c>
      <c r="X149" s="30">
        <v>347</v>
      </c>
      <c r="Y149" s="30">
        <v>84</v>
      </c>
      <c r="Z149" s="39">
        <v>0.53263888888888888</v>
      </c>
      <c r="AA149" s="39">
        <v>0.53263888888888888</v>
      </c>
      <c r="AB149" s="39">
        <v>0.35</v>
      </c>
      <c r="AC1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4.3833333333333337</v>
      </c>
    </row>
    <row r="150" spans="2:29" x14ac:dyDescent="0.25">
      <c r="B150" s="3">
        <v>2</v>
      </c>
      <c r="C150">
        <v>2</v>
      </c>
      <c r="D150">
        <v>1</v>
      </c>
      <c r="E150" s="29" t="s">
        <v>200</v>
      </c>
      <c r="F150" s="3">
        <v>1018</v>
      </c>
      <c r="G150" s="3">
        <v>1018</v>
      </c>
      <c r="H150" s="29" t="s">
        <v>44</v>
      </c>
      <c r="J150" s="7">
        <v>0.99861111111111112</v>
      </c>
      <c r="K150" s="7">
        <v>0.99861111111111112</v>
      </c>
      <c r="L150" s="3">
        <f t="shared" si="4"/>
        <v>0</v>
      </c>
      <c r="M150" s="3">
        <f t="shared" si="5"/>
        <v>1</v>
      </c>
      <c r="N150" s="29">
        <f>_xlfn.MAXIFS($G$7:G149,$E$7:E149,detalhe_carro1[[#This Row],[Nó]],$B$7:B149,detalhe_carro1[[#This Row],[Numero Voltas]],$L$7:L149,1)</f>
        <v>984</v>
      </c>
      <c r="O150" s="3">
        <f>IF(OR(detalhe_carro1[[#This Row],[Ultima Chegada]]=0,detalhe_carro1[[#This Row],[Chegada]]=0),"",detalhe_carro1[[#This Row],[Hora Inicio]]-detalhe_carro1[[#This Row],[Ultima Chegada]])</f>
        <v>34</v>
      </c>
      <c r="P150" s="3">
        <f>IF(detalhe_carro1[[#This Row],[Tipo]]="Visitar Nó",((detalhe_carro1[[#This Row],[Hora Fim]]-detalhe_carro1[[#This Row],[Hora Inicio]])/60*velocidade_nos),0)</f>
        <v>0</v>
      </c>
      <c r="Q150" s="29">
        <f>detalhe_carro1[[#This Row],[Kms Nós]]+detalhe_carro1[[#This Row],[kms]]</f>
        <v>0</v>
      </c>
      <c r="S150" s="20">
        <v>3</v>
      </c>
      <c r="T150" s="38">
        <v>2</v>
      </c>
      <c r="U150" s="38">
        <v>8</v>
      </c>
      <c r="V150" s="38" t="s">
        <v>302</v>
      </c>
      <c r="W150" s="30">
        <v>353</v>
      </c>
      <c r="X150" s="30">
        <v>363</v>
      </c>
      <c r="Y150" s="30">
        <v>341</v>
      </c>
      <c r="Z150" s="39">
        <v>0.53680555555555554</v>
      </c>
      <c r="AA150" s="39">
        <v>0.54374999999999996</v>
      </c>
      <c r="AB150" s="39">
        <v>0.52847222222222223</v>
      </c>
      <c r="AC1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151" spans="2:29" x14ac:dyDescent="0.25">
      <c r="B151" s="3">
        <v>2</v>
      </c>
      <c r="C151">
        <v>2</v>
      </c>
      <c r="D151">
        <v>1</v>
      </c>
      <c r="E151" s="29" t="s">
        <v>200</v>
      </c>
      <c r="F151" s="3">
        <v>1018</v>
      </c>
      <c r="G151" s="3">
        <v>1022</v>
      </c>
      <c r="H151" s="29" t="s">
        <v>43</v>
      </c>
      <c r="J151" s="7">
        <v>0.99861111111111112</v>
      </c>
      <c r="K151" s="7">
        <v>1.3888888888888889E-3</v>
      </c>
      <c r="L151" s="3">
        <f t="shared" si="4"/>
        <v>1</v>
      </c>
      <c r="M151" s="3">
        <f t="shared" si="5"/>
        <v>0</v>
      </c>
      <c r="N151" s="29">
        <f>_xlfn.MAXIFS($G$7:G150,$E$7:E150,detalhe_carro1[[#This Row],[Nó]],$B$7:B150,detalhe_carro1[[#This Row],[Numero Voltas]],$L$7:L150,1)</f>
        <v>984</v>
      </c>
      <c r="O151" s="3" t="str">
        <f>IF(OR(detalhe_carro1[[#This Row],[Ultima Chegada]]=0,detalhe_carro1[[#This Row],[Chegada]]=0),"",detalhe_carro1[[#This Row],[Hora Inicio]]-detalhe_carro1[[#This Row],[Ultima Chegada]])</f>
        <v/>
      </c>
      <c r="P151" s="3">
        <f>IF(detalhe_carro1[[#This Row],[Tipo]]="Visitar Nó",((detalhe_carro1[[#This Row],[Hora Fim]]-detalhe_carro1[[#This Row],[Hora Inicio]])/60*velocidade_nos),0)</f>
        <v>2</v>
      </c>
      <c r="Q151" s="29">
        <f>detalhe_carro1[[#This Row],[Kms Nós]]+detalhe_carro1[[#This Row],[kms]]</f>
        <v>2</v>
      </c>
      <c r="S151" s="20">
        <v>3</v>
      </c>
      <c r="T151" s="38">
        <v>2</v>
      </c>
      <c r="U151" s="38">
        <v>7</v>
      </c>
      <c r="V151" s="38" t="s">
        <v>301</v>
      </c>
      <c r="W151" s="30">
        <v>369</v>
      </c>
      <c r="X151" s="30">
        <v>369</v>
      </c>
      <c r="Y151" s="30">
        <v>325</v>
      </c>
      <c r="Z151" s="39">
        <v>0.54791666666666672</v>
      </c>
      <c r="AA151" s="39">
        <v>0.54791666666666672</v>
      </c>
      <c r="AB151" s="39">
        <v>0.51736111111111116</v>
      </c>
      <c r="AC1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152" spans="2:29" x14ac:dyDescent="0.25">
      <c r="B152" s="3">
        <v>2</v>
      </c>
      <c r="C152">
        <v>2</v>
      </c>
      <c r="D152">
        <v>2</v>
      </c>
      <c r="E152" s="29" t="s">
        <v>228</v>
      </c>
      <c r="F152" s="3">
        <v>1023</v>
      </c>
      <c r="G152" s="3">
        <v>1023</v>
      </c>
      <c r="H152" s="29" t="s">
        <v>44</v>
      </c>
      <c r="J152" s="7">
        <v>2.0833333333333333E-3</v>
      </c>
      <c r="K152" s="7">
        <v>2.0833333333333333E-3</v>
      </c>
      <c r="L152" s="3">
        <f t="shared" si="4"/>
        <v>0</v>
      </c>
      <c r="M152" s="3">
        <f t="shared" si="5"/>
        <v>1</v>
      </c>
      <c r="N152" s="29">
        <f>_xlfn.MAXIFS($G$7:G151,$E$7:E151,detalhe_carro1[[#This Row],[Nó]],$B$7:B151,detalhe_carro1[[#This Row],[Numero Voltas]],$L$7:L151,1)</f>
        <v>983</v>
      </c>
      <c r="O152" s="3">
        <f>IF(OR(detalhe_carro1[[#This Row],[Ultima Chegada]]=0,detalhe_carro1[[#This Row],[Chegada]]=0),"",detalhe_carro1[[#This Row],[Hora Inicio]]-detalhe_carro1[[#This Row],[Ultima Chegada]])</f>
        <v>40</v>
      </c>
      <c r="P152" s="3">
        <f>IF(detalhe_carro1[[#This Row],[Tipo]]="Visitar Nó",((detalhe_carro1[[#This Row],[Hora Fim]]-detalhe_carro1[[#This Row],[Hora Inicio]])/60*velocidade_nos),0)</f>
        <v>0</v>
      </c>
      <c r="Q152" s="29">
        <f>detalhe_carro1[[#This Row],[Kms Nós]]+detalhe_carro1[[#This Row],[kms]]</f>
        <v>0</v>
      </c>
      <c r="S152" s="20">
        <v>3</v>
      </c>
      <c r="T152" s="38">
        <v>2</v>
      </c>
      <c r="U152" s="38">
        <v>6</v>
      </c>
      <c r="V152" s="38" t="s">
        <v>300</v>
      </c>
      <c r="W152" s="30">
        <v>372</v>
      </c>
      <c r="X152" s="30">
        <v>372</v>
      </c>
      <c r="Y152" s="30">
        <v>312</v>
      </c>
      <c r="Z152" s="39">
        <v>0.55000000000000004</v>
      </c>
      <c r="AA152" s="39">
        <v>0.55000000000000004</v>
      </c>
      <c r="AB152" s="39">
        <v>0.5083333333333333</v>
      </c>
      <c r="AC1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v>
      </c>
    </row>
    <row r="153" spans="2:29" x14ac:dyDescent="0.25">
      <c r="B153" s="3">
        <v>2</v>
      </c>
      <c r="C153">
        <v>2</v>
      </c>
      <c r="D153">
        <v>2</v>
      </c>
      <c r="E153" s="29" t="s">
        <v>228</v>
      </c>
      <c r="F153" s="3">
        <v>1023</v>
      </c>
      <c r="G153" s="3">
        <v>1041</v>
      </c>
      <c r="H153" s="29" t="s">
        <v>43</v>
      </c>
      <c r="J153" s="7">
        <v>2.0833333333333333E-3</v>
      </c>
      <c r="K153" s="7">
        <v>1.4583333333333334E-2</v>
      </c>
      <c r="L153" s="3">
        <f t="shared" si="4"/>
        <v>1</v>
      </c>
      <c r="M153" s="3">
        <f t="shared" si="5"/>
        <v>0</v>
      </c>
      <c r="N153" s="29">
        <f>_xlfn.MAXIFS($G$7:G152,$E$7:E152,detalhe_carro1[[#This Row],[Nó]],$B$7:B152,detalhe_carro1[[#This Row],[Numero Voltas]],$L$7:L152,1)</f>
        <v>983</v>
      </c>
      <c r="O153" s="3" t="str">
        <f>IF(OR(detalhe_carro1[[#This Row],[Ultima Chegada]]=0,detalhe_carro1[[#This Row],[Chegada]]=0),"",detalhe_carro1[[#This Row],[Hora Inicio]]-detalhe_carro1[[#This Row],[Ultima Chegada]])</f>
        <v/>
      </c>
      <c r="P153" s="3">
        <f>IF(detalhe_carro1[[#This Row],[Tipo]]="Visitar Nó",((detalhe_carro1[[#This Row],[Hora Fim]]-detalhe_carro1[[#This Row],[Hora Inicio]])/60*velocidade_nos),0)</f>
        <v>9</v>
      </c>
      <c r="Q153" s="29">
        <f>detalhe_carro1[[#This Row],[Kms Nós]]+detalhe_carro1[[#This Row],[kms]]</f>
        <v>9</v>
      </c>
      <c r="S153" s="20">
        <v>3</v>
      </c>
      <c r="T153" s="38">
        <v>2</v>
      </c>
      <c r="U153" s="38">
        <v>5</v>
      </c>
      <c r="V153" s="38" t="s">
        <v>215</v>
      </c>
      <c r="W153" s="30">
        <v>376</v>
      </c>
      <c r="X153" s="30">
        <v>376</v>
      </c>
      <c r="Y153" s="30">
        <v>308</v>
      </c>
      <c r="Z153" s="39">
        <v>0.55277777777777781</v>
      </c>
      <c r="AA153" s="39">
        <v>0.55277777777777781</v>
      </c>
      <c r="AB153" s="39">
        <v>0.50555555555555554</v>
      </c>
      <c r="AC1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row>
    <row r="154" spans="2:29" x14ac:dyDescent="0.25">
      <c r="B154" s="3">
        <v>2</v>
      </c>
      <c r="C154">
        <v>2</v>
      </c>
      <c r="D154">
        <v>3</v>
      </c>
      <c r="E154" s="29" t="s">
        <v>208</v>
      </c>
      <c r="F154" s="3">
        <v>1044</v>
      </c>
      <c r="G154" s="3">
        <v>1044</v>
      </c>
      <c r="H154" s="29" t="s">
        <v>44</v>
      </c>
      <c r="J154" s="7">
        <v>1.6666666666666666E-2</v>
      </c>
      <c r="K154" s="7">
        <v>1.6666666666666666E-2</v>
      </c>
      <c r="L154" s="3">
        <f t="shared" si="4"/>
        <v>1</v>
      </c>
      <c r="M154" s="3">
        <f t="shared" si="5"/>
        <v>1</v>
      </c>
      <c r="N154" s="29">
        <f>_xlfn.MAXIFS($G$7:G153,$E$7:E153,detalhe_carro1[[#This Row],[Nó]],$B$7:B153,detalhe_carro1[[#This Row],[Numero Voltas]],$L$7:L153,1)</f>
        <v>980</v>
      </c>
      <c r="O154" s="3">
        <f>IF(OR(detalhe_carro1[[#This Row],[Ultima Chegada]]=0,detalhe_carro1[[#This Row],[Chegada]]=0),"",detalhe_carro1[[#This Row],[Hora Inicio]]-detalhe_carro1[[#This Row],[Ultima Chegada]])</f>
        <v>64</v>
      </c>
      <c r="P154" s="3">
        <f>IF(detalhe_carro1[[#This Row],[Tipo]]="Visitar Nó",((detalhe_carro1[[#This Row],[Hora Fim]]-detalhe_carro1[[#This Row],[Hora Inicio]])/60*velocidade_nos),0)</f>
        <v>0</v>
      </c>
      <c r="Q154" s="29">
        <f>detalhe_carro1[[#This Row],[Kms Nós]]+detalhe_carro1[[#This Row],[kms]]</f>
        <v>0</v>
      </c>
      <c r="S154" s="20">
        <v>3</v>
      </c>
      <c r="T154" s="38">
        <v>2</v>
      </c>
      <c r="U154" s="38">
        <v>4</v>
      </c>
      <c r="V154" s="38" t="s">
        <v>2</v>
      </c>
      <c r="W154" s="30">
        <v>379</v>
      </c>
      <c r="X154" s="30">
        <v>379</v>
      </c>
      <c r="Y154" s="30">
        <v>305</v>
      </c>
      <c r="Z154" s="39">
        <v>0.55486111111111114</v>
      </c>
      <c r="AA154" s="39">
        <v>0.55486111111111114</v>
      </c>
      <c r="AB154" s="39">
        <v>0.50347222222222221</v>
      </c>
      <c r="AC1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55" spans="2:29" x14ac:dyDescent="0.25">
      <c r="B155" s="3">
        <v>2</v>
      </c>
      <c r="C155">
        <v>2</v>
      </c>
      <c r="D155">
        <v>4</v>
      </c>
      <c r="E155" s="29" t="s">
        <v>2</v>
      </c>
      <c r="F155" s="3">
        <v>1049</v>
      </c>
      <c r="G155" s="3">
        <v>1049</v>
      </c>
      <c r="H155" s="29" t="s">
        <v>44</v>
      </c>
      <c r="J155" s="7">
        <v>2.013888888888889E-2</v>
      </c>
      <c r="K155" s="7">
        <v>2.013888888888889E-2</v>
      </c>
      <c r="L155" s="3">
        <f t="shared" si="4"/>
        <v>0</v>
      </c>
      <c r="M155" s="3">
        <f t="shared" si="5"/>
        <v>1</v>
      </c>
      <c r="N155" s="29">
        <f>_xlfn.MAXIFS($G$7:G154,$E$7:E154,detalhe_carro1[[#This Row],[Nó]],$B$7:B154,detalhe_carro1[[#This Row],[Numero Voltas]],$L$7:L154,1)</f>
        <v>975</v>
      </c>
      <c r="O155" s="3">
        <f>IF(OR(detalhe_carro1[[#This Row],[Ultima Chegada]]=0,detalhe_carro1[[#This Row],[Chegada]]=0),"",detalhe_carro1[[#This Row],[Hora Inicio]]-detalhe_carro1[[#This Row],[Ultima Chegada]])</f>
        <v>74</v>
      </c>
      <c r="P155" s="3">
        <f>IF(detalhe_carro1[[#This Row],[Tipo]]="Visitar Nó",((detalhe_carro1[[#This Row],[Hora Fim]]-detalhe_carro1[[#This Row],[Hora Inicio]])/60*velocidade_nos),0)</f>
        <v>0</v>
      </c>
      <c r="Q155" s="29">
        <f>detalhe_carro1[[#This Row],[Kms Nós]]+detalhe_carro1[[#This Row],[kms]]</f>
        <v>0</v>
      </c>
      <c r="S155" s="20">
        <v>3</v>
      </c>
      <c r="T155" s="38">
        <v>2</v>
      </c>
      <c r="U155" s="38">
        <v>3</v>
      </c>
      <c r="V155" s="38" t="s">
        <v>208</v>
      </c>
      <c r="W155" s="30">
        <v>384</v>
      </c>
      <c r="X155" s="30">
        <v>397</v>
      </c>
      <c r="Y155" s="30">
        <v>287</v>
      </c>
      <c r="Z155" s="39">
        <v>0.55833333333333335</v>
      </c>
      <c r="AA155" s="39">
        <v>0.56736111111111109</v>
      </c>
      <c r="AB155" s="39">
        <v>0.4909722222222222</v>
      </c>
      <c r="AC1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156" spans="2:29" x14ac:dyDescent="0.25">
      <c r="B156" s="3">
        <v>2</v>
      </c>
      <c r="C156">
        <v>2</v>
      </c>
      <c r="D156">
        <v>4</v>
      </c>
      <c r="E156" s="29" t="s">
        <v>2</v>
      </c>
      <c r="F156" s="3">
        <v>1049</v>
      </c>
      <c r="G156" s="3">
        <v>1062</v>
      </c>
      <c r="H156" s="29" t="s">
        <v>43</v>
      </c>
      <c r="J156" s="7">
        <v>2.013888888888889E-2</v>
      </c>
      <c r="K156" s="7">
        <v>2.9166666666666667E-2</v>
      </c>
      <c r="L156" s="3">
        <f t="shared" si="4"/>
        <v>1</v>
      </c>
      <c r="M156" s="3">
        <f t="shared" si="5"/>
        <v>0</v>
      </c>
      <c r="N156" s="29">
        <f>_xlfn.MAXIFS($G$7:G155,$E$7:E155,detalhe_carro1[[#This Row],[Nó]],$B$7:B155,detalhe_carro1[[#This Row],[Numero Voltas]],$L$7:L155,1)</f>
        <v>975</v>
      </c>
      <c r="O156" s="3" t="str">
        <f>IF(OR(detalhe_carro1[[#This Row],[Ultima Chegada]]=0,detalhe_carro1[[#This Row],[Chegada]]=0),"",detalhe_carro1[[#This Row],[Hora Inicio]]-detalhe_carro1[[#This Row],[Ultima Chegada]])</f>
        <v/>
      </c>
      <c r="P156" s="3">
        <f>IF(detalhe_carro1[[#This Row],[Tipo]]="Visitar Nó",((detalhe_carro1[[#This Row],[Hora Fim]]-detalhe_carro1[[#This Row],[Hora Inicio]])/60*velocidade_nos),0)</f>
        <v>6.5</v>
      </c>
      <c r="Q156" s="29">
        <f>detalhe_carro1[[#This Row],[Kms Nós]]+detalhe_carro1[[#This Row],[kms]]</f>
        <v>6.5</v>
      </c>
      <c r="S156" s="20">
        <v>3</v>
      </c>
      <c r="T156" s="38">
        <v>2</v>
      </c>
      <c r="U156" s="38">
        <v>2</v>
      </c>
      <c r="V156" s="38" t="s">
        <v>228</v>
      </c>
      <c r="W156" s="30">
        <v>400</v>
      </c>
      <c r="X156" s="30">
        <v>400</v>
      </c>
      <c r="Y156" s="30">
        <v>211</v>
      </c>
      <c r="Z156" s="39">
        <v>0.56944444444444442</v>
      </c>
      <c r="AA156" s="39">
        <v>0.56944444444444442</v>
      </c>
      <c r="AB156" s="39">
        <v>0.43819444444444444</v>
      </c>
      <c r="AC1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3.15</v>
      </c>
    </row>
    <row r="157" spans="2:29" x14ac:dyDescent="0.25">
      <c r="B157" s="3">
        <v>2</v>
      </c>
      <c r="C157">
        <v>2</v>
      </c>
      <c r="D157">
        <v>5</v>
      </c>
      <c r="E157" s="29" t="s">
        <v>215</v>
      </c>
      <c r="F157" s="3">
        <v>1065</v>
      </c>
      <c r="G157" s="3">
        <v>1065</v>
      </c>
      <c r="H157" s="29" t="s">
        <v>44</v>
      </c>
      <c r="J157" s="7">
        <v>3.125E-2</v>
      </c>
      <c r="K157" s="7">
        <v>3.125E-2</v>
      </c>
      <c r="L157" s="3">
        <f t="shared" si="4"/>
        <v>1</v>
      </c>
      <c r="M157" s="3">
        <f t="shared" si="5"/>
        <v>1</v>
      </c>
      <c r="N157" s="29">
        <f>_xlfn.MAXIFS($G$7:G156,$E$7:E156,detalhe_carro1[[#This Row],[Nó]],$B$7:B156,detalhe_carro1[[#This Row],[Numero Voltas]],$L$7:L156,1)</f>
        <v>898</v>
      </c>
      <c r="O157" s="3">
        <f>IF(OR(detalhe_carro1[[#This Row],[Ultima Chegada]]=0,detalhe_carro1[[#This Row],[Chegada]]=0),"",detalhe_carro1[[#This Row],[Hora Inicio]]-detalhe_carro1[[#This Row],[Ultima Chegada]])</f>
        <v>167</v>
      </c>
      <c r="P157" s="3">
        <f>IF(detalhe_carro1[[#This Row],[Tipo]]="Visitar Nó",((detalhe_carro1[[#This Row],[Hora Fim]]-detalhe_carro1[[#This Row],[Hora Inicio]])/60*velocidade_nos),0)</f>
        <v>0</v>
      </c>
      <c r="Q157" s="29">
        <f>detalhe_carro1[[#This Row],[Kms Nós]]+detalhe_carro1[[#This Row],[kms]]</f>
        <v>0</v>
      </c>
      <c r="S157" s="20">
        <v>3</v>
      </c>
      <c r="T157" s="38">
        <v>2</v>
      </c>
      <c r="U157" s="38">
        <v>1</v>
      </c>
      <c r="V157" s="38" t="s">
        <v>200</v>
      </c>
      <c r="W157" s="30">
        <v>401</v>
      </c>
      <c r="X157" s="30">
        <v>405</v>
      </c>
      <c r="Y157" s="30">
        <v>192</v>
      </c>
      <c r="Z157" s="39">
        <v>0.57013888888888886</v>
      </c>
      <c r="AA157" s="39">
        <v>0.57291666666666663</v>
      </c>
      <c r="AB157" s="39">
        <v>0.42499999999999999</v>
      </c>
      <c r="AC1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3.4833333333333334</v>
      </c>
    </row>
    <row r="158" spans="2:29" x14ac:dyDescent="0.25">
      <c r="B158" s="3">
        <v>2</v>
      </c>
      <c r="C158">
        <v>2</v>
      </c>
      <c r="D158">
        <v>6</v>
      </c>
      <c r="E158" s="29" t="s">
        <v>300</v>
      </c>
      <c r="F158" s="3">
        <v>1069</v>
      </c>
      <c r="G158" s="3">
        <v>1069</v>
      </c>
      <c r="H158" s="29" t="s">
        <v>44</v>
      </c>
      <c r="J158" s="7">
        <v>3.4027777777777775E-2</v>
      </c>
      <c r="K158" s="7">
        <v>3.4027777777777775E-2</v>
      </c>
      <c r="L158" s="3">
        <f t="shared" si="4"/>
        <v>1</v>
      </c>
      <c r="M158" s="3">
        <f t="shared" si="5"/>
        <v>1</v>
      </c>
      <c r="N158" s="29">
        <f>_xlfn.MAXIFS($G$7:G157,$E$7:E157,detalhe_carro1[[#This Row],[Nó]],$B$7:B157,detalhe_carro1[[#This Row],[Numero Voltas]],$L$7:L157,1)</f>
        <v>894</v>
      </c>
      <c r="O158" s="3">
        <f>IF(OR(detalhe_carro1[[#This Row],[Ultima Chegada]]=0,detalhe_carro1[[#This Row],[Chegada]]=0),"",detalhe_carro1[[#This Row],[Hora Inicio]]-detalhe_carro1[[#This Row],[Ultima Chegada]])</f>
        <v>175</v>
      </c>
      <c r="P158" s="3">
        <f>IF(detalhe_carro1[[#This Row],[Tipo]]="Visitar Nó",((detalhe_carro1[[#This Row],[Hora Fim]]-detalhe_carro1[[#This Row],[Hora Inicio]])/60*velocidade_nos),0)</f>
        <v>0</v>
      </c>
      <c r="Q158" s="29">
        <f>detalhe_carro1[[#This Row],[Kms Nós]]+detalhe_carro1[[#This Row],[kms]]</f>
        <v>0</v>
      </c>
      <c r="S158" s="20">
        <v>3</v>
      </c>
      <c r="T158" s="38">
        <v>2</v>
      </c>
      <c r="U158" s="38">
        <v>0</v>
      </c>
      <c r="V158" s="38" t="s">
        <v>203</v>
      </c>
      <c r="W158" s="30">
        <v>407</v>
      </c>
      <c r="X158" s="30">
        <v>415</v>
      </c>
      <c r="Y158" s="30">
        <v>186</v>
      </c>
      <c r="Z158" s="39">
        <v>0.57430555555555551</v>
      </c>
      <c r="AA158" s="39">
        <v>0.57986111111111116</v>
      </c>
      <c r="AB158" s="39">
        <v>0.42083333333333334</v>
      </c>
      <c r="AC1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3.6833333333333331</v>
      </c>
    </row>
    <row r="159" spans="2:29" x14ac:dyDescent="0.25">
      <c r="B159" s="3">
        <v>2</v>
      </c>
      <c r="C159">
        <v>2</v>
      </c>
      <c r="D159">
        <v>7</v>
      </c>
      <c r="E159" s="29" t="s">
        <v>301</v>
      </c>
      <c r="F159" s="3">
        <v>1072</v>
      </c>
      <c r="G159" s="3">
        <v>1072</v>
      </c>
      <c r="H159" s="29" t="s">
        <v>44</v>
      </c>
      <c r="J159" s="7">
        <v>3.6111111111111108E-2</v>
      </c>
      <c r="K159" s="7">
        <v>3.6111111111111108E-2</v>
      </c>
      <c r="L159" s="3">
        <f t="shared" si="4"/>
        <v>1</v>
      </c>
      <c r="M159" s="3">
        <f t="shared" si="5"/>
        <v>1</v>
      </c>
      <c r="N159" s="29">
        <f>_xlfn.MAXIFS($G$7:G158,$E$7:E158,detalhe_carro1[[#This Row],[Nó]],$B$7:B158,detalhe_carro1[[#This Row],[Numero Voltas]],$L$7:L158,1)</f>
        <v>890</v>
      </c>
      <c r="O159" s="3">
        <f>IF(OR(detalhe_carro1[[#This Row],[Ultima Chegada]]=0,detalhe_carro1[[#This Row],[Chegada]]=0),"",detalhe_carro1[[#This Row],[Hora Inicio]]-detalhe_carro1[[#This Row],[Ultima Chegada]])</f>
        <v>182</v>
      </c>
      <c r="P159" s="3">
        <f>IF(detalhe_carro1[[#This Row],[Tipo]]="Visitar Nó",((detalhe_carro1[[#This Row],[Hora Fim]]-detalhe_carro1[[#This Row],[Hora Inicio]])/60*velocidade_nos),0)</f>
        <v>0</v>
      </c>
      <c r="Q159" s="29">
        <f>detalhe_carro1[[#This Row],[Kms Nós]]+detalhe_carro1[[#This Row],[kms]]</f>
        <v>0</v>
      </c>
      <c r="S159" s="20">
        <v>3</v>
      </c>
      <c r="T159" s="38">
        <v>2</v>
      </c>
      <c r="U159" s="38">
        <v>1</v>
      </c>
      <c r="V159" s="38" t="s">
        <v>200</v>
      </c>
      <c r="W159" s="30">
        <v>417</v>
      </c>
      <c r="X159" s="30">
        <v>417</v>
      </c>
      <c r="Y159" s="30">
        <v>405</v>
      </c>
      <c r="Z159" s="39">
        <v>0.58125000000000004</v>
      </c>
      <c r="AA159" s="39">
        <v>0.58125000000000004</v>
      </c>
      <c r="AB159" s="39">
        <v>0.57291666666666663</v>
      </c>
      <c r="AC1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160" spans="2:29" x14ac:dyDescent="0.25">
      <c r="B160" s="3">
        <v>2</v>
      </c>
      <c r="C160">
        <v>2</v>
      </c>
      <c r="D160">
        <v>8</v>
      </c>
      <c r="E160" s="29" t="s">
        <v>302</v>
      </c>
      <c r="F160" s="3">
        <v>1078</v>
      </c>
      <c r="G160" s="3">
        <v>1078</v>
      </c>
      <c r="H160" s="29" t="s">
        <v>44</v>
      </c>
      <c r="J160" s="7">
        <v>4.027777777777778E-2</v>
      </c>
      <c r="K160" s="7">
        <v>4.027777777777778E-2</v>
      </c>
      <c r="L160" s="3">
        <f t="shared" si="4"/>
        <v>0</v>
      </c>
      <c r="M160" s="3">
        <f t="shared" si="5"/>
        <v>1</v>
      </c>
      <c r="N160" s="29">
        <f>_xlfn.MAXIFS($G$7:G159,$E$7:E159,detalhe_carro1[[#This Row],[Nó]],$B$7:B159,detalhe_carro1[[#This Row],[Numero Voltas]],$L$7:L159,1)</f>
        <v>874</v>
      </c>
      <c r="O160" s="3">
        <f>IF(OR(detalhe_carro1[[#This Row],[Ultima Chegada]]=0,detalhe_carro1[[#This Row],[Chegada]]=0),"",detalhe_carro1[[#This Row],[Hora Inicio]]-detalhe_carro1[[#This Row],[Ultima Chegada]])</f>
        <v>204</v>
      </c>
      <c r="P160" s="3">
        <f>IF(detalhe_carro1[[#This Row],[Tipo]]="Visitar Nó",((detalhe_carro1[[#This Row],[Hora Fim]]-detalhe_carro1[[#This Row],[Hora Inicio]])/60*velocidade_nos),0)</f>
        <v>0</v>
      </c>
      <c r="Q160" s="29">
        <f>detalhe_carro1[[#This Row],[Kms Nós]]+detalhe_carro1[[#This Row],[kms]]</f>
        <v>0</v>
      </c>
      <c r="S160" s="20">
        <v>3</v>
      </c>
      <c r="T160" s="38">
        <v>2</v>
      </c>
      <c r="U160" s="38">
        <v>2</v>
      </c>
      <c r="V160" s="38" t="s">
        <v>228</v>
      </c>
      <c r="W160" s="30">
        <v>418</v>
      </c>
      <c r="X160" s="30">
        <v>418</v>
      </c>
      <c r="Y160" s="30">
        <v>400</v>
      </c>
      <c r="Z160" s="39">
        <v>0.58194444444444449</v>
      </c>
      <c r="AA160" s="39">
        <v>0.58194444444444449</v>
      </c>
      <c r="AB160" s="39">
        <v>0.56944444444444442</v>
      </c>
      <c r="AC1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161" spans="2:29" x14ac:dyDescent="0.25">
      <c r="B161" s="3">
        <v>2</v>
      </c>
      <c r="C161">
        <v>2</v>
      </c>
      <c r="D161">
        <v>8</v>
      </c>
      <c r="E161" s="29" t="s">
        <v>302</v>
      </c>
      <c r="F161" s="3">
        <v>1078</v>
      </c>
      <c r="G161" s="3">
        <v>1088</v>
      </c>
      <c r="H161" s="29" t="s">
        <v>43</v>
      </c>
      <c r="J161" s="7">
        <v>4.027777777777778E-2</v>
      </c>
      <c r="K161" s="7">
        <v>4.7222222222222221E-2</v>
      </c>
      <c r="L161" s="3">
        <f t="shared" si="4"/>
        <v>1</v>
      </c>
      <c r="M161" s="3">
        <f t="shared" si="5"/>
        <v>0</v>
      </c>
      <c r="N161" s="29">
        <f>_xlfn.MAXIFS($G$7:G160,$E$7:E160,detalhe_carro1[[#This Row],[Nó]],$B$7:B160,detalhe_carro1[[#This Row],[Numero Voltas]],$L$7:L160,1)</f>
        <v>874</v>
      </c>
      <c r="O161" s="3" t="str">
        <f>IF(OR(detalhe_carro1[[#This Row],[Ultima Chegada]]=0,detalhe_carro1[[#This Row],[Chegada]]=0),"",detalhe_carro1[[#This Row],[Hora Inicio]]-detalhe_carro1[[#This Row],[Ultima Chegada]])</f>
        <v/>
      </c>
      <c r="P161" s="3">
        <f>IF(detalhe_carro1[[#This Row],[Tipo]]="Visitar Nó",((detalhe_carro1[[#This Row],[Hora Fim]]-detalhe_carro1[[#This Row],[Hora Inicio]])/60*velocidade_nos),0)</f>
        <v>5</v>
      </c>
      <c r="Q161" s="29">
        <f>detalhe_carro1[[#This Row],[Kms Nós]]+detalhe_carro1[[#This Row],[kms]]</f>
        <v>5</v>
      </c>
      <c r="S161" s="20">
        <v>3</v>
      </c>
      <c r="T161" s="38">
        <v>2</v>
      </c>
      <c r="U161" s="38">
        <v>3</v>
      </c>
      <c r="V161" s="38" t="s">
        <v>208</v>
      </c>
      <c r="W161" s="30">
        <v>421</v>
      </c>
      <c r="X161" s="30">
        <v>421</v>
      </c>
      <c r="Y161" s="30">
        <v>397</v>
      </c>
      <c r="Z161" s="39">
        <v>0.58402777777777781</v>
      </c>
      <c r="AA161" s="39">
        <v>0.58402777777777781</v>
      </c>
      <c r="AB161" s="39">
        <v>0.56736111111111109</v>
      </c>
      <c r="AC1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62" spans="2:29" x14ac:dyDescent="0.25">
      <c r="B162" s="3">
        <v>2</v>
      </c>
      <c r="C162">
        <v>2</v>
      </c>
      <c r="D162">
        <v>9</v>
      </c>
      <c r="E162" s="29" t="s">
        <v>303</v>
      </c>
      <c r="F162" s="3">
        <v>1094</v>
      </c>
      <c r="G162" s="3">
        <v>1094</v>
      </c>
      <c r="H162" s="29" t="s">
        <v>44</v>
      </c>
      <c r="J162" s="7">
        <v>5.1388888888888887E-2</v>
      </c>
      <c r="K162" s="7">
        <v>5.1388888888888887E-2</v>
      </c>
      <c r="L162" s="3">
        <f t="shared" si="4"/>
        <v>0</v>
      </c>
      <c r="M162" s="3">
        <f t="shared" si="5"/>
        <v>1</v>
      </c>
      <c r="N162" s="29">
        <f>_xlfn.MAXIFS($G$7:G161,$E$7:E161,detalhe_carro1[[#This Row],[Nó]],$B$7:B161,detalhe_carro1[[#This Row],[Numero Voltas]],$L$7:L161,1)</f>
        <v>858</v>
      </c>
      <c r="O162" s="3">
        <f>IF(OR(detalhe_carro1[[#This Row],[Ultima Chegada]]=0,detalhe_carro1[[#This Row],[Chegada]]=0),"",detalhe_carro1[[#This Row],[Hora Inicio]]-detalhe_carro1[[#This Row],[Ultima Chegada]])</f>
        <v>236</v>
      </c>
      <c r="P162" s="3">
        <f>IF(detalhe_carro1[[#This Row],[Tipo]]="Visitar Nó",((detalhe_carro1[[#This Row],[Hora Fim]]-detalhe_carro1[[#This Row],[Hora Inicio]])/60*velocidade_nos),0)</f>
        <v>0</v>
      </c>
      <c r="Q162" s="29">
        <f>detalhe_carro1[[#This Row],[Kms Nós]]+detalhe_carro1[[#This Row],[kms]]</f>
        <v>0</v>
      </c>
      <c r="S162" s="20">
        <v>3</v>
      </c>
      <c r="T162" s="38">
        <v>2</v>
      </c>
      <c r="U162" s="38">
        <v>4</v>
      </c>
      <c r="V162" s="38" t="s">
        <v>2</v>
      </c>
      <c r="W162" s="30">
        <v>426</v>
      </c>
      <c r="X162" s="30">
        <v>426</v>
      </c>
      <c r="Y162" s="30">
        <v>379</v>
      </c>
      <c r="Z162" s="39">
        <v>0.58750000000000002</v>
      </c>
      <c r="AA162" s="39">
        <v>0.58750000000000002</v>
      </c>
      <c r="AB162" s="39">
        <v>0.55486111111111114</v>
      </c>
      <c r="AC1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63" spans="2:29" x14ac:dyDescent="0.25">
      <c r="B163" s="3">
        <v>2</v>
      </c>
      <c r="C163">
        <v>2</v>
      </c>
      <c r="D163">
        <v>9</v>
      </c>
      <c r="E163" s="29" t="s">
        <v>303</v>
      </c>
      <c r="F163" s="3">
        <v>1094</v>
      </c>
      <c r="G163" s="3">
        <v>1094</v>
      </c>
      <c r="H163" s="29" t="s">
        <v>44</v>
      </c>
      <c r="J163" s="7">
        <v>5.1388888888888887E-2</v>
      </c>
      <c r="K163" s="7">
        <v>5.1388888888888887E-2</v>
      </c>
      <c r="L163" s="3">
        <f t="shared" si="4"/>
        <v>1</v>
      </c>
      <c r="M163" s="3">
        <f t="shared" si="5"/>
        <v>0</v>
      </c>
      <c r="N163" s="29">
        <f>_xlfn.MAXIFS($G$7:G162,$E$7:E162,detalhe_carro1[[#This Row],[Nó]],$B$7:B162,detalhe_carro1[[#This Row],[Numero Voltas]],$L$7:L162,1)</f>
        <v>858</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0</v>
      </c>
      <c r="Q163" s="29">
        <f>detalhe_carro1[[#This Row],[Kms Nós]]+detalhe_carro1[[#This Row],[kms]]</f>
        <v>0</v>
      </c>
      <c r="S163" s="20">
        <v>3</v>
      </c>
      <c r="T163" s="38">
        <v>2</v>
      </c>
      <c r="U163" s="38">
        <v>5</v>
      </c>
      <c r="V163" s="38" t="s">
        <v>215</v>
      </c>
      <c r="W163" s="30">
        <v>429</v>
      </c>
      <c r="X163" s="30">
        <v>429</v>
      </c>
      <c r="Y163" s="30">
        <v>376</v>
      </c>
      <c r="Z163" s="39">
        <v>0.58958333333333335</v>
      </c>
      <c r="AA163" s="39">
        <v>0.58958333333333335</v>
      </c>
      <c r="AB163" s="39">
        <v>0.55277777777777781</v>
      </c>
      <c r="AC1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0.8833333333333333</v>
      </c>
    </row>
    <row r="164" spans="2:29" x14ac:dyDescent="0.25">
      <c r="B164" s="3">
        <v>2</v>
      </c>
      <c r="C164">
        <v>2</v>
      </c>
      <c r="D164">
        <v>8</v>
      </c>
      <c r="E164" s="29" t="s">
        <v>302</v>
      </c>
      <c r="F164" s="3">
        <v>1100</v>
      </c>
      <c r="G164" s="3">
        <v>1100</v>
      </c>
      <c r="H164" s="29" t="s">
        <v>44</v>
      </c>
      <c r="J164" s="7">
        <v>5.5555555555555552E-2</v>
      </c>
      <c r="K164" s="7">
        <v>5.5555555555555552E-2</v>
      </c>
      <c r="L164" s="3">
        <f t="shared" si="4"/>
        <v>0</v>
      </c>
      <c r="M164" s="3">
        <f t="shared" si="5"/>
        <v>1</v>
      </c>
      <c r="N164" s="29">
        <f>_xlfn.MAXIFS($G$7:G163,$E$7:E163,detalhe_carro1[[#This Row],[Nó]],$B$7:B163,detalhe_carro1[[#This Row],[Numero Voltas]],$L$7:L163,1)</f>
        <v>1088</v>
      </c>
      <c r="O164" s="3">
        <f>IF(OR(detalhe_carro1[[#This Row],[Ultima Chegada]]=0,detalhe_carro1[[#This Row],[Chegada]]=0),"",detalhe_carro1[[#This Row],[Hora Inicio]]-detalhe_carro1[[#This Row],[Ultima Chegada]])</f>
        <v>12</v>
      </c>
      <c r="P164" s="3">
        <f>IF(detalhe_carro1[[#This Row],[Tipo]]="Visitar Nó",((detalhe_carro1[[#This Row],[Hora Fim]]-detalhe_carro1[[#This Row],[Hora Inicio]])/60*velocidade_nos),0)</f>
        <v>0</v>
      </c>
      <c r="Q164" s="29">
        <f>detalhe_carro1[[#This Row],[Kms Nós]]+detalhe_carro1[[#This Row],[kms]]</f>
        <v>0</v>
      </c>
      <c r="S164" s="20">
        <v>3</v>
      </c>
      <c r="T164" s="38">
        <v>2</v>
      </c>
      <c r="U164" s="38">
        <v>6</v>
      </c>
      <c r="V164" s="38" t="s">
        <v>300</v>
      </c>
      <c r="W164" s="30">
        <v>433</v>
      </c>
      <c r="X164" s="30">
        <v>433</v>
      </c>
      <c r="Y164" s="30">
        <v>372</v>
      </c>
      <c r="Z164" s="39">
        <v>0.59236111111111112</v>
      </c>
      <c r="AA164" s="39">
        <v>0.59236111111111112</v>
      </c>
      <c r="AB164" s="39">
        <v>0.55000000000000004</v>
      </c>
      <c r="AC1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1.0166666666666666</v>
      </c>
    </row>
    <row r="165" spans="2:29" x14ac:dyDescent="0.25">
      <c r="B165" s="3">
        <v>2</v>
      </c>
      <c r="C165">
        <v>2</v>
      </c>
      <c r="D165">
        <v>8</v>
      </c>
      <c r="E165" s="29" t="s">
        <v>302</v>
      </c>
      <c r="F165" s="3">
        <v>1100</v>
      </c>
      <c r="G165" s="3">
        <v>1160</v>
      </c>
      <c r="H165" s="29" t="s">
        <v>47</v>
      </c>
      <c r="J165" s="7">
        <v>5.5555555555555552E-2</v>
      </c>
      <c r="K165" s="7">
        <v>9.7222222222222224E-2</v>
      </c>
      <c r="L165" s="3">
        <f t="shared" si="4"/>
        <v>0</v>
      </c>
      <c r="M165" s="3">
        <f t="shared" si="5"/>
        <v>0</v>
      </c>
      <c r="N165" s="29">
        <f>_xlfn.MAXIFS($G$7:G164,$E$7:E164,detalhe_carro1[[#This Row],[Nó]],$B$7:B164,detalhe_carro1[[#This Row],[Numero Voltas]],$L$7:L164,1)</f>
        <v>1088</v>
      </c>
      <c r="O165" s="3" t="str">
        <f>IF(OR(detalhe_carro1[[#This Row],[Ultima Chegada]]=0,detalhe_carro1[[#This Row],[Chegada]]=0),"",detalhe_carro1[[#This Row],[Hora Inicio]]-detalhe_carro1[[#This Row],[Ultima Chegada]])</f>
        <v/>
      </c>
      <c r="P165" s="3">
        <f>IF(detalhe_carro1[[#This Row],[Tipo]]="Visitar Nó",((detalhe_carro1[[#This Row],[Hora Fim]]-detalhe_carro1[[#This Row],[Hora Inicio]])/60*velocidade_nos),0)</f>
        <v>0</v>
      </c>
      <c r="Q165" s="29">
        <f>detalhe_carro1[[#This Row],[Kms Nós]]+detalhe_carro1[[#This Row],[kms]]</f>
        <v>0</v>
      </c>
      <c r="S165" s="20">
        <v>3</v>
      </c>
      <c r="T165" s="38">
        <v>2</v>
      </c>
      <c r="U165" s="38">
        <v>7</v>
      </c>
      <c r="V165" s="38" t="s">
        <v>301</v>
      </c>
      <c r="W165" s="30">
        <v>436</v>
      </c>
      <c r="X165" s="30">
        <v>436</v>
      </c>
      <c r="Y165" s="30">
        <v>369</v>
      </c>
      <c r="Z165" s="39">
        <v>0.59444444444444444</v>
      </c>
      <c r="AA165" s="39">
        <v>0.59444444444444444</v>
      </c>
      <c r="AB165" s="39">
        <v>0.54791666666666672</v>
      </c>
      <c r="AC1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166" spans="2:29" x14ac:dyDescent="0.25">
      <c r="B166" s="3">
        <v>2</v>
      </c>
      <c r="C166">
        <v>2</v>
      </c>
      <c r="D166">
        <v>8</v>
      </c>
      <c r="E166" s="29" t="s">
        <v>302</v>
      </c>
      <c r="F166" s="3">
        <v>1160</v>
      </c>
      <c r="G166" s="3">
        <v>1170</v>
      </c>
      <c r="H166" s="29" t="s">
        <v>43</v>
      </c>
      <c r="J166" s="7">
        <v>9.7222222222222224E-2</v>
      </c>
      <c r="K166" s="7">
        <v>0.10416666666666667</v>
      </c>
      <c r="L166" s="3">
        <f t="shared" si="4"/>
        <v>1</v>
      </c>
      <c r="M166" s="3">
        <f t="shared" si="5"/>
        <v>0</v>
      </c>
      <c r="N166" s="29">
        <f>_xlfn.MAXIFS($G$7:G165,$E$7:E165,detalhe_carro1[[#This Row],[Nó]],$B$7:B165,detalhe_carro1[[#This Row],[Numero Voltas]],$L$7:L165,1)</f>
        <v>1088</v>
      </c>
      <c r="O166" s="3" t="str">
        <f>IF(OR(detalhe_carro1[[#This Row],[Ultima Chegada]]=0,detalhe_carro1[[#This Row],[Chegada]]=0),"",detalhe_carro1[[#This Row],[Hora Inicio]]-detalhe_carro1[[#This Row],[Ultima Chegada]])</f>
        <v/>
      </c>
      <c r="P166" s="3">
        <f>IF(detalhe_carro1[[#This Row],[Tipo]]="Visitar Nó",((detalhe_carro1[[#This Row],[Hora Fim]]-detalhe_carro1[[#This Row],[Hora Inicio]])/60*velocidade_nos),0)</f>
        <v>5</v>
      </c>
      <c r="Q166" s="29">
        <f>detalhe_carro1[[#This Row],[Kms Nós]]+detalhe_carro1[[#This Row],[kms]]</f>
        <v>5</v>
      </c>
      <c r="S166" s="20">
        <v>3</v>
      </c>
      <c r="T166" s="38">
        <v>2</v>
      </c>
      <c r="U166" s="38">
        <v>8</v>
      </c>
      <c r="V166" s="38" t="s">
        <v>302</v>
      </c>
      <c r="W166" s="30">
        <v>442</v>
      </c>
      <c r="X166" s="30">
        <v>442</v>
      </c>
      <c r="Y166" s="30">
        <v>363</v>
      </c>
      <c r="Z166" s="39">
        <v>0.59861111111111109</v>
      </c>
      <c r="AA166" s="39">
        <v>0.59861111111111109</v>
      </c>
      <c r="AB166" s="39">
        <v>0.54374999999999996</v>
      </c>
      <c r="AC1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row>
    <row r="167" spans="2:29" x14ac:dyDescent="0.25">
      <c r="B167" s="3">
        <v>2</v>
      </c>
      <c r="C167">
        <v>2</v>
      </c>
      <c r="D167">
        <v>7</v>
      </c>
      <c r="E167" s="29" t="s">
        <v>301</v>
      </c>
      <c r="F167" s="3">
        <v>1176</v>
      </c>
      <c r="G167" s="3">
        <v>1176</v>
      </c>
      <c r="H167" s="29" t="s">
        <v>44</v>
      </c>
      <c r="J167" s="7">
        <v>0.10833333333333334</v>
      </c>
      <c r="K167" s="7">
        <v>0.10833333333333334</v>
      </c>
      <c r="L167" s="3">
        <f t="shared" si="4"/>
        <v>0</v>
      </c>
      <c r="M167" s="3">
        <f t="shared" si="5"/>
        <v>1</v>
      </c>
      <c r="N167" s="29">
        <f>_xlfn.MAXIFS($G$7:G166,$E$7:E166,detalhe_carro1[[#This Row],[Nó]],$B$7:B166,detalhe_carro1[[#This Row],[Numero Voltas]],$L$7:L166,1)</f>
        <v>1072</v>
      </c>
      <c r="O167" s="3">
        <f>IF(OR(detalhe_carro1[[#This Row],[Ultima Chegada]]=0,detalhe_carro1[[#This Row],[Chegada]]=0),"",detalhe_carro1[[#This Row],[Hora Inicio]]-detalhe_carro1[[#This Row],[Ultima Chegada]])</f>
        <v>104</v>
      </c>
      <c r="P167" s="3">
        <f>IF(detalhe_carro1[[#This Row],[Tipo]]="Visitar Nó",((detalhe_carro1[[#This Row],[Hora Fim]]-detalhe_carro1[[#This Row],[Hora Inicio]])/60*velocidade_nos),0)</f>
        <v>0</v>
      </c>
      <c r="Q167" s="29">
        <f>detalhe_carro1[[#This Row],[Kms Nós]]+detalhe_carro1[[#This Row],[kms]]</f>
        <v>0</v>
      </c>
      <c r="S167" s="20">
        <v>3</v>
      </c>
      <c r="T167" s="38">
        <v>2</v>
      </c>
      <c r="U167" s="38">
        <v>9</v>
      </c>
      <c r="V167" s="38" t="s">
        <v>303</v>
      </c>
      <c r="W167" s="30">
        <v>448</v>
      </c>
      <c r="X167" s="30">
        <v>458</v>
      </c>
      <c r="Y167" s="30">
        <v>347</v>
      </c>
      <c r="Z167" s="39">
        <v>0.60277777777777775</v>
      </c>
      <c r="AA167" s="39">
        <v>0.60972222222222228</v>
      </c>
      <c r="AB167" s="39">
        <v>0.53263888888888888</v>
      </c>
      <c r="AC1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168" spans="2:29" x14ac:dyDescent="0.25">
      <c r="B168" s="3">
        <v>2</v>
      </c>
      <c r="C168">
        <v>2</v>
      </c>
      <c r="D168">
        <v>7</v>
      </c>
      <c r="E168" s="29" t="s">
        <v>301</v>
      </c>
      <c r="F168" s="3">
        <v>1176</v>
      </c>
      <c r="G168" s="3">
        <v>1186</v>
      </c>
      <c r="H168" s="29" t="s">
        <v>43</v>
      </c>
      <c r="J168" s="7">
        <v>0.10833333333333334</v>
      </c>
      <c r="K168" s="7">
        <v>0.11527777777777778</v>
      </c>
      <c r="L168" s="3">
        <f t="shared" si="4"/>
        <v>1</v>
      </c>
      <c r="M168" s="3">
        <f t="shared" si="5"/>
        <v>0</v>
      </c>
      <c r="N168" s="29">
        <f>_xlfn.MAXIFS($G$7:G167,$E$7:E167,detalhe_carro1[[#This Row],[Nó]],$B$7:B167,detalhe_carro1[[#This Row],[Numero Voltas]],$L$7:L167,1)</f>
        <v>1072</v>
      </c>
      <c r="O168" s="3" t="str">
        <f>IF(OR(detalhe_carro1[[#This Row],[Ultima Chegada]]=0,detalhe_carro1[[#This Row],[Chegada]]=0),"",detalhe_carro1[[#This Row],[Hora Inicio]]-detalhe_carro1[[#This Row],[Ultima Chegada]])</f>
        <v/>
      </c>
      <c r="P168" s="3">
        <f>IF(detalhe_carro1[[#This Row],[Tipo]]="Visitar Nó",((detalhe_carro1[[#This Row],[Hora Fim]]-detalhe_carro1[[#This Row],[Hora Inicio]])/60*velocidade_nos),0)</f>
        <v>5</v>
      </c>
      <c r="Q168" s="29">
        <f>detalhe_carro1[[#This Row],[Kms Nós]]+detalhe_carro1[[#This Row],[kms]]</f>
        <v>5</v>
      </c>
      <c r="S168" s="20">
        <v>3</v>
      </c>
      <c r="T168" s="38">
        <v>2</v>
      </c>
      <c r="U168" s="38">
        <v>8</v>
      </c>
      <c r="V168" s="38" t="s">
        <v>302</v>
      </c>
      <c r="W168" s="30">
        <v>464</v>
      </c>
      <c r="X168" s="30">
        <v>464</v>
      </c>
      <c r="Y168" s="30">
        <v>442</v>
      </c>
      <c r="Z168" s="39">
        <v>0.61388888888888893</v>
      </c>
      <c r="AA168" s="39">
        <v>0.61388888888888893</v>
      </c>
      <c r="AB168" s="39">
        <v>0.59861111111111109</v>
      </c>
      <c r="AC1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169" spans="2:29" x14ac:dyDescent="0.25">
      <c r="B169" s="3">
        <v>2</v>
      </c>
      <c r="C169">
        <v>2</v>
      </c>
      <c r="D169">
        <v>6</v>
      </c>
      <c r="E169" s="29" t="s">
        <v>300</v>
      </c>
      <c r="F169" s="3">
        <v>1189</v>
      </c>
      <c r="G169" s="3">
        <v>1189</v>
      </c>
      <c r="H169" s="29" t="s">
        <v>44</v>
      </c>
      <c r="J169" s="7">
        <v>0.11736111111111111</v>
      </c>
      <c r="K169" s="7">
        <v>0.11736111111111111</v>
      </c>
      <c r="L169" s="3">
        <f t="shared" si="4"/>
        <v>1</v>
      </c>
      <c r="M169" s="3">
        <f t="shared" si="5"/>
        <v>1</v>
      </c>
      <c r="N169" s="29">
        <f>_xlfn.MAXIFS($G$7:G168,$E$7:E168,detalhe_carro1[[#This Row],[Nó]],$B$7:B168,detalhe_carro1[[#This Row],[Numero Voltas]],$L$7:L168,1)</f>
        <v>1069</v>
      </c>
      <c r="O169" s="3">
        <f>IF(OR(detalhe_carro1[[#This Row],[Ultima Chegada]]=0,detalhe_carro1[[#This Row],[Chegada]]=0),"",detalhe_carro1[[#This Row],[Hora Inicio]]-detalhe_carro1[[#This Row],[Ultima Chegada]])</f>
        <v>120</v>
      </c>
      <c r="P169" s="3">
        <f>IF(detalhe_carro1[[#This Row],[Tipo]]="Visitar Nó",((detalhe_carro1[[#This Row],[Hora Fim]]-detalhe_carro1[[#This Row],[Hora Inicio]])/60*velocidade_nos),0)</f>
        <v>0</v>
      </c>
      <c r="Q169" s="29">
        <f>detalhe_carro1[[#This Row],[Kms Nós]]+detalhe_carro1[[#This Row],[kms]]</f>
        <v>0</v>
      </c>
      <c r="S169" s="20">
        <v>3</v>
      </c>
      <c r="T169" s="38">
        <v>2</v>
      </c>
      <c r="U169" s="38">
        <v>7</v>
      </c>
      <c r="V169" s="38" t="s">
        <v>301</v>
      </c>
      <c r="W169" s="30">
        <v>470</v>
      </c>
      <c r="X169" s="30">
        <v>470</v>
      </c>
      <c r="Y169" s="30">
        <v>436</v>
      </c>
      <c r="Z169" s="39">
        <v>0.61805555555555558</v>
      </c>
      <c r="AA169" s="39">
        <v>0.61805555555555558</v>
      </c>
      <c r="AB169" s="39">
        <v>0.59444444444444444</v>
      </c>
      <c r="AC1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70" spans="2:29" x14ac:dyDescent="0.25">
      <c r="B170" s="3">
        <v>2</v>
      </c>
      <c r="C170">
        <v>2</v>
      </c>
      <c r="D170">
        <v>5</v>
      </c>
      <c r="E170" s="29" t="s">
        <v>215</v>
      </c>
      <c r="F170" s="3">
        <v>1193</v>
      </c>
      <c r="G170" s="3">
        <v>1193</v>
      </c>
      <c r="H170" s="29" t="s">
        <v>44</v>
      </c>
      <c r="J170" s="7">
        <v>0.12013888888888889</v>
      </c>
      <c r="K170" s="7">
        <v>0.12013888888888889</v>
      </c>
      <c r="L170" s="3">
        <f t="shared" si="4"/>
        <v>1</v>
      </c>
      <c r="M170" s="3">
        <f t="shared" si="5"/>
        <v>1</v>
      </c>
      <c r="N170" s="29">
        <f>_xlfn.MAXIFS($G$7:G169,$E$7:E169,detalhe_carro1[[#This Row],[Nó]],$B$7:B169,detalhe_carro1[[#This Row],[Numero Voltas]],$L$7:L169,1)</f>
        <v>1065</v>
      </c>
      <c r="O170" s="3">
        <f>IF(OR(detalhe_carro1[[#This Row],[Ultima Chegada]]=0,detalhe_carro1[[#This Row],[Chegada]]=0),"",detalhe_carro1[[#This Row],[Hora Inicio]]-detalhe_carro1[[#This Row],[Ultima Chegada]])</f>
        <v>128</v>
      </c>
      <c r="P170" s="3">
        <f>IF(detalhe_carro1[[#This Row],[Tipo]]="Visitar Nó",((detalhe_carro1[[#This Row],[Hora Fim]]-detalhe_carro1[[#This Row],[Hora Inicio]])/60*velocidade_nos),0)</f>
        <v>0</v>
      </c>
      <c r="Q170" s="29">
        <f>detalhe_carro1[[#This Row],[Kms Nós]]+detalhe_carro1[[#This Row],[kms]]</f>
        <v>0</v>
      </c>
      <c r="S170" s="20">
        <v>3</v>
      </c>
      <c r="T170" s="38">
        <v>2</v>
      </c>
      <c r="U170" s="38">
        <v>6</v>
      </c>
      <c r="V170" s="38" t="s">
        <v>300</v>
      </c>
      <c r="W170" s="30">
        <v>473</v>
      </c>
      <c r="X170" s="30">
        <v>473</v>
      </c>
      <c r="Y170" s="30">
        <v>433</v>
      </c>
      <c r="Z170" s="39">
        <v>0.62013888888888891</v>
      </c>
      <c r="AA170" s="39">
        <v>0.62013888888888891</v>
      </c>
      <c r="AB170" s="39">
        <v>0.59236111111111112</v>
      </c>
      <c r="AC1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row>
    <row r="171" spans="2:29" x14ac:dyDescent="0.25">
      <c r="B171" s="3">
        <v>2</v>
      </c>
      <c r="C171">
        <v>2</v>
      </c>
      <c r="D171">
        <v>4</v>
      </c>
      <c r="E171" s="29" t="s">
        <v>2</v>
      </c>
      <c r="F171" s="3">
        <v>1196</v>
      </c>
      <c r="G171" s="3">
        <v>1196</v>
      </c>
      <c r="H171" s="29" t="s">
        <v>44</v>
      </c>
      <c r="J171" s="7">
        <v>0.12222222222222222</v>
      </c>
      <c r="K171" s="7">
        <v>0.12222222222222222</v>
      </c>
      <c r="L171" s="3">
        <f t="shared" si="4"/>
        <v>0</v>
      </c>
      <c r="M171" s="3">
        <f t="shared" si="5"/>
        <v>1</v>
      </c>
      <c r="N171" s="29">
        <f>_xlfn.MAXIFS($G$7:G170,$E$7:E170,detalhe_carro1[[#This Row],[Nó]],$B$7:B170,detalhe_carro1[[#This Row],[Numero Voltas]],$L$7:L170,1)</f>
        <v>1062</v>
      </c>
      <c r="O171" s="3">
        <f>IF(OR(detalhe_carro1[[#This Row],[Ultima Chegada]]=0,detalhe_carro1[[#This Row],[Chegada]]=0),"",detalhe_carro1[[#This Row],[Hora Inicio]]-detalhe_carro1[[#This Row],[Ultima Chegada]])</f>
        <v>134</v>
      </c>
      <c r="P171" s="3">
        <f>IF(detalhe_carro1[[#This Row],[Tipo]]="Visitar Nó",((detalhe_carro1[[#This Row],[Hora Fim]]-detalhe_carro1[[#This Row],[Hora Inicio]])/60*velocidade_nos),0)</f>
        <v>0</v>
      </c>
      <c r="Q171" s="29">
        <f>detalhe_carro1[[#This Row],[Kms Nós]]+detalhe_carro1[[#This Row],[kms]]</f>
        <v>0</v>
      </c>
      <c r="S171" s="20">
        <v>3</v>
      </c>
      <c r="T171" s="38">
        <v>2</v>
      </c>
      <c r="U171" s="38">
        <v>5</v>
      </c>
      <c r="V171" s="38" t="s">
        <v>215</v>
      </c>
      <c r="W171" s="30">
        <v>477</v>
      </c>
      <c r="X171" s="30">
        <v>477</v>
      </c>
      <c r="Y171" s="30">
        <v>429</v>
      </c>
      <c r="Z171" s="39">
        <v>0.62291666666666667</v>
      </c>
      <c r="AA171" s="39">
        <v>0.62291666666666667</v>
      </c>
      <c r="AB171" s="39">
        <v>0.58958333333333335</v>
      </c>
      <c r="AC1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row>
    <row r="172" spans="2:29" x14ac:dyDescent="0.25">
      <c r="B172" s="3">
        <v>2</v>
      </c>
      <c r="C172">
        <v>2</v>
      </c>
      <c r="D172">
        <v>4</v>
      </c>
      <c r="E172" s="29" t="s">
        <v>2</v>
      </c>
      <c r="F172" s="3">
        <v>1196</v>
      </c>
      <c r="G172" s="3">
        <v>1209</v>
      </c>
      <c r="H172" s="29" t="s">
        <v>43</v>
      </c>
      <c r="J172" s="7">
        <v>0.12222222222222222</v>
      </c>
      <c r="K172" s="7">
        <v>0.13125000000000001</v>
      </c>
      <c r="L172" s="3">
        <f t="shared" si="4"/>
        <v>1</v>
      </c>
      <c r="M172" s="3">
        <f t="shared" si="5"/>
        <v>0</v>
      </c>
      <c r="N172" s="29">
        <f>_xlfn.MAXIFS($G$7:G171,$E$7:E171,detalhe_carro1[[#This Row],[Nó]],$B$7:B171,detalhe_carro1[[#This Row],[Numero Voltas]],$L$7:L171,1)</f>
        <v>1062</v>
      </c>
      <c r="O172" s="3" t="str">
        <f>IF(OR(detalhe_carro1[[#This Row],[Ultima Chegada]]=0,detalhe_carro1[[#This Row],[Chegada]]=0),"",detalhe_carro1[[#This Row],[Hora Inicio]]-detalhe_carro1[[#This Row],[Ultima Chegada]])</f>
        <v/>
      </c>
      <c r="P172" s="3">
        <f>IF(detalhe_carro1[[#This Row],[Tipo]]="Visitar Nó",((detalhe_carro1[[#This Row],[Hora Fim]]-detalhe_carro1[[#This Row],[Hora Inicio]])/60*velocidade_nos),0)</f>
        <v>6.5</v>
      </c>
      <c r="Q172" s="29">
        <f>detalhe_carro1[[#This Row],[Kms Nós]]+detalhe_carro1[[#This Row],[kms]]</f>
        <v>6.5</v>
      </c>
      <c r="S172" s="20">
        <v>3</v>
      </c>
      <c r="T172" s="38">
        <v>2</v>
      </c>
      <c r="U172" s="38">
        <v>4</v>
      </c>
      <c r="V172" s="38" t="s">
        <v>2</v>
      </c>
      <c r="W172" s="30">
        <v>480</v>
      </c>
      <c r="X172" s="30">
        <v>480</v>
      </c>
      <c r="Y172" s="30">
        <v>426</v>
      </c>
      <c r="Z172" s="39">
        <v>0.625</v>
      </c>
      <c r="AA172" s="39">
        <v>0.625</v>
      </c>
      <c r="AB172" s="39">
        <v>0.58750000000000002</v>
      </c>
      <c r="AC1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v>
      </c>
    </row>
    <row r="173" spans="2:29" x14ac:dyDescent="0.25">
      <c r="B173" s="3">
        <v>2</v>
      </c>
      <c r="C173">
        <v>2</v>
      </c>
      <c r="D173">
        <v>3</v>
      </c>
      <c r="E173" s="29" t="s">
        <v>208</v>
      </c>
      <c r="F173" s="3">
        <v>1214</v>
      </c>
      <c r="G173" s="3">
        <v>1214</v>
      </c>
      <c r="H173" s="29" t="s">
        <v>44</v>
      </c>
      <c r="J173" s="7">
        <v>0.13472222222222222</v>
      </c>
      <c r="K173" s="7">
        <v>0.13472222222222222</v>
      </c>
      <c r="L173" s="3">
        <f t="shared" si="4"/>
        <v>0</v>
      </c>
      <c r="M173" s="3">
        <f t="shared" si="5"/>
        <v>1</v>
      </c>
      <c r="N173" s="29">
        <f>_xlfn.MAXIFS($G$7:G172,$E$7:E172,detalhe_carro1[[#This Row],[Nó]],$B$7:B172,detalhe_carro1[[#This Row],[Numero Voltas]],$L$7:L172,1)</f>
        <v>1044</v>
      </c>
      <c r="O173" s="3">
        <f>IF(OR(detalhe_carro1[[#This Row],[Ultima Chegada]]=0,detalhe_carro1[[#This Row],[Chegada]]=0),"",detalhe_carro1[[#This Row],[Hora Inicio]]-detalhe_carro1[[#This Row],[Ultima Chegada]])</f>
        <v>170</v>
      </c>
      <c r="P173" s="3">
        <f>IF(detalhe_carro1[[#This Row],[Tipo]]="Visitar Nó",((detalhe_carro1[[#This Row],[Hora Fim]]-detalhe_carro1[[#This Row],[Hora Inicio]])/60*velocidade_nos),0)</f>
        <v>0</v>
      </c>
      <c r="Q173" s="29">
        <f>detalhe_carro1[[#This Row],[Kms Nós]]+detalhe_carro1[[#This Row],[kms]]</f>
        <v>0</v>
      </c>
      <c r="S173" s="20">
        <v>3</v>
      </c>
      <c r="T173" s="38">
        <v>2</v>
      </c>
      <c r="U173" s="38">
        <v>4</v>
      </c>
      <c r="V173" s="38" t="s">
        <v>2</v>
      </c>
      <c r="W173" s="30">
        <v>480</v>
      </c>
      <c r="X173" s="30">
        <v>508</v>
      </c>
      <c r="Y173" s="30">
        <v>480</v>
      </c>
      <c r="Z173" s="39">
        <v>0.625</v>
      </c>
      <c r="AA173" s="39">
        <v>0.64444444444444449</v>
      </c>
      <c r="AB173" s="39">
        <v>0.625</v>
      </c>
      <c r="AC1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74" spans="2:29" x14ac:dyDescent="0.25">
      <c r="B174" s="3">
        <v>2</v>
      </c>
      <c r="C174">
        <v>2</v>
      </c>
      <c r="D174">
        <v>3</v>
      </c>
      <c r="E174" s="29" t="s">
        <v>208</v>
      </c>
      <c r="F174" s="3">
        <v>1214</v>
      </c>
      <c r="G174" s="3">
        <v>1227</v>
      </c>
      <c r="H174" s="29" t="s">
        <v>43</v>
      </c>
      <c r="J174" s="7">
        <v>0.13472222222222222</v>
      </c>
      <c r="K174" s="7">
        <v>0.14374999999999999</v>
      </c>
      <c r="L174" s="3">
        <f t="shared" si="4"/>
        <v>1</v>
      </c>
      <c r="M174" s="3">
        <f t="shared" si="5"/>
        <v>0</v>
      </c>
      <c r="N174" s="29">
        <f>_xlfn.MAXIFS($G$7:G173,$E$7:E173,detalhe_carro1[[#This Row],[Nó]],$B$7:B173,detalhe_carro1[[#This Row],[Numero Voltas]],$L$7:L173,1)</f>
        <v>1044</v>
      </c>
      <c r="O174" s="3" t="str">
        <f>IF(OR(detalhe_carro1[[#This Row],[Ultima Chegada]]=0,detalhe_carro1[[#This Row],[Chegada]]=0),"",detalhe_carro1[[#This Row],[Hora Inicio]]-detalhe_carro1[[#This Row],[Ultima Chegada]])</f>
        <v/>
      </c>
      <c r="P174" s="3">
        <f>IF(detalhe_carro1[[#This Row],[Tipo]]="Visitar Nó",((detalhe_carro1[[#This Row],[Hora Fim]]-detalhe_carro1[[#This Row],[Hora Inicio]])/60*velocidade_nos),0)</f>
        <v>6.5</v>
      </c>
      <c r="Q174" s="29">
        <f>detalhe_carro1[[#This Row],[Kms Nós]]+detalhe_carro1[[#This Row],[kms]]</f>
        <v>6.5</v>
      </c>
      <c r="S174" s="20">
        <v>3</v>
      </c>
      <c r="T174" s="38">
        <v>2</v>
      </c>
      <c r="U174" s="38">
        <v>3</v>
      </c>
      <c r="V174" s="38" t="s">
        <v>208</v>
      </c>
      <c r="W174" s="30">
        <v>513</v>
      </c>
      <c r="X174" s="30">
        <v>513</v>
      </c>
      <c r="Y174" s="30">
        <v>421</v>
      </c>
      <c r="Z174" s="39">
        <v>0.6479166666666667</v>
      </c>
      <c r="AA174" s="39">
        <v>0.6479166666666667</v>
      </c>
      <c r="AB174" s="39">
        <v>0.58402777777777781</v>
      </c>
      <c r="AC1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75" spans="2:29" x14ac:dyDescent="0.25">
      <c r="B175" s="3">
        <v>2</v>
      </c>
      <c r="C175">
        <v>2</v>
      </c>
      <c r="D175">
        <v>2</v>
      </c>
      <c r="E175" s="29" t="s">
        <v>228</v>
      </c>
      <c r="F175" s="3">
        <v>1230</v>
      </c>
      <c r="G175" s="3">
        <v>1230</v>
      </c>
      <c r="H175" s="29" t="s">
        <v>44</v>
      </c>
      <c r="J175" s="7">
        <v>0.14583333333333334</v>
      </c>
      <c r="K175" s="7">
        <v>0.14583333333333334</v>
      </c>
      <c r="L175" s="3">
        <f t="shared" si="4"/>
        <v>0</v>
      </c>
      <c r="M175" s="3">
        <f t="shared" si="5"/>
        <v>1</v>
      </c>
      <c r="N175" s="29">
        <f>_xlfn.MAXIFS($G$7:G174,$E$7:E174,detalhe_carro1[[#This Row],[Nó]],$B$7:B174,detalhe_carro1[[#This Row],[Numero Voltas]],$L$7:L174,1)</f>
        <v>1041</v>
      </c>
      <c r="O175" s="3">
        <f>IF(OR(detalhe_carro1[[#This Row],[Ultima Chegada]]=0,detalhe_carro1[[#This Row],[Chegada]]=0),"",detalhe_carro1[[#This Row],[Hora Inicio]]-detalhe_carro1[[#This Row],[Ultima Chegada]])</f>
        <v>189</v>
      </c>
      <c r="P175" s="3">
        <f>IF(detalhe_carro1[[#This Row],[Tipo]]="Visitar Nó",((detalhe_carro1[[#This Row],[Hora Fim]]-detalhe_carro1[[#This Row],[Hora Inicio]])/60*velocidade_nos),0)</f>
        <v>0</v>
      </c>
      <c r="Q175" s="29">
        <f>detalhe_carro1[[#This Row],[Kms Nós]]+detalhe_carro1[[#This Row],[kms]]</f>
        <v>0</v>
      </c>
      <c r="S175" s="20">
        <v>3</v>
      </c>
      <c r="T175" s="38">
        <v>2</v>
      </c>
      <c r="U175" s="38">
        <v>2</v>
      </c>
      <c r="V175" s="38" t="s">
        <v>228</v>
      </c>
      <c r="W175" s="30">
        <v>516</v>
      </c>
      <c r="X175" s="30">
        <v>516</v>
      </c>
      <c r="Y175" s="30">
        <v>418</v>
      </c>
      <c r="Z175" s="39">
        <v>0.65</v>
      </c>
      <c r="AA175" s="39">
        <v>0.65</v>
      </c>
      <c r="AB175" s="39">
        <v>0.58194444444444449</v>
      </c>
      <c r="AC1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row>
    <row r="176" spans="2:29" x14ac:dyDescent="0.25">
      <c r="B176" s="3">
        <v>2</v>
      </c>
      <c r="C176">
        <v>2</v>
      </c>
      <c r="D176">
        <v>2</v>
      </c>
      <c r="E176" s="29" t="s">
        <v>228</v>
      </c>
      <c r="F176" s="3">
        <v>1230</v>
      </c>
      <c r="G176" s="3">
        <v>1248</v>
      </c>
      <c r="H176" s="29" t="s">
        <v>43</v>
      </c>
      <c r="J176" s="7">
        <v>0.14583333333333334</v>
      </c>
      <c r="K176" s="7">
        <v>0.15833333333333333</v>
      </c>
      <c r="L176" s="3">
        <f t="shared" si="4"/>
        <v>1</v>
      </c>
      <c r="M176" s="3">
        <f t="shared" si="5"/>
        <v>0</v>
      </c>
      <c r="N176" s="29">
        <f>_xlfn.MAXIFS($G$7:G175,$E$7:E175,detalhe_carro1[[#This Row],[Nó]],$B$7:B175,detalhe_carro1[[#This Row],[Numero Voltas]],$L$7:L175,1)</f>
        <v>1041</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9</v>
      </c>
      <c r="Q176" s="29">
        <f>detalhe_carro1[[#This Row],[Kms Nós]]+detalhe_carro1[[#This Row],[kms]]</f>
        <v>9</v>
      </c>
      <c r="S176" s="20">
        <v>3</v>
      </c>
      <c r="T176" s="38">
        <v>2</v>
      </c>
      <c r="U176" s="38">
        <v>1</v>
      </c>
      <c r="V176" s="38" t="s">
        <v>200</v>
      </c>
      <c r="W176" s="30">
        <v>517</v>
      </c>
      <c r="X176" s="30">
        <v>517</v>
      </c>
      <c r="Y176" s="30">
        <v>417</v>
      </c>
      <c r="Z176" s="39">
        <v>0.65069444444444446</v>
      </c>
      <c r="AA176" s="39">
        <v>0.65069444444444446</v>
      </c>
      <c r="AB176" s="39">
        <v>0.58125000000000004</v>
      </c>
      <c r="AC1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row>
    <row r="177" spans="2:29" x14ac:dyDescent="0.25">
      <c r="B177" s="3">
        <v>2</v>
      </c>
      <c r="C177">
        <v>2</v>
      </c>
      <c r="D177">
        <v>1</v>
      </c>
      <c r="E177" s="29" t="s">
        <v>200</v>
      </c>
      <c r="F177" s="3">
        <v>1249</v>
      </c>
      <c r="G177" s="3">
        <v>1249</v>
      </c>
      <c r="H177" s="29" t="s">
        <v>44</v>
      </c>
      <c r="J177" s="7">
        <v>0.15902777777777777</v>
      </c>
      <c r="K177" s="7">
        <v>0.15902777777777777</v>
      </c>
      <c r="L177" s="3">
        <f t="shared" si="4"/>
        <v>0</v>
      </c>
      <c r="M177" s="3">
        <f t="shared" si="5"/>
        <v>1</v>
      </c>
      <c r="N177" s="29">
        <f>_xlfn.MAXIFS($G$7:G176,$E$7:E176,detalhe_carro1[[#This Row],[Nó]],$B$7:B176,detalhe_carro1[[#This Row],[Numero Voltas]],$L$7:L176,1)</f>
        <v>1022</v>
      </c>
      <c r="O177" s="3">
        <f>IF(OR(detalhe_carro1[[#This Row],[Ultima Chegada]]=0,detalhe_carro1[[#This Row],[Chegada]]=0),"",detalhe_carro1[[#This Row],[Hora Inicio]]-detalhe_carro1[[#This Row],[Ultima Chegada]])</f>
        <v>227</v>
      </c>
      <c r="P177" s="3">
        <f>IF(detalhe_carro1[[#This Row],[Tipo]]="Visitar Nó",((detalhe_carro1[[#This Row],[Hora Fim]]-detalhe_carro1[[#This Row],[Hora Inicio]])/60*velocidade_nos),0)</f>
        <v>0</v>
      </c>
      <c r="Q177" s="29">
        <f>detalhe_carro1[[#This Row],[Kms Nós]]+detalhe_carro1[[#This Row],[kms]]</f>
        <v>0</v>
      </c>
      <c r="S177" s="20">
        <v>3</v>
      </c>
      <c r="T177" s="38">
        <v>2</v>
      </c>
      <c r="U177" s="38">
        <v>0</v>
      </c>
      <c r="V177" s="38" t="s">
        <v>203</v>
      </c>
      <c r="W177" s="30">
        <v>519</v>
      </c>
      <c r="X177" s="30">
        <v>519</v>
      </c>
      <c r="Y177" s="30">
        <v>415</v>
      </c>
      <c r="Z177" s="39">
        <v>0.65208333333333335</v>
      </c>
      <c r="AA177" s="39">
        <v>0.65208333333333335</v>
      </c>
      <c r="AB177" s="39">
        <v>0.57986111111111116</v>
      </c>
      <c r="AC1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78" spans="2:29" x14ac:dyDescent="0.25">
      <c r="B178" s="3">
        <v>2</v>
      </c>
      <c r="C178">
        <v>2</v>
      </c>
      <c r="D178">
        <v>1</v>
      </c>
      <c r="E178" s="29" t="s">
        <v>200</v>
      </c>
      <c r="F178" s="3">
        <v>1249</v>
      </c>
      <c r="G178" s="3">
        <v>1253</v>
      </c>
      <c r="H178" s="29" t="s">
        <v>43</v>
      </c>
      <c r="J178" s="7">
        <v>0.15902777777777777</v>
      </c>
      <c r="K178" s="7">
        <v>0.16180555555555556</v>
      </c>
      <c r="L178" s="3">
        <f t="shared" si="4"/>
        <v>1</v>
      </c>
      <c r="M178" s="3">
        <f t="shared" si="5"/>
        <v>0</v>
      </c>
      <c r="N178" s="29">
        <f>_xlfn.MAXIFS($G$7:G177,$E$7:E177,detalhe_carro1[[#This Row],[Nó]],$B$7:B177,detalhe_carro1[[#This Row],[Numero Voltas]],$L$7:L177,1)</f>
        <v>1022</v>
      </c>
      <c r="O178" s="3" t="str">
        <f>IF(OR(detalhe_carro1[[#This Row],[Ultima Chegada]]=0,detalhe_carro1[[#This Row],[Chegada]]=0),"",detalhe_carro1[[#This Row],[Hora Inicio]]-detalhe_carro1[[#This Row],[Ultima Chegada]])</f>
        <v/>
      </c>
      <c r="P178" s="3">
        <f>IF(detalhe_carro1[[#This Row],[Tipo]]="Visitar Nó",((detalhe_carro1[[#This Row],[Hora Fim]]-detalhe_carro1[[#This Row],[Hora Inicio]])/60*velocidade_nos),0)</f>
        <v>2</v>
      </c>
      <c r="Q178" s="29">
        <f>detalhe_carro1[[#This Row],[Kms Nós]]+detalhe_carro1[[#This Row],[kms]]</f>
        <v>2</v>
      </c>
      <c r="S178" s="20">
        <v>3</v>
      </c>
      <c r="T178" s="38">
        <v>2</v>
      </c>
      <c r="U178" s="38">
        <v>1</v>
      </c>
      <c r="V178" s="38" t="s">
        <v>200</v>
      </c>
      <c r="W178" s="30">
        <v>521</v>
      </c>
      <c r="X178" s="30">
        <v>521</v>
      </c>
      <c r="Y178" s="30">
        <v>517</v>
      </c>
      <c r="Z178" s="39">
        <v>0.65347222222222223</v>
      </c>
      <c r="AA178" s="39">
        <v>0.65347222222222223</v>
      </c>
      <c r="AB178" s="39">
        <v>0.65069444444444446</v>
      </c>
      <c r="AC1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79" spans="2:29" x14ac:dyDescent="0.25">
      <c r="B179" s="3">
        <v>2</v>
      </c>
      <c r="C179">
        <v>2</v>
      </c>
      <c r="D179">
        <v>0</v>
      </c>
      <c r="E179" s="29" t="s">
        <v>203</v>
      </c>
      <c r="F179" s="3">
        <v>1255</v>
      </c>
      <c r="G179" s="3">
        <v>1255</v>
      </c>
      <c r="H179" s="29" t="s">
        <v>44</v>
      </c>
      <c r="J179" s="7">
        <v>0.16319444444444445</v>
      </c>
      <c r="K179" s="7">
        <v>0.16319444444444445</v>
      </c>
      <c r="L179" s="3">
        <f t="shared" si="4"/>
        <v>0</v>
      </c>
      <c r="M179" s="3">
        <f t="shared" si="5"/>
        <v>1</v>
      </c>
      <c r="N179" s="29">
        <f>_xlfn.MAXIFS($G$7:G178,$E$7:E178,detalhe_carro1[[#This Row],[Nó]],$B$7:B178,detalhe_carro1[[#This Row],[Numero Voltas]],$L$7:L178,1)</f>
        <v>1016</v>
      </c>
      <c r="O179" s="3">
        <f>IF(OR(detalhe_carro1[[#This Row],[Ultima Chegada]]=0,detalhe_carro1[[#This Row],[Chegada]]=0),"",detalhe_carro1[[#This Row],[Hora Inicio]]-detalhe_carro1[[#This Row],[Ultima Chegada]])</f>
        <v>239</v>
      </c>
      <c r="P179" s="3">
        <f>IF(detalhe_carro1[[#This Row],[Tipo]]="Visitar Nó",((detalhe_carro1[[#This Row],[Hora Fim]]-detalhe_carro1[[#This Row],[Hora Inicio]])/60*velocidade_nos),0)</f>
        <v>0</v>
      </c>
      <c r="Q179" s="29">
        <f>detalhe_carro1[[#This Row],[Kms Nós]]+detalhe_carro1[[#This Row],[kms]]</f>
        <v>0</v>
      </c>
      <c r="S179" s="20">
        <v>3</v>
      </c>
      <c r="T179" s="38">
        <v>2</v>
      </c>
      <c r="U179" s="38">
        <v>2</v>
      </c>
      <c r="V179" s="38" t="s">
        <v>228</v>
      </c>
      <c r="W179" s="30">
        <v>522</v>
      </c>
      <c r="X179" s="30">
        <v>522</v>
      </c>
      <c r="Y179" s="30">
        <v>516</v>
      </c>
      <c r="Z179" s="39">
        <v>0.65416666666666667</v>
      </c>
      <c r="AA179" s="39">
        <v>0.65416666666666667</v>
      </c>
      <c r="AB179" s="39">
        <v>0.65</v>
      </c>
      <c r="AC1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180" spans="2:29" x14ac:dyDescent="0.25">
      <c r="B180" s="3">
        <v>2</v>
      </c>
      <c r="C180">
        <v>2</v>
      </c>
      <c r="D180">
        <v>0</v>
      </c>
      <c r="E180" s="29" t="s">
        <v>203</v>
      </c>
      <c r="F180" s="3">
        <v>1255</v>
      </c>
      <c r="G180" s="3">
        <v>1284</v>
      </c>
      <c r="H180" s="29" t="s">
        <v>45</v>
      </c>
      <c r="J180" s="7">
        <v>0.16319444444444445</v>
      </c>
      <c r="K180" s="7">
        <v>0.18333333333333332</v>
      </c>
      <c r="L180" s="3">
        <f t="shared" si="4"/>
        <v>0</v>
      </c>
      <c r="M180" s="3">
        <f t="shared" si="5"/>
        <v>0</v>
      </c>
      <c r="N180" s="29">
        <f>_xlfn.MAXIFS($G$7:G179,$E$7:E179,detalhe_carro1[[#This Row],[Nó]],$B$7:B179,detalhe_carro1[[#This Row],[Numero Voltas]],$L$7:L179,1)</f>
        <v>1016</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0</v>
      </c>
      <c r="Q180" s="29">
        <f>detalhe_carro1[[#This Row],[Kms Nós]]+detalhe_carro1[[#This Row],[kms]]</f>
        <v>0</v>
      </c>
      <c r="S180" s="20">
        <v>3</v>
      </c>
      <c r="T180" s="38">
        <v>2</v>
      </c>
      <c r="U180" s="38">
        <v>3</v>
      </c>
      <c r="V180" s="38" t="s">
        <v>208</v>
      </c>
      <c r="W180" s="30">
        <v>525</v>
      </c>
      <c r="X180" s="30">
        <v>525</v>
      </c>
      <c r="Y180" s="30">
        <v>513</v>
      </c>
      <c r="Z180" s="39">
        <v>0.65625</v>
      </c>
      <c r="AA180" s="39">
        <v>0.65625</v>
      </c>
      <c r="AB180" s="39">
        <v>0.6479166666666667</v>
      </c>
      <c r="AC1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181" spans="2:29" x14ac:dyDescent="0.25">
      <c r="B181" s="3">
        <v>2</v>
      </c>
      <c r="C181">
        <v>2</v>
      </c>
      <c r="D181">
        <v>0</v>
      </c>
      <c r="E181" s="29" t="s">
        <v>203</v>
      </c>
      <c r="F181" s="3">
        <v>1284</v>
      </c>
      <c r="G181" s="3">
        <v>1314</v>
      </c>
      <c r="H181" s="29" t="s">
        <v>45</v>
      </c>
      <c r="J181" s="7">
        <v>0.18333333333333332</v>
      </c>
      <c r="K181" s="7">
        <v>0.20416666666666666</v>
      </c>
      <c r="L181" s="3">
        <f t="shared" si="4"/>
        <v>0</v>
      </c>
      <c r="M181" s="3">
        <f t="shared" si="5"/>
        <v>0</v>
      </c>
      <c r="N181" s="29">
        <f>_xlfn.MAXIFS($G$7:G180,$E$7:E180,detalhe_carro1[[#This Row],[Nó]],$B$7:B180,detalhe_carro1[[#This Row],[Numero Voltas]],$L$7:L180,1)</f>
        <v>1016</v>
      </c>
      <c r="O181" s="3" t="str">
        <f>IF(OR(detalhe_carro1[[#This Row],[Ultima Chegada]]=0,detalhe_carro1[[#This Row],[Chegada]]=0),"",detalhe_carro1[[#This Row],[Hora Inicio]]-detalhe_carro1[[#This Row],[Ultima Chegada]])</f>
        <v/>
      </c>
      <c r="P181" s="3">
        <f>IF(detalhe_carro1[[#This Row],[Tipo]]="Visitar Nó",((detalhe_carro1[[#This Row],[Hora Fim]]-detalhe_carro1[[#This Row],[Hora Inicio]])/60*velocidade_nos),0)</f>
        <v>0</v>
      </c>
      <c r="Q181" s="29">
        <f>detalhe_carro1[[#This Row],[Kms Nós]]+detalhe_carro1[[#This Row],[kms]]</f>
        <v>0</v>
      </c>
      <c r="S181" s="20">
        <v>3</v>
      </c>
      <c r="T181" s="38">
        <v>2</v>
      </c>
      <c r="U181" s="38">
        <v>4</v>
      </c>
      <c r="V181" s="38" t="s">
        <v>2</v>
      </c>
      <c r="W181" s="30">
        <v>530</v>
      </c>
      <c r="X181" s="30">
        <v>583</v>
      </c>
      <c r="Y181" s="30">
        <v>508</v>
      </c>
      <c r="Z181" s="39">
        <v>0.65972222222222221</v>
      </c>
      <c r="AA181" s="39">
        <v>0.69652777777777775</v>
      </c>
      <c r="AB181" s="39">
        <v>0.64444444444444449</v>
      </c>
      <c r="AC1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182" spans="2:29" x14ac:dyDescent="0.25">
      <c r="B182" s="3">
        <v>2</v>
      </c>
      <c r="C182">
        <v>2</v>
      </c>
      <c r="D182">
        <v>0</v>
      </c>
      <c r="E182" s="29" t="s">
        <v>203</v>
      </c>
      <c r="F182" s="3">
        <v>1314</v>
      </c>
      <c r="G182" s="3">
        <v>1314</v>
      </c>
      <c r="H182" s="29" t="s">
        <v>44</v>
      </c>
      <c r="J182" s="7">
        <v>0.20416666666666666</v>
      </c>
      <c r="K182" s="7">
        <v>0.20416666666666666</v>
      </c>
      <c r="L182" s="3">
        <f t="shared" si="4"/>
        <v>0</v>
      </c>
      <c r="M182" s="3">
        <f t="shared" si="5"/>
        <v>0</v>
      </c>
      <c r="N182" s="29">
        <f>_xlfn.MAXIFS($G$7:G181,$E$7:E181,detalhe_carro1[[#This Row],[Nó]],$B$7:B181,detalhe_carro1[[#This Row],[Numero Voltas]],$L$7:L181,1)</f>
        <v>1016</v>
      </c>
      <c r="O182" s="3" t="str">
        <f>IF(OR(detalhe_carro1[[#This Row],[Ultima Chegada]]=0,detalhe_carro1[[#This Row],[Chegada]]=0),"",detalhe_carro1[[#This Row],[Hora Inicio]]-detalhe_carro1[[#This Row],[Ultima Chegada]])</f>
        <v/>
      </c>
      <c r="P182" s="3">
        <f>IF(detalhe_carro1[[#This Row],[Tipo]]="Visitar Nó",((detalhe_carro1[[#This Row],[Hora Fim]]-detalhe_carro1[[#This Row],[Hora Inicio]])/60*velocidade_nos),0)</f>
        <v>0</v>
      </c>
      <c r="Q182" s="29">
        <f>detalhe_carro1[[#This Row],[Kms Nós]]+detalhe_carro1[[#This Row],[kms]]</f>
        <v>0</v>
      </c>
      <c r="S182" s="20">
        <v>3</v>
      </c>
      <c r="T182" s="38">
        <v>2</v>
      </c>
      <c r="U182" s="38">
        <v>5</v>
      </c>
      <c r="V182" s="38" t="s">
        <v>215</v>
      </c>
      <c r="W182" s="30">
        <v>586</v>
      </c>
      <c r="X182" s="30">
        <v>586</v>
      </c>
      <c r="Y182" s="30">
        <v>477</v>
      </c>
      <c r="Z182" s="39">
        <v>0.69861111111111107</v>
      </c>
      <c r="AA182" s="39">
        <v>0.69861111111111107</v>
      </c>
      <c r="AB182" s="39">
        <v>0.62291666666666667</v>
      </c>
      <c r="AC1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1.8166666666666667</v>
      </c>
    </row>
    <row r="183" spans="2:29" x14ac:dyDescent="0.25">
      <c r="B183" s="3">
        <v>2</v>
      </c>
      <c r="C183">
        <v>2</v>
      </c>
      <c r="D183">
        <v>0</v>
      </c>
      <c r="E183" s="29" t="s">
        <v>203</v>
      </c>
      <c r="F183" s="3">
        <v>1314</v>
      </c>
      <c r="G183" s="3">
        <v>1322</v>
      </c>
      <c r="H183" s="29" t="s">
        <v>43</v>
      </c>
      <c r="J183" s="7">
        <v>0.20416666666666666</v>
      </c>
      <c r="K183" s="7">
        <v>0.20972222222222223</v>
      </c>
      <c r="L183" s="3">
        <f t="shared" si="4"/>
        <v>1</v>
      </c>
      <c r="M183" s="3">
        <f t="shared" si="5"/>
        <v>0</v>
      </c>
      <c r="N183" s="29">
        <f>_xlfn.MAXIFS($G$7:G182,$E$7:E182,detalhe_carro1[[#This Row],[Nó]],$B$7:B182,detalhe_carro1[[#This Row],[Numero Voltas]],$L$7:L182,1)</f>
        <v>1016</v>
      </c>
      <c r="O183" s="3" t="str">
        <f>IF(OR(detalhe_carro1[[#This Row],[Ultima Chegada]]=0,detalhe_carro1[[#This Row],[Chegada]]=0),"",detalhe_carro1[[#This Row],[Hora Inicio]]-detalhe_carro1[[#This Row],[Ultima Chegada]])</f>
        <v/>
      </c>
      <c r="P183" s="3">
        <f>IF(detalhe_carro1[[#This Row],[Tipo]]="Visitar Nó",((detalhe_carro1[[#This Row],[Hora Fim]]-detalhe_carro1[[#This Row],[Hora Inicio]])/60*velocidade_nos),0)</f>
        <v>4</v>
      </c>
      <c r="Q183" s="29">
        <f>detalhe_carro1[[#This Row],[Kms Nós]]+detalhe_carro1[[#This Row],[kms]]</f>
        <v>4</v>
      </c>
      <c r="S183" s="20">
        <v>3</v>
      </c>
      <c r="T183" s="38">
        <v>2</v>
      </c>
      <c r="U183" s="38">
        <v>6</v>
      </c>
      <c r="V183" s="38" t="s">
        <v>300</v>
      </c>
      <c r="W183" s="30">
        <v>590</v>
      </c>
      <c r="X183" s="30">
        <v>590</v>
      </c>
      <c r="Y183" s="30">
        <v>473</v>
      </c>
      <c r="Z183" s="39">
        <v>0.70138888888888884</v>
      </c>
      <c r="AA183" s="39">
        <v>0.70138888888888884</v>
      </c>
      <c r="AB183" s="39">
        <v>0.62013888888888891</v>
      </c>
      <c r="AC1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1.95</v>
      </c>
    </row>
    <row r="184" spans="2:29" x14ac:dyDescent="0.25">
      <c r="B184" s="3">
        <v>2</v>
      </c>
      <c r="C184">
        <v>2</v>
      </c>
      <c r="D184">
        <v>1</v>
      </c>
      <c r="E184" s="29" t="s">
        <v>200</v>
      </c>
      <c r="F184" s="3">
        <v>1324</v>
      </c>
      <c r="G184" s="3">
        <v>1324</v>
      </c>
      <c r="H184" s="29" t="s">
        <v>44</v>
      </c>
      <c r="J184" s="7">
        <v>0.21111111111111111</v>
      </c>
      <c r="K184" s="7">
        <v>0.21111111111111111</v>
      </c>
      <c r="L184" s="3">
        <f t="shared" si="4"/>
        <v>1</v>
      </c>
      <c r="M184" s="3">
        <f t="shared" si="5"/>
        <v>1</v>
      </c>
      <c r="N184" s="29">
        <f>_xlfn.MAXIFS($G$7:G183,$E$7:E183,detalhe_carro1[[#This Row],[Nó]],$B$7:B183,detalhe_carro1[[#This Row],[Numero Voltas]],$L$7:L183,1)</f>
        <v>1253</v>
      </c>
      <c r="O184" s="3">
        <f>IF(OR(detalhe_carro1[[#This Row],[Ultima Chegada]]=0,detalhe_carro1[[#This Row],[Chegada]]=0),"",detalhe_carro1[[#This Row],[Hora Inicio]]-detalhe_carro1[[#This Row],[Ultima Chegada]])</f>
        <v>71</v>
      </c>
      <c r="P184" s="3">
        <f>IF(detalhe_carro1[[#This Row],[Tipo]]="Visitar Nó",((detalhe_carro1[[#This Row],[Hora Fim]]-detalhe_carro1[[#This Row],[Hora Inicio]])/60*velocidade_nos),0)</f>
        <v>0</v>
      </c>
      <c r="Q184" s="29">
        <f>detalhe_carro1[[#This Row],[Kms Nós]]+detalhe_carro1[[#This Row],[kms]]</f>
        <v>0</v>
      </c>
      <c r="S184" s="20">
        <v>3</v>
      </c>
      <c r="T184" s="38">
        <v>2</v>
      </c>
      <c r="U184" s="38">
        <v>7</v>
      </c>
      <c r="V184" s="38" t="s">
        <v>301</v>
      </c>
      <c r="W184" s="30">
        <v>593</v>
      </c>
      <c r="X184" s="30">
        <v>593</v>
      </c>
      <c r="Y184" s="30">
        <v>470</v>
      </c>
      <c r="Z184" s="39">
        <v>0.70347222222222228</v>
      </c>
      <c r="AA184" s="39">
        <v>0.70347222222222228</v>
      </c>
      <c r="AB184" s="39">
        <v>0.61805555555555558</v>
      </c>
      <c r="AC1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2.0499999999999998</v>
      </c>
    </row>
    <row r="185" spans="2:29" x14ac:dyDescent="0.25">
      <c r="B185" s="3">
        <v>2</v>
      </c>
      <c r="C185">
        <v>2</v>
      </c>
      <c r="D185">
        <v>2</v>
      </c>
      <c r="E185" s="29" t="s">
        <v>228</v>
      </c>
      <c r="F185" s="3">
        <v>1325</v>
      </c>
      <c r="G185" s="3">
        <v>1325</v>
      </c>
      <c r="H185" s="29" t="s">
        <v>44</v>
      </c>
      <c r="J185" s="7">
        <v>0.21180555555555555</v>
      </c>
      <c r="K185" s="7">
        <v>0.21180555555555555</v>
      </c>
      <c r="L185" s="3">
        <f t="shared" si="4"/>
        <v>1</v>
      </c>
      <c r="M185" s="3">
        <f t="shared" si="5"/>
        <v>1</v>
      </c>
      <c r="N185" s="29">
        <f>_xlfn.MAXIFS($G$7:G184,$E$7:E184,detalhe_carro1[[#This Row],[Nó]],$B$7:B184,detalhe_carro1[[#This Row],[Numero Voltas]],$L$7:L184,1)</f>
        <v>1248</v>
      </c>
      <c r="O185" s="3">
        <f>IF(OR(detalhe_carro1[[#This Row],[Ultima Chegada]]=0,detalhe_carro1[[#This Row],[Chegada]]=0),"",detalhe_carro1[[#This Row],[Hora Inicio]]-detalhe_carro1[[#This Row],[Ultima Chegada]])</f>
        <v>77</v>
      </c>
      <c r="P185" s="3">
        <f>IF(detalhe_carro1[[#This Row],[Tipo]]="Visitar Nó",((detalhe_carro1[[#This Row],[Hora Fim]]-detalhe_carro1[[#This Row],[Hora Inicio]])/60*velocidade_nos),0)</f>
        <v>0</v>
      </c>
      <c r="Q185" s="29">
        <f>detalhe_carro1[[#This Row],[Kms Nós]]+detalhe_carro1[[#This Row],[kms]]</f>
        <v>0</v>
      </c>
      <c r="S185" s="20">
        <v>3</v>
      </c>
      <c r="T185" s="38">
        <v>2</v>
      </c>
      <c r="U185" s="38">
        <v>8</v>
      </c>
      <c r="V185" s="38" t="s">
        <v>302</v>
      </c>
      <c r="W185" s="30">
        <v>599</v>
      </c>
      <c r="X185" s="30">
        <v>599</v>
      </c>
      <c r="Y185" s="30">
        <v>464</v>
      </c>
      <c r="Z185" s="39">
        <v>0.70763888888888893</v>
      </c>
      <c r="AA185" s="39">
        <v>0.70763888888888893</v>
      </c>
      <c r="AB185" s="39">
        <v>0.61388888888888893</v>
      </c>
      <c r="AC1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2.25</v>
      </c>
    </row>
    <row r="186" spans="2:29" x14ac:dyDescent="0.25">
      <c r="B186" s="3">
        <v>2</v>
      </c>
      <c r="C186">
        <v>2</v>
      </c>
      <c r="D186">
        <v>3</v>
      </c>
      <c r="E186" s="29" t="s">
        <v>208</v>
      </c>
      <c r="F186" s="3">
        <v>1328</v>
      </c>
      <c r="G186" s="3">
        <v>1328</v>
      </c>
      <c r="H186" s="29" t="s">
        <v>44</v>
      </c>
      <c r="J186" s="7">
        <v>0.21388888888888888</v>
      </c>
      <c r="K186" s="7">
        <v>0.21388888888888888</v>
      </c>
      <c r="L186" s="3">
        <f t="shared" si="4"/>
        <v>0</v>
      </c>
      <c r="M186" s="3">
        <f t="shared" si="5"/>
        <v>1</v>
      </c>
      <c r="N186" s="29">
        <f>_xlfn.MAXIFS($G$7:G185,$E$7:E185,detalhe_carro1[[#This Row],[Nó]],$B$7:B185,detalhe_carro1[[#This Row],[Numero Voltas]],$L$7:L185,1)</f>
        <v>1227</v>
      </c>
      <c r="O186" s="3">
        <f>IF(OR(detalhe_carro1[[#This Row],[Ultima Chegada]]=0,detalhe_carro1[[#This Row],[Chegada]]=0),"",detalhe_carro1[[#This Row],[Hora Inicio]]-detalhe_carro1[[#This Row],[Ultima Chegada]])</f>
        <v>101</v>
      </c>
      <c r="P186" s="3">
        <f>IF(detalhe_carro1[[#This Row],[Tipo]]="Visitar Nó",((detalhe_carro1[[#This Row],[Hora Fim]]-detalhe_carro1[[#This Row],[Hora Inicio]])/60*velocidade_nos),0)</f>
        <v>0</v>
      </c>
      <c r="Q186" s="29">
        <f>detalhe_carro1[[#This Row],[Kms Nós]]+detalhe_carro1[[#This Row],[kms]]</f>
        <v>0</v>
      </c>
      <c r="S186" s="20">
        <v>3</v>
      </c>
      <c r="T186" s="38">
        <v>2</v>
      </c>
      <c r="U186" s="38">
        <v>9</v>
      </c>
      <c r="V186" s="38" t="s">
        <v>303</v>
      </c>
      <c r="W186" s="30">
        <v>605</v>
      </c>
      <c r="X186" s="30">
        <v>615</v>
      </c>
      <c r="Y186" s="30">
        <v>458</v>
      </c>
      <c r="Z186" s="39">
        <v>0.71180555555555558</v>
      </c>
      <c r="AA186" s="39">
        <v>0.71875</v>
      </c>
      <c r="AB186" s="39">
        <v>0.60972222222222228</v>
      </c>
      <c r="AC1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87" spans="2:29" x14ac:dyDescent="0.25">
      <c r="B187" s="3">
        <v>2</v>
      </c>
      <c r="C187">
        <v>2</v>
      </c>
      <c r="D187">
        <v>3</v>
      </c>
      <c r="E187" s="29" t="s">
        <v>208</v>
      </c>
      <c r="F187" s="3">
        <v>1328</v>
      </c>
      <c r="G187" s="3">
        <v>1341</v>
      </c>
      <c r="H187" s="29" t="s">
        <v>43</v>
      </c>
      <c r="J187" s="7">
        <v>0.21388888888888888</v>
      </c>
      <c r="K187" s="7">
        <v>0.22291666666666668</v>
      </c>
      <c r="L187" s="3">
        <f t="shared" si="4"/>
        <v>1</v>
      </c>
      <c r="M187" s="3">
        <f t="shared" si="5"/>
        <v>0</v>
      </c>
      <c r="N187" s="29">
        <f>_xlfn.MAXIFS($G$7:G186,$E$7:E186,detalhe_carro1[[#This Row],[Nó]],$B$7:B186,detalhe_carro1[[#This Row],[Numero Voltas]],$L$7:L186,1)</f>
        <v>1227</v>
      </c>
      <c r="O187" s="3" t="str">
        <f>IF(OR(detalhe_carro1[[#This Row],[Ultima Chegada]]=0,detalhe_carro1[[#This Row],[Chegada]]=0),"",detalhe_carro1[[#This Row],[Hora Inicio]]-detalhe_carro1[[#This Row],[Ultima Chegada]])</f>
        <v/>
      </c>
      <c r="P187" s="3">
        <f>IF(detalhe_carro1[[#This Row],[Tipo]]="Visitar Nó",((detalhe_carro1[[#This Row],[Hora Fim]]-detalhe_carro1[[#This Row],[Hora Inicio]])/60*velocidade_nos),0)</f>
        <v>6.5</v>
      </c>
      <c r="Q187" s="29">
        <f>detalhe_carro1[[#This Row],[Kms Nós]]+detalhe_carro1[[#This Row],[kms]]</f>
        <v>6.5</v>
      </c>
      <c r="S187" s="20">
        <v>3</v>
      </c>
      <c r="T187" s="38">
        <v>2</v>
      </c>
      <c r="U187" s="38">
        <v>8</v>
      </c>
      <c r="V187" s="38" t="s">
        <v>302</v>
      </c>
      <c r="W187" s="30">
        <v>621</v>
      </c>
      <c r="X187" s="30">
        <v>681</v>
      </c>
      <c r="Y187" s="30">
        <v>599</v>
      </c>
      <c r="Z187" s="39">
        <v>0.72291666666666665</v>
      </c>
      <c r="AA187" s="39">
        <v>0.76458333333333328</v>
      </c>
      <c r="AB187" s="39">
        <v>0.70763888888888893</v>
      </c>
      <c r="AC1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188" spans="2:29" x14ac:dyDescent="0.25">
      <c r="B188" s="3">
        <v>2</v>
      </c>
      <c r="C188">
        <v>2</v>
      </c>
      <c r="D188">
        <v>4</v>
      </c>
      <c r="E188" s="29" t="s">
        <v>2</v>
      </c>
      <c r="F188" s="3">
        <v>1346</v>
      </c>
      <c r="G188" s="3">
        <v>1346</v>
      </c>
      <c r="H188" s="29" t="s">
        <v>44</v>
      </c>
      <c r="J188" s="7">
        <v>0.22638888888888889</v>
      </c>
      <c r="K188" s="7">
        <v>0.22638888888888889</v>
      </c>
      <c r="L188" s="3">
        <f t="shared" si="4"/>
        <v>1</v>
      </c>
      <c r="M188" s="3">
        <f t="shared" si="5"/>
        <v>1</v>
      </c>
      <c r="N188" s="29">
        <f>_xlfn.MAXIFS($G$7:G187,$E$7:E187,detalhe_carro1[[#This Row],[Nó]],$B$7:B187,detalhe_carro1[[#This Row],[Numero Voltas]],$L$7:L187,1)</f>
        <v>1209</v>
      </c>
      <c r="O188" s="3">
        <f>IF(OR(detalhe_carro1[[#This Row],[Ultima Chegada]]=0,detalhe_carro1[[#This Row],[Chegada]]=0),"",detalhe_carro1[[#This Row],[Hora Inicio]]-detalhe_carro1[[#This Row],[Ultima Chegada]])</f>
        <v>137</v>
      </c>
      <c r="P188" s="3">
        <f>IF(detalhe_carro1[[#This Row],[Tipo]]="Visitar Nó",((detalhe_carro1[[#This Row],[Hora Fim]]-detalhe_carro1[[#This Row],[Hora Inicio]])/60*velocidade_nos),0)</f>
        <v>0</v>
      </c>
      <c r="Q188" s="29">
        <f>detalhe_carro1[[#This Row],[Kms Nós]]+detalhe_carro1[[#This Row],[kms]]</f>
        <v>0</v>
      </c>
      <c r="S188" s="20">
        <v>3</v>
      </c>
      <c r="T188" s="38">
        <v>2</v>
      </c>
      <c r="U188" s="38">
        <v>7</v>
      </c>
      <c r="V188" s="38" t="s">
        <v>301</v>
      </c>
      <c r="W188" s="30">
        <v>687</v>
      </c>
      <c r="X188" s="30">
        <v>697</v>
      </c>
      <c r="Y188" s="30">
        <v>593</v>
      </c>
      <c r="Z188" s="39">
        <v>0.76875000000000004</v>
      </c>
      <c r="AA188" s="39">
        <v>0.77569444444444446</v>
      </c>
      <c r="AB188" s="39">
        <v>0.70347222222222228</v>
      </c>
      <c r="AC1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89" spans="2:29" x14ac:dyDescent="0.25">
      <c r="B189" s="3">
        <v>2</v>
      </c>
      <c r="C189">
        <v>2</v>
      </c>
      <c r="D189">
        <v>5</v>
      </c>
      <c r="E189" s="29" t="s">
        <v>215</v>
      </c>
      <c r="F189" s="3">
        <v>1349</v>
      </c>
      <c r="G189" s="3">
        <v>1349</v>
      </c>
      <c r="H189" s="29" t="s">
        <v>44</v>
      </c>
      <c r="J189" s="7">
        <v>0.22847222222222222</v>
      </c>
      <c r="K189" s="7">
        <v>0.22847222222222222</v>
      </c>
      <c r="L189" s="3">
        <f t="shared" si="4"/>
        <v>0</v>
      </c>
      <c r="M189" s="3">
        <f t="shared" si="5"/>
        <v>1</v>
      </c>
      <c r="N189" s="29">
        <f>_xlfn.MAXIFS($G$7:G188,$E$7:E188,detalhe_carro1[[#This Row],[Nó]],$B$7:B188,detalhe_carro1[[#This Row],[Numero Voltas]],$L$7:L188,1)</f>
        <v>1193</v>
      </c>
      <c r="O189" s="3">
        <f>IF(OR(detalhe_carro1[[#This Row],[Ultima Chegada]]=0,detalhe_carro1[[#This Row],[Chegada]]=0),"",detalhe_carro1[[#This Row],[Hora Inicio]]-detalhe_carro1[[#This Row],[Ultima Chegada]])</f>
        <v>156</v>
      </c>
      <c r="P189" s="3">
        <f>IF(detalhe_carro1[[#This Row],[Tipo]]="Visitar Nó",((detalhe_carro1[[#This Row],[Hora Fim]]-detalhe_carro1[[#This Row],[Hora Inicio]])/60*velocidade_nos),0)</f>
        <v>0</v>
      </c>
      <c r="Q189" s="29">
        <f>detalhe_carro1[[#This Row],[Kms Nós]]+detalhe_carro1[[#This Row],[kms]]</f>
        <v>0</v>
      </c>
      <c r="S189" s="20">
        <v>3</v>
      </c>
      <c r="T189" s="38">
        <v>2</v>
      </c>
      <c r="U189" s="38">
        <v>6</v>
      </c>
      <c r="V189" s="38" t="s">
        <v>300</v>
      </c>
      <c r="W189" s="30">
        <v>700</v>
      </c>
      <c r="X189" s="30">
        <v>700</v>
      </c>
      <c r="Y189" s="30">
        <v>590</v>
      </c>
      <c r="Z189" s="39">
        <v>0.77777777777777779</v>
      </c>
      <c r="AA189" s="39">
        <v>0.77777777777777779</v>
      </c>
      <c r="AB189" s="39">
        <v>0.70138888888888884</v>
      </c>
      <c r="AC1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1.8333333333333333</v>
      </c>
    </row>
    <row r="190" spans="2:29" x14ac:dyDescent="0.25">
      <c r="B190" s="3">
        <v>2</v>
      </c>
      <c r="C190">
        <v>2</v>
      </c>
      <c r="D190">
        <v>5</v>
      </c>
      <c r="E190" s="29" t="s">
        <v>215</v>
      </c>
      <c r="F190" s="3">
        <v>1349</v>
      </c>
      <c r="G190" s="3">
        <v>1349</v>
      </c>
      <c r="H190" s="29" t="s">
        <v>43</v>
      </c>
      <c r="J190" s="7">
        <v>0.22847222222222222</v>
      </c>
      <c r="K190" s="7">
        <v>0.22847222222222222</v>
      </c>
      <c r="L190" s="3">
        <f t="shared" si="4"/>
        <v>1</v>
      </c>
      <c r="M190" s="3">
        <f t="shared" si="5"/>
        <v>0</v>
      </c>
      <c r="N190" s="29">
        <f>_xlfn.MAXIFS($G$7:G189,$E$7:E189,detalhe_carro1[[#This Row],[Nó]],$B$7:B189,detalhe_carro1[[#This Row],[Numero Voltas]],$L$7:L189,1)</f>
        <v>1193</v>
      </c>
      <c r="O190" s="3" t="str">
        <f>IF(OR(detalhe_carro1[[#This Row],[Ultima Chegada]]=0,detalhe_carro1[[#This Row],[Chegada]]=0),"",detalhe_carro1[[#This Row],[Hora Inicio]]-detalhe_carro1[[#This Row],[Ultima Chegada]])</f>
        <v/>
      </c>
      <c r="P190" s="3">
        <f>IF(detalhe_carro1[[#This Row],[Tipo]]="Visitar Nó",((detalhe_carro1[[#This Row],[Hora Fim]]-detalhe_carro1[[#This Row],[Hora Inicio]])/60*velocidade_nos),0)</f>
        <v>0</v>
      </c>
      <c r="Q190" s="29">
        <f>detalhe_carro1[[#This Row],[Kms Nós]]+detalhe_carro1[[#This Row],[kms]]</f>
        <v>0</v>
      </c>
      <c r="S190" s="20">
        <v>3</v>
      </c>
      <c r="T190" s="38">
        <v>2</v>
      </c>
      <c r="U190" s="38">
        <v>5</v>
      </c>
      <c r="V190" s="38" t="s">
        <v>215</v>
      </c>
      <c r="W190" s="30">
        <v>704</v>
      </c>
      <c r="X190" s="30">
        <v>704</v>
      </c>
      <c r="Y190" s="30">
        <v>586</v>
      </c>
      <c r="Z190" s="39">
        <v>0.78055555555555556</v>
      </c>
      <c r="AA190" s="39">
        <v>0.78055555555555556</v>
      </c>
      <c r="AB190" s="39">
        <v>0.69861111111111107</v>
      </c>
      <c r="AC1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91" spans="2:29" x14ac:dyDescent="0.25">
      <c r="B191" s="3">
        <v>2</v>
      </c>
      <c r="C191">
        <v>2</v>
      </c>
      <c r="D191">
        <v>6</v>
      </c>
      <c r="E191" s="29" t="s">
        <v>300</v>
      </c>
      <c r="F191" s="3">
        <v>1353</v>
      </c>
      <c r="G191" s="3">
        <v>1353</v>
      </c>
      <c r="H191" s="29" t="s">
        <v>44</v>
      </c>
      <c r="J191" s="7">
        <v>0.23125000000000001</v>
      </c>
      <c r="K191" s="7">
        <v>0.23125000000000001</v>
      </c>
      <c r="L191" s="3">
        <f t="shared" si="4"/>
        <v>0</v>
      </c>
      <c r="M191" s="3">
        <f t="shared" si="5"/>
        <v>1</v>
      </c>
      <c r="N191" s="29">
        <f>_xlfn.MAXIFS($G$7:G190,$E$7:E190,detalhe_carro1[[#This Row],[Nó]],$B$7:B190,detalhe_carro1[[#This Row],[Numero Voltas]],$L$7:L190,1)</f>
        <v>1189</v>
      </c>
      <c r="O191" s="3">
        <f>IF(OR(detalhe_carro1[[#This Row],[Ultima Chegada]]=0,detalhe_carro1[[#This Row],[Chegada]]=0),"",detalhe_carro1[[#This Row],[Hora Inicio]]-detalhe_carro1[[#This Row],[Ultima Chegada]])</f>
        <v>164</v>
      </c>
      <c r="P191" s="3">
        <f>IF(detalhe_carro1[[#This Row],[Tipo]]="Visitar Nó",((detalhe_carro1[[#This Row],[Hora Fim]]-detalhe_carro1[[#This Row],[Hora Inicio]])/60*velocidade_nos),0)</f>
        <v>0</v>
      </c>
      <c r="Q191" s="29">
        <f>detalhe_carro1[[#This Row],[Kms Nós]]+detalhe_carro1[[#This Row],[kms]]</f>
        <v>0</v>
      </c>
      <c r="S191" s="20">
        <v>3</v>
      </c>
      <c r="T191" s="38">
        <v>2</v>
      </c>
      <c r="U191" s="38">
        <v>4</v>
      </c>
      <c r="V191" s="38" t="s">
        <v>2</v>
      </c>
      <c r="W191" s="30">
        <v>707</v>
      </c>
      <c r="X191" s="30">
        <v>707</v>
      </c>
      <c r="Y191" s="30">
        <v>583</v>
      </c>
      <c r="Z191" s="39">
        <v>0.78263888888888888</v>
      </c>
      <c r="AA191" s="39">
        <v>0.78263888888888888</v>
      </c>
      <c r="AB191" s="39">
        <v>0.69652777777777775</v>
      </c>
      <c r="AC1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2.0666666666666669</v>
      </c>
    </row>
    <row r="192" spans="2:29" x14ac:dyDescent="0.25">
      <c r="B192" s="3">
        <v>2</v>
      </c>
      <c r="C192">
        <v>2</v>
      </c>
      <c r="D192">
        <v>6</v>
      </c>
      <c r="E192" s="29" t="s">
        <v>300</v>
      </c>
      <c r="F192" s="3">
        <v>1353</v>
      </c>
      <c r="G192" s="3">
        <v>1353</v>
      </c>
      <c r="H192" s="29" t="s">
        <v>43</v>
      </c>
      <c r="J192" s="7">
        <v>0.23125000000000001</v>
      </c>
      <c r="K192" s="7">
        <v>0.23125000000000001</v>
      </c>
      <c r="L192" s="3">
        <f t="shared" si="4"/>
        <v>1</v>
      </c>
      <c r="M192" s="3">
        <f t="shared" si="5"/>
        <v>0</v>
      </c>
      <c r="N192" s="29">
        <f>_xlfn.MAXIFS($G$7:G191,$E$7:E191,detalhe_carro1[[#This Row],[Nó]],$B$7:B191,detalhe_carro1[[#This Row],[Numero Voltas]],$L$7:L191,1)</f>
        <v>1189</v>
      </c>
      <c r="O192" s="3" t="str">
        <f>IF(OR(detalhe_carro1[[#This Row],[Ultima Chegada]]=0,detalhe_carro1[[#This Row],[Chegada]]=0),"",detalhe_carro1[[#This Row],[Hora Inicio]]-detalhe_carro1[[#This Row],[Ultima Chegada]])</f>
        <v/>
      </c>
      <c r="P192" s="3">
        <f>IF(detalhe_carro1[[#This Row],[Tipo]]="Visitar Nó",((detalhe_carro1[[#This Row],[Hora Fim]]-detalhe_carro1[[#This Row],[Hora Inicio]])/60*velocidade_nos),0)</f>
        <v>0</v>
      </c>
      <c r="Q192" s="29">
        <f>detalhe_carro1[[#This Row],[Kms Nós]]+detalhe_carro1[[#This Row],[kms]]</f>
        <v>0</v>
      </c>
      <c r="S192" s="20">
        <v>3</v>
      </c>
      <c r="T192" s="38">
        <v>2</v>
      </c>
      <c r="U192" s="38">
        <v>3</v>
      </c>
      <c r="V192" s="38" t="s">
        <v>208</v>
      </c>
      <c r="W192" s="30">
        <v>712</v>
      </c>
      <c r="X192" s="30">
        <v>712</v>
      </c>
      <c r="Y192" s="30">
        <v>525</v>
      </c>
      <c r="Z192" s="39">
        <v>0.78611111111111109</v>
      </c>
      <c r="AA192" s="39">
        <v>0.78611111111111109</v>
      </c>
      <c r="AB192" s="39">
        <v>0.65625</v>
      </c>
      <c r="AC1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3.1166666666666667</v>
      </c>
    </row>
    <row r="193" spans="2:29" x14ac:dyDescent="0.25">
      <c r="B193" s="3">
        <v>2</v>
      </c>
      <c r="C193">
        <v>2</v>
      </c>
      <c r="D193">
        <v>7</v>
      </c>
      <c r="E193" s="29" t="s">
        <v>301</v>
      </c>
      <c r="F193" s="3">
        <v>1356</v>
      </c>
      <c r="G193" s="3">
        <v>1356</v>
      </c>
      <c r="H193" s="29" t="s">
        <v>44</v>
      </c>
      <c r="J193" s="7">
        <v>0.23333333333333334</v>
      </c>
      <c r="K193" s="7">
        <v>0.23333333333333334</v>
      </c>
      <c r="L193" s="3">
        <f t="shared" si="4"/>
        <v>0</v>
      </c>
      <c r="M193" s="3">
        <f t="shared" si="5"/>
        <v>1</v>
      </c>
      <c r="N193" s="29">
        <f>_xlfn.MAXIFS($G$7:G192,$E$7:E192,detalhe_carro1[[#This Row],[Nó]],$B$7:B192,detalhe_carro1[[#This Row],[Numero Voltas]],$L$7:L192,1)</f>
        <v>1186</v>
      </c>
      <c r="O193" s="3">
        <f>IF(OR(detalhe_carro1[[#This Row],[Ultima Chegada]]=0,detalhe_carro1[[#This Row],[Chegada]]=0),"",detalhe_carro1[[#This Row],[Hora Inicio]]-detalhe_carro1[[#This Row],[Ultima Chegada]])</f>
        <v>170</v>
      </c>
      <c r="P193" s="3">
        <f>IF(detalhe_carro1[[#This Row],[Tipo]]="Visitar Nó",((detalhe_carro1[[#This Row],[Hora Fim]]-detalhe_carro1[[#This Row],[Hora Inicio]])/60*velocidade_nos),0)</f>
        <v>0</v>
      </c>
      <c r="Q193" s="29">
        <f>detalhe_carro1[[#This Row],[Kms Nós]]+detalhe_carro1[[#This Row],[kms]]</f>
        <v>0</v>
      </c>
      <c r="S193" s="20">
        <v>3</v>
      </c>
      <c r="T193" s="38">
        <v>2</v>
      </c>
      <c r="U193" s="38">
        <v>2</v>
      </c>
      <c r="V193" s="38" t="s">
        <v>228</v>
      </c>
      <c r="W193" s="30">
        <v>715</v>
      </c>
      <c r="X193" s="30">
        <v>733</v>
      </c>
      <c r="Y193" s="30">
        <v>522</v>
      </c>
      <c r="Z193" s="39">
        <v>0.78819444444444442</v>
      </c>
      <c r="AA193" s="39">
        <v>0.80069444444444449</v>
      </c>
      <c r="AB193" s="39">
        <v>0.65416666666666667</v>
      </c>
      <c r="AC1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3.2166666666666668</v>
      </c>
    </row>
    <row r="194" spans="2:29" x14ac:dyDescent="0.25">
      <c r="B194" s="3">
        <v>2</v>
      </c>
      <c r="C194">
        <v>2</v>
      </c>
      <c r="D194">
        <v>7</v>
      </c>
      <c r="E194" s="29" t="s">
        <v>301</v>
      </c>
      <c r="F194" s="3">
        <v>1356</v>
      </c>
      <c r="G194" s="3">
        <v>1366</v>
      </c>
      <c r="H194" s="29" t="s">
        <v>43</v>
      </c>
      <c r="J194" s="7">
        <v>0.23333333333333334</v>
      </c>
      <c r="K194" s="7">
        <v>0.24027777777777778</v>
      </c>
      <c r="L194" s="3">
        <f t="shared" si="4"/>
        <v>1</v>
      </c>
      <c r="M194" s="3">
        <f t="shared" si="5"/>
        <v>0</v>
      </c>
      <c r="N194" s="29">
        <f>_xlfn.MAXIFS($G$7:G193,$E$7:E193,detalhe_carro1[[#This Row],[Nó]],$B$7:B193,detalhe_carro1[[#This Row],[Numero Voltas]],$L$7:L193,1)</f>
        <v>1186</v>
      </c>
      <c r="O194" s="3" t="str">
        <f>IF(OR(detalhe_carro1[[#This Row],[Ultima Chegada]]=0,detalhe_carro1[[#This Row],[Chegada]]=0),"",detalhe_carro1[[#This Row],[Hora Inicio]]-detalhe_carro1[[#This Row],[Ultima Chegada]])</f>
        <v/>
      </c>
      <c r="P194" s="3">
        <f>IF(detalhe_carro1[[#This Row],[Tipo]]="Visitar Nó",((detalhe_carro1[[#This Row],[Hora Fim]]-detalhe_carro1[[#This Row],[Hora Inicio]])/60*velocidade_nos),0)</f>
        <v>5</v>
      </c>
      <c r="Q194" s="29">
        <f>detalhe_carro1[[#This Row],[Kms Nós]]+detalhe_carro1[[#This Row],[kms]]</f>
        <v>5</v>
      </c>
      <c r="S194" s="20">
        <v>3</v>
      </c>
      <c r="T194" s="38">
        <v>2</v>
      </c>
      <c r="U194" s="38">
        <v>1</v>
      </c>
      <c r="V194" s="38" t="s">
        <v>200</v>
      </c>
      <c r="W194" s="30">
        <v>734</v>
      </c>
      <c r="X194" s="30">
        <v>734</v>
      </c>
      <c r="Y194" s="30">
        <v>521</v>
      </c>
      <c r="Z194" s="39">
        <v>0.80138888888888893</v>
      </c>
      <c r="AA194" s="39">
        <v>0.80138888888888893</v>
      </c>
      <c r="AB194" s="39">
        <v>0.65347222222222223</v>
      </c>
      <c r="AC1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3.55</v>
      </c>
    </row>
    <row r="195" spans="2:29" x14ac:dyDescent="0.25">
      <c r="B195" s="3">
        <v>2</v>
      </c>
      <c r="C195">
        <v>2</v>
      </c>
      <c r="D195">
        <v>8</v>
      </c>
      <c r="E195" s="29" t="s">
        <v>302</v>
      </c>
      <c r="F195" s="3">
        <v>1372</v>
      </c>
      <c r="G195" s="3">
        <v>1372</v>
      </c>
      <c r="H195" s="29" t="s">
        <v>44</v>
      </c>
      <c r="J195" s="7">
        <v>0.24444444444444444</v>
      </c>
      <c r="K195" s="7">
        <v>0.24444444444444444</v>
      </c>
      <c r="L195" s="3">
        <f t="shared" si="4"/>
        <v>1</v>
      </c>
      <c r="M195" s="3">
        <f t="shared" si="5"/>
        <v>1</v>
      </c>
      <c r="N195" s="29">
        <f>_xlfn.MAXIFS($G$7:G194,$E$7:E194,detalhe_carro1[[#This Row],[Nó]],$B$7:B194,detalhe_carro1[[#This Row],[Numero Voltas]],$L$7:L194,1)</f>
        <v>1170</v>
      </c>
      <c r="O195" s="3">
        <f>IF(OR(detalhe_carro1[[#This Row],[Ultima Chegada]]=0,detalhe_carro1[[#This Row],[Chegada]]=0),"",detalhe_carro1[[#This Row],[Hora Inicio]]-detalhe_carro1[[#This Row],[Ultima Chegada]])</f>
        <v>202</v>
      </c>
      <c r="P195" s="3">
        <f>IF(detalhe_carro1[[#This Row],[Tipo]]="Visitar Nó",((detalhe_carro1[[#This Row],[Hora Fim]]-detalhe_carro1[[#This Row],[Hora Inicio]])/60*velocidade_nos),0)</f>
        <v>0</v>
      </c>
      <c r="Q195" s="29">
        <f>detalhe_carro1[[#This Row],[Kms Nós]]+detalhe_carro1[[#This Row],[kms]]</f>
        <v>0</v>
      </c>
      <c r="S195" s="20">
        <v>3</v>
      </c>
      <c r="T195" s="38">
        <v>2</v>
      </c>
      <c r="U195" s="38">
        <v>0</v>
      </c>
      <c r="V195" s="38" t="s">
        <v>203</v>
      </c>
      <c r="W195" s="30">
        <v>736</v>
      </c>
      <c r="X195" s="30">
        <v>736</v>
      </c>
      <c r="Y195" s="30">
        <v>519</v>
      </c>
      <c r="Z195" s="39">
        <v>0.80277777777777781</v>
      </c>
      <c r="AA195" s="39">
        <v>0.80277777777777781</v>
      </c>
      <c r="AB195" s="39">
        <v>0.65208333333333335</v>
      </c>
      <c r="AC1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3.6166666666666667</v>
      </c>
    </row>
    <row r="196" spans="2:29" x14ac:dyDescent="0.25">
      <c r="B196" s="3">
        <v>2</v>
      </c>
      <c r="C196">
        <v>2</v>
      </c>
      <c r="D196">
        <v>9</v>
      </c>
      <c r="E196" s="29" t="s">
        <v>303</v>
      </c>
      <c r="F196" s="3">
        <v>1378</v>
      </c>
      <c r="G196" s="3">
        <v>1378</v>
      </c>
      <c r="H196" s="29" t="s">
        <v>44</v>
      </c>
      <c r="J196" s="7">
        <v>0.24861111111111112</v>
      </c>
      <c r="K196" s="7">
        <v>0.24861111111111112</v>
      </c>
      <c r="L196" s="3">
        <f t="shared" si="4"/>
        <v>0</v>
      </c>
      <c r="M196" s="3">
        <f t="shared" si="5"/>
        <v>1</v>
      </c>
      <c r="N196" s="29">
        <f>_xlfn.MAXIFS($G$7:G195,$E$7:E195,detalhe_carro1[[#This Row],[Nó]],$B$7:B195,detalhe_carro1[[#This Row],[Numero Voltas]],$L$7:L195,1)</f>
        <v>1094</v>
      </c>
      <c r="O196" s="3">
        <f>IF(OR(detalhe_carro1[[#This Row],[Ultima Chegada]]=0,detalhe_carro1[[#This Row],[Chegada]]=0),"",detalhe_carro1[[#This Row],[Hora Inicio]]-detalhe_carro1[[#This Row],[Ultima Chegada]])</f>
        <v>284</v>
      </c>
      <c r="P196" s="3">
        <f>IF(detalhe_carro1[[#This Row],[Tipo]]="Visitar Nó",((detalhe_carro1[[#This Row],[Hora Fim]]-detalhe_carro1[[#This Row],[Hora Inicio]])/60*velocidade_nos),0)</f>
        <v>0</v>
      </c>
      <c r="Q196" s="29">
        <f>detalhe_carro1[[#This Row],[Kms Nós]]+detalhe_carro1[[#This Row],[kms]]</f>
        <v>0</v>
      </c>
      <c r="S196" s="20">
        <v>3</v>
      </c>
      <c r="T196" s="38">
        <v>2</v>
      </c>
      <c r="U196" s="38">
        <v>1</v>
      </c>
      <c r="V196" s="38" t="s">
        <v>200</v>
      </c>
      <c r="W196" s="30">
        <v>738</v>
      </c>
      <c r="X196" s="30">
        <v>742</v>
      </c>
      <c r="Y196" s="30">
        <v>734</v>
      </c>
      <c r="Z196" s="39">
        <v>0.8041666666666667</v>
      </c>
      <c r="AA196" s="39">
        <v>0.80694444444444446</v>
      </c>
      <c r="AB196" s="39">
        <v>0.80138888888888893</v>
      </c>
      <c r="AC1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97" spans="2:29" x14ac:dyDescent="0.25">
      <c r="B197" s="3">
        <v>2</v>
      </c>
      <c r="C197">
        <v>2</v>
      </c>
      <c r="D197">
        <v>9</v>
      </c>
      <c r="E197" s="29" t="s">
        <v>303</v>
      </c>
      <c r="F197" s="3">
        <v>1378</v>
      </c>
      <c r="G197" s="3">
        <v>1378</v>
      </c>
      <c r="H197" s="29" t="s">
        <v>44</v>
      </c>
      <c r="J197" s="7">
        <v>0.24861111111111112</v>
      </c>
      <c r="K197" s="7">
        <v>0.24861111111111112</v>
      </c>
      <c r="L197" s="3">
        <f t="shared" si="4"/>
        <v>0</v>
      </c>
      <c r="M197" s="3">
        <f t="shared" si="5"/>
        <v>0</v>
      </c>
      <c r="N197" s="29">
        <f>_xlfn.MAXIFS($G$7:G196,$E$7:E196,detalhe_carro1[[#This Row],[Nó]],$B$7:B196,detalhe_carro1[[#This Row],[Numero Voltas]],$L$7:L196,1)</f>
        <v>1094</v>
      </c>
      <c r="O197" s="3" t="str">
        <f>IF(OR(detalhe_carro1[[#This Row],[Ultima Chegada]]=0,detalhe_carro1[[#This Row],[Chegada]]=0),"",detalhe_carro1[[#This Row],[Hora Inicio]]-detalhe_carro1[[#This Row],[Ultima Chegada]])</f>
        <v/>
      </c>
      <c r="P197" s="3">
        <f>IF(detalhe_carro1[[#This Row],[Tipo]]="Visitar Nó",((detalhe_carro1[[#This Row],[Hora Fim]]-detalhe_carro1[[#This Row],[Hora Inicio]])/60*velocidade_nos),0)</f>
        <v>0</v>
      </c>
      <c r="Q197" s="29">
        <f>detalhe_carro1[[#This Row],[Kms Nós]]+detalhe_carro1[[#This Row],[kms]]</f>
        <v>0</v>
      </c>
      <c r="S197" s="20">
        <v>3</v>
      </c>
      <c r="T197" s="38">
        <v>2</v>
      </c>
      <c r="U197" s="38">
        <v>2</v>
      </c>
      <c r="V197" s="38" t="s">
        <v>228</v>
      </c>
      <c r="W197" s="30">
        <v>743</v>
      </c>
      <c r="X197" s="30">
        <v>761</v>
      </c>
      <c r="Y197" s="30">
        <v>733</v>
      </c>
      <c r="Z197" s="39">
        <v>0.80763888888888891</v>
      </c>
      <c r="AA197" s="39">
        <v>0.82013888888888886</v>
      </c>
      <c r="AB197" s="39">
        <v>0.80069444444444449</v>
      </c>
      <c r="AC1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198" spans="2:29" x14ac:dyDescent="0.25">
      <c r="B198" s="3">
        <v>2</v>
      </c>
      <c r="C198">
        <v>2</v>
      </c>
      <c r="D198">
        <v>9</v>
      </c>
      <c r="E198" s="29" t="s">
        <v>303</v>
      </c>
      <c r="F198" s="3">
        <v>1378</v>
      </c>
      <c r="G198" s="3">
        <v>1388</v>
      </c>
      <c r="H198" s="29" t="s">
        <v>43</v>
      </c>
      <c r="J198" s="7">
        <v>0.24861111111111112</v>
      </c>
      <c r="K198" s="7">
        <v>0.25555555555555554</v>
      </c>
      <c r="L198" s="3">
        <f t="shared" si="4"/>
        <v>1</v>
      </c>
      <c r="M198" s="3">
        <f t="shared" si="5"/>
        <v>0</v>
      </c>
      <c r="N198" s="29">
        <f>_xlfn.MAXIFS($G$7:G197,$E$7:E197,detalhe_carro1[[#This Row],[Nó]],$B$7:B197,detalhe_carro1[[#This Row],[Numero Voltas]],$L$7:L197,1)</f>
        <v>1094</v>
      </c>
      <c r="O198" s="3" t="str">
        <f>IF(OR(detalhe_carro1[[#This Row],[Ultima Chegada]]=0,detalhe_carro1[[#This Row],[Chegada]]=0),"",detalhe_carro1[[#This Row],[Hora Inicio]]-detalhe_carro1[[#This Row],[Ultima Chegada]])</f>
        <v/>
      </c>
      <c r="P198" s="3">
        <f>IF(detalhe_carro1[[#This Row],[Tipo]]="Visitar Nó",((detalhe_carro1[[#This Row],[Hora Fim]]-detalhe_carro1[[#This Row],[Hora Inicio]])/60*velocidade_nos),0)</f>
        <v>5</v>
      </c>
      <c r="Q198" s="29">
        <f>detalhe_carro1[[#This Row],[Kms Nós]]+detalhe_carro1[[#This Row],[kms]]</f>
        <v>5</v>
      </c>
      <c r="S198" s="20">
        <v>3</v>
      </c>
      <c r="T198" s="38">
        <v>2</v>
      </c>
      <c r="U198" s="38">
        <v>3</v>
      </c>
      <c r="V198" s="38" t="s">
        <v>208</v>
      </c>
      <c r="W198" s="30">
        <v>764</v>
      </c>
      <c r="X198" s="30">
        <v>777</v>
      </c>
      <c r="Y198" s="30">
        <v>712</v>
      </c>
      <c r="Z198" s="39">
        <v>0.82222222222222219</v>
      </c>
      <c r="AA198" s="39">
        <v>0.83125000000000004</v>
      </c>
      <c r="AB198" s="39">
        <v>0.78611111111111109</v>
      </c>
      <c r="AC1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0.8666666666666667</v>
      </c>
    </row>
    <row r="199" spans="2:29" x14ac:dyDescent="0.25">
      <c r="B199" s="3">
        <v>2</v>
      </c>
      <c r="C199">
        <v>2</v>
      </c>
      <c r="D199">
        <v>8</v>
      </c>
      <c r="E199" s="29" t="s">
        <v>302</v>
      </c>
      <c r="F199" s="3">
        <v>1394</v>
      </c>
      <c r="G199" s="3">
        <v>1394</v>
      </c>
      <c r="H199" s="29" t="s">
        <v>44</v>
      </c>
      <c r="J199" s="7">
        <v>0.25972222222222224</v>
      </c>
      <c r="K199" s="7">
        <v>0.25972222222222224</v>
      </c>
      <c r="L199" s="3">
        <f t="shared" ref="L199:L262" si="6">IF(E199&lt;&gt;E200,1,0)</f>
        <v>1</v>
      </c>
      <c r="M199" s="3">
        <f t="shared" ref="M199:M262" si="7">IF(E199&lt;&gt;E198,1,0)</f>
        <v>1</v>
      </c>
      <c r="N199" s="29">
        <f>_xlfn.MAXIFS($G$7:G198,$E$7:E198,detalhe_carro1[[#This Row],[Nó]],$B$7:B198,detalhe_carro1[[#This Row],[Numero Voltas]],$L$7:L198,1)</f>
        <v>1372</v>
      </c>
      <c r="O199" s="3">
        <f>IF(OR(detalhe_carro1[[#This Row],[Ultima Chegada]]=0,detalhe_carro1[[#This Row],[Chegada]]=0),"",detalhe_carro1[[#This Row],[Hora Inicio]]-detalhe_carro1[[#This Row],[Ultima Chegada]])</f>
        <v>22</v>
      </c>
      <c r="P199" s="3">
        <f>IF(detalhe_carro1[[#This Row],[Tipo]]="Visitar Nó",((detalhe_carro1[[#This Row],[Hora Fim]]-detalhe_carro1[[#This Row],[Hora Inicio]])/60*velocidade_nos),0)</f>
        <v>0</v>
      </c>
      <c r="Q199" s="29">
        <f>detalhe_carro1[[#This Row],[Kms Nós]]+detalhe_carro1[[#This Row],[kms]]</f>
        <v>0</v>
      </c>
      <c r="S199" s="20">
        <v>3</v>
      </c>
      <c r="T199" s="38">
        <v>2</v>
      </c>
      <c r="U199" s="38">
        <v>4</v>
      </c>
      <c r="V199" s="38" t="s">
        <v>2</v>
      </c>
      <c r="W199" s="30">
        <v>782</v>
      </c>
      <c r="X199" s="30">
        <v>795</v>
      </c>
      <c r="Y199" s="30">
        <v>707</v>
      </c>
      <c r="Z199" s="39">
        <v>0.83472222222222225</v>
      </c>
      <c r="AA199" s="39">
        <v>0.84375</v>
      </c>
      <c r="AB199" s="39">
        <v>0.78263888888888888</v>
      </c>
      <c r="AC1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1.25</v>
      </c>
    </row>
    <row r="200" spans="2:29" x14ac:dyDescent="0.25">
      <c r="B200" s="3">
        <v>2</v>
      </c>
      <c r="C200">
        <v>2</v>
      </c>
      <c r="D200">
        <v>7</v>
      </c>
      <c r="E200" s="29" t="s">
        <v>301</v>
      </c>
      <c r="F200" s="3">
        <v>1400</v>
      </c>
      <c r="G200" s="3">
        <v>1400</v>
      </c>
      <c r="H200" s="29" t="s">
        <v>44</v>
      </c>
      <c r="J200" s="7">
        <v>0.2638888888888889</v>
      </c>
      <c r="K200" s="7">
        <v>0.2638888888888889</v>
      </c>
      <c r="L200" s="3">
        <f t="shared" si="6"/>
        <v>1</v>
      </c>
      <c r="M200" s="3">
        <f t="shared" si="7"/>
        <v>1</v>
      </c>
      <c r="N200" s="29">
        <f>_xlfn.MAXIFS($G$7:G199,$E$7:E199,detalhe_carro1[[#This Row],[Nó]],$B$7:B199,detalhe_carro1[[#This Row],[Numero Voltas]],$L$7:L199,1)</f>
        <v>1366</v>
      </c>
      <c r="O200" s="3">
        <f>IF(OR(detalhe_carro1[[#This Row],[Ultima Chegada]]=0,detalhe_carro1[[#This Row],[Chegada]]=0),"",detalhe_carro1[[#This Row],[Hora Inicio]]-detalhe_carro1[[#This Row],[Ultima Chegada]])</f>
        <v>34</v>
      </c>
      <c r="P200" s="3">
        <f>IF(detalhe_carro1[[#This Row],[Tipo]]="Visitar Nó",((detalhe_carro1[[#This Row],[Hora Fim]]-detalhe_carro1[[#This Row],[Hora Inicio]])/60*velocidade_nos),0)</f>
        <v>0</v>
      </c>
      <c r="Q200" s="29">
        <f>detalhe_carro1[[#This Row],[Kms Nós]]+detalhe_carro1[[#This Row],[kms]]</f>
        <v>0</v>
      </c>
      <c r="S200" s="20">
        <v>3</v>
      </c>
      <c r="T200" s="38">
        <v>2</v>
      </c>
      <c r="U200" s="38">
        <v>5</v>
      </c>
      <c r="V200" s="38" t="s">
        <v>215</v>
      </c>
      <c r="W200" s="30">
        <v>798</v>
      </c>
      <c r="X200" s="30">
        <v>798</v>
      </c>
      <c r="Y200" s="30">
        <v>704</v>
      </c>
      <c r="Z200" s="39">
        <v>0.84583333333333333</v>
      </c>
      <c r="AA200" s="39">
        <v>0.84583333333333333</v>
      </c>
      <c r="AB200" s="39">
        <v>0.78055555555555556</v>
      </c>
      <c r="AC2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201" spans="2:29" x14ac:dyDescent="0.25">
      <c r="B201" s="3">
        <v>2</v>
      </c>
      <c r="C201">
        <v>2</v>
      </c>
      <c r="D201">
        <v>6</v>
      </c>
      <c r="E201" s="29" t="s">
        <v>300</v>
      </c>
      <c r="F201" s="3">
        <v>1403</v>
      </c>
      <c r="G201" s="3">
        <v>1403</v>
      </c>
      <c r="H201" s="29" t="s">
        <v>44</v>
      </c>
      <c r="J201" s="7">
        <v>0.26597222222222222</v>
      </c>
      <c r="K201" s="7">
        <v>0.26597222222222222</v>
      </c>
      <c r="L201" s="3">
        <f t="shared" si="6"/>
        <v>0</v>
      </c>
      <c r="M201" s="3">
        <f t="shared" si="7"/>
        <v>1</v>
      </c>
      <c r="N201" s="29">
        <f>_xlfn.MAXIFS($G$7:G200,$E$7:E200,detalhe_carro1[[#This Row],[Nó]],$B$7:B200,detalhe_carro1[[#This Row],[Numero Voltas]],$L$7:L200,1)</f>
        <v>1353</v>
      </c>
      <c r="O201" s="3">
        <f>IF(OR(detalhe_carro1[[#This Row],[Ultima Chegada]]=0,detalhe_carro1[[#This Row],[Chegada]]=0),"",detalhe_carro1[[#This Row],[Hora Inicio]]-detalhe_carro1[[#This Row],[Ultima Chegada]])</f>
        <v>50</v>
      </c>
      <c r="P201" s="3">
        <f>IF(detalhe_carro1[[#This Row],[Tipo]]="Visitar Nó",((detalhe_carro1[[#This Row],[Hora Fim]]-detalhe_carro1[[#This Row],[Hora Inicio]])/60*velocidade_nos),0)</f>
        <v>0</v>
      </c>
      <c r="Q201" s="29">
        <f>detalhe_carro1[[#This Row],[Kms Nós]]+detalhe_carro1[[#This Row],[kms]]</f>
        <v>0</v>
      </c>
      <c r="S201" s="20">
        <v>3</v>
      </c>
      <c r="T201" s="38">
        <v>2</v>
      </c>
      <c r="U201" s="38">
        <v>6</v>
      </c>
      <c r="V201" s="38" t="s">
        <v>300</v>
      </c>
      <c r="W201" s="30">
        <v>802</v>
      </c>
      <c r="X201" s="30">
        <v>802</v>
      </c>
      <c r="Y201" s="30">
        <v>700</v>
      </c>
      <c r="Z201" s="39">
        <v>0.84861111111111109</v>
      </c>
      <c r="AA201" s="39">
        <v>0.84861111111111109</v>
      </c>
      <c r="AB201" s="39">
        <v>0.77777777777777779</v>
      </c>
      <c r="AC2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v>
      </c>
    </row>
    <row r="202" spans="2:29" x14ac:dyDescent="0.25">
      <c r="B202" s="3">
        <v>2</v>
      </c>
      <c r="C202">
        <v>2</v>
      </c>
      <c r="D202">
        <v>6</v>
      </c>
      <c r="E202" s="29" t="s">
        <v>300</v>
      </c>
      <c r="F202" s="3">
        <v>1403</v>
      </c>
      <c r="G202" s="3">
        <v>1403</v>
      </c>
      <c r="H202" s="29" t="s">
        <v>43</v>
      </c>
      <c r="J202" s="7">
        <v>0.26597222222222222</v>
      </c>
      <c r="K202" s="7">
        <v>0.26597222222222222</v>
      </c>
      <c r="L202" s="3">
        <f t="shared" si="6"/>
        <v>1</v>
      </c>
      <c r="M202" s="3">
        <f t="shared" si="7"/>
        <v>0</v>
      </c>
      <c r="N202" s="29">
        <f>_xlfn.MAXIFS($G$7:G201,$E$7:E201,detalhe_carro1[[#This Row],[Nó]],$B$7:B201,detalhe_carro1[[#This Row],[Numero Voltas]],$L$7:L201,1)</f>
        <v>1353</v>
      </c>
      <c r="O202" s="3" t="str">
        <f>IF(OR(detalhe_carro1[[#This Row],[Ultima Chegada]]=0,detalhe_carro1[[#This Row],[Chegada]]=0),"",detalhe_carro1[[#This Row],[Hora Inicio]]-detalhe_carro1[[#This Row],[Ultima Chegada]])</f>
        <v/>
      </c>
      <c r="P202" s="3">
        <f>IF(detalhe_carro1[[#This Row],[Tipo]]="Visitar Nó",((detalhe_carro1[[#This Row],[Hora Fim]]-detalhe_carro1[[#This Row],[Hora Inicio]])/60*velocidade_nos),0)</f>
        <v>0</v>
      </c>
      <c r="Q202" s="29">
        <f>detalhe_carro1[[#This Row],[Kms Nós]]+detalhe_carro1[[#This Row],[kms]]</f>
        <v>0</v>
      </c>
      <c r="S202" s="20">
        <v>3</v>
      </c>
      <c r="T202" s="38">
        <v>2</v>
      </c>
      <c r="U202" s="38">
        <v>7</v>
      </c>
      <c r="V202" s="38" t="s">
        <v>301</v>
      </c>
      <c r="W202" s="30">
        <v>805</v>
      </c>
      <c r="X202" s="30">
        <v>815</v>
      </c>
      <c r="Y202" s="30">
        <v>697</v>
      </c>
      <c r="Z202" s="39">
        <v>0.85069444444444442</v>
      </c>
      <c r="AA202" s="39">
        <v>0.85763888888888884</v>
      </c>
      <c r="AB202" s="39">
        <v>0.77569444444444446</v>
      </c>
      <c r="AC2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v>
      </c>
    </row>
    <row r="203" spans="2:29" x14ac:dyDescent="0.25">
      <c r="B203" s="3">
        <v>2</v>
      </c>
      <c r="C203">
        <v>2</v>
      </c>
      <c r="D203">
        <v>5</v>
      </c>
      <c r="E203" s="29" t="s">
        <v>215</v>
      </c>
      <c r="F203" s="3">
        <v>1407</v>
      </c>
      <c r="G203" s="3">
        <v>1407</v>
      </c>
      <c r="H203" s="29" t="s">
        <v>44</v>
      </c>
      <c r="J203" s="7">
        <v>0.26874999999999999</v>
      </c>
      <c r="K203" s="7">
        <v>0.26874999999999999</v>
      </c>
      <c r="L203" s="3">
        <f t="shared" si="6"/>
        <v>0</v>
      </c>
      <c r="M203" s="3">
        <f t="shared" si="7"/>
        <v>1</v>
      </c>
      <c r="N203" s="29">
        <f>_xlfn.MAXIFS($G$7:G202,$E$7:E202,detalhe_carro1[[#This Row],[Nó]],$B$7:B202,detalhe_carro1[[#This Row],[Numero Voltas]],$L$7:L202,1)</f>
        <v>1349</v>
      </c>
      <c r="O203" s="3">
        <f>IF(OR(detalhe_carro1[[#This Row],[Ultima Chegada]]=0,detalhe_carro1[[#This Row],[Chegada]]=0),"",detalhe_carro1[[#This Row],[Hora Inicio]]-detalhe_carro1[[#This Row],[Ultima Chegada]])</f>
        <v>58</v>
      </c>
      <c r="P203" s="3">
        <f>IF(detalhe_carro1[[#This Row],[Tipo]]="Visitar Nó",((detalhe_carro1[[#This Row],[Hora Fim]]-detalhe_carro1[[#This Row],[Hora Inicio]])/60*velocidade_nos),0)</f>
        <v>0</v>
      </c>
      <c r="Q203" s="29">
        <f>detalhe_carro1[[#This Row],[Kms Nós]]+detalhe_carro1[[#This Row],[kms]]</f>
        <v>0</v>
      </c>
      <c r="S203" s="20">
        <v>3</v>
      </c>
      <c r="T203" s="38">
        <v>2</v>
      </c>
      <c r="U203" s="38">
        <v>8</v>
      </c>
      <c r="V203" s="38" t="s">
        <v>302</v>
      </c>
      <c r="W203" s="30">
        <v>821</v>
      </c>
      <c r="X203" s="30">
        <v>831</v>
      </c>
      <c r="Y203" s="30">
        <v>681</v>
      </c>
      <c r="Z203" s="39">
        <v>0.8618055555555556</v>
      </c>
      <c r="AA203" s="39">
        <v>0.86875000000000002</v>
      </c>
      <c r="AB203" s="39">
        <v>0.76458333333333328</v>
      </c>
      <c r="AC2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204" spans="2:29" x14ac:dyDescent="0.25">
      <c r="B204" s="3">
        <v>2</v>
      </c>
      <c r="C204">
        <v>2</v>
      </c>
      <c r="D204">
        <v>5</v>
      </c>
      <c r="E204" s="29" t="s">
        <v>215</v>
      </c>
      <c r="F204" s="3">
        <v>1407</v>
      </c>
      <c r="G204" s="3">
        <v>1407</v>
      </c>
      <c r="H204" s="29" t="s">
        <v>43</v>
      </c>
      <c r="J204" s="7">
        <v>0.26874999999999999</v>
      </c>
      <c r="K204" s="7">
        <v>0.26874999999999999</v>
      </c>
      <c r="L204" s="3">
        <f t="shared" si="6"/>
        <v>1</v>
      </c>
      <c r="M204" s="3">
        <f t="shared" si="7"/>
        <v>0</v>
      </c>
      <c r="N204" s="29">
        <f>_xlfn.MAXIFS($G$7:G203,$E$7:E203,detalhe_carro1[[#This Row],[Nó]],$B$7:B203,detalhe_carro1[[#This Row],[Numero Voltas]],$L$7:L203,1)</f>
        <v>1349</v>
      </c>
      <c r="O204" s="3" t="str">
        <f>IF(OR(detalhe_carro1[[#This Row],[Ultima Chegada]]=0,detalhe_carro1[[#This Row],[Chegada]]=0),"",detalhe_carro1[[#This Row],[Hora Inicio]]-detalhe_carro1[[#This Row],[Ultima Chegada]])</f>
        <v/>
      </c>
      <c r="P204" s="3">
        <f>IF(detalhe_carro1[[#This Row],[Tipo]]="Visitar Nó",((detalhe_carro1[[#This Row],[Hora Fim]]-detalhe_carro1[[#This Row],[Hora Inicio]])/60*velocidade_nos),0)</f>
        <v>0</v>
      </c>
      <c r="Q204" s="29">
        <f>detalhe_carro1[[#This Row],[Kms Nós]]+detalhe_carro1[[#This Row],[kms]]</f>
        <v>0</v>
      </c>
      <c r="S204" s="20">
        <v>3</v>
      </c>
      <c r="T204" s="38">
        <v>2</v>
      </c>
      <c r="U204" s="38">
        <v>9</v>
      </c>
      <c r="V204" s="38" t="s">
        <v>303</v>
      </c>
      <c r="W204" s="30">
        <v>837</v>
      </c>
      <c r="X204" s="30">
        <v>837</v>
      </c>
      <c r="Y204" s="30">
        <v>615</v>
      </c>
      <c r="Z204" s="39">
        <v>0.87291666666666667</v>
      </c>
      <c r="AA204" s="39">
        <v>0.87291666666666667</v>
      </c>
      <c r="AB204" s="39">
        <v>0.71875</v>
      </c>
      <c r="AC2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v>
      </c>
    </row>
    <row r="205" spans="2:29" x14ac:dyDescent="0.25">
      <c r="B205" s="3">
        <v>2</v>
      </c>
      <c r="C205">
        <v>2</v>
      </c>
      <c r="D205">
        <v>4</v>
      </c>
      <c r="E205" s="29" t="s">
        <v>2</v>
      </c>
      <c r="F205" s="3">
        <v>1410</v>
      </c>
      <c r="G205" s="3">
        <v>1410</v>
      </c>
      <c r="H205" s="29" t="s">
        <v>44</v>
      </c>
      <c r="J205" s="7">
        <v>0.27083333333333331</v>
      </c>
      <c r="K205" s="7">
        <v>0.27083333333333331</v>
      </c>
      <c r="L205" s="3">
        <f t="shared" si="6"/>
        <v>0</v>
      </c>
      <c r="M205" s="3">
        <f t="shared" si="7"/>
        <v>1</v>
      </c>
      <c r="N205" s="29">
        <f>_xlfn.MAXIFS($G$7:G204,$E$7:E204,detalhe_carro1[[#This Row],[Nó]],$B$7:B204,detalhe_carro1[[#This Row],[Numero Voltas]],$L$7:L204,1)</f>
        <v>1346</v>
      </c>
      <c r="O205" s="3">
        <f>IF(OR(detalhe_carro1[[#This Row],[Ultima Chegada]]=0,detalhe_carro1[[#This Row],[Chegada]]=0),"",detalhe_carro1[[#This Row],[Hora Inicio]]-detalhe_carro1[[#This Row],[Ultima Chegada]])</f>
        <v>64</v>
      </c>
      <c r="P205" s="3">
        <f>IF(detalhe_carro1[[#This Row],[Tipo]]="Visitar Nó",((detalhe_carro1[[#This Row],[Hora Fim]]-detalhe_carro1[[#This Row],[Hora Inicio]])/60*velocidade_nos),0)</f>
        <v>0</v>
      </c>
      <c r="Q205" s="29">
        <f>detalhe_carro1[[#This Row],[Kms Nós]]+detalhe_carro1[[#This Row],[kms]]</f>
        <v>0</v>
      </c>
      <c r="S205" s="20">
        <v>3</v>
      </c>
      <c r="T205" s="38">
        <v>2</v>
      </c>
      <c r="U205" s="38">
        <v>8</v>
      </c>
      <c r="V205" s="38" t="s">
        <v>302</v>
      </c>
      <c r="W205" s="30">
        <v>843</v>
      </c>
      <c r="X205" s="30">
        <v>853</v>
      </c>
      <c r="Y205" s="30">
        <v>831</v>
      </c>
      <c r="Z205" s="39">
        <v>0.87708333333333333</v>
      </c>
      <c r="AA205" s="39">
        <v>0.88402777777777775</v>
      </c>
      <c r="AB205" s="39">
        <v>0.86875000000000002</v>
      </c>
      <c r="AC2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06" spans="2:29" x14ac:dyDescent="0.25">
      <c r="B206" s="3">
        <v>2</v>
      </c>
      <c r="C206">
        <v>2</v>
      </c>
      <c r="D206">
        <v>4</v>
      </c>
      <c r="E206" s="29" t="s">
        <v>2</v>
      </c>
      <c r="F206" s="3">
        <v>1410</v>
      </c>
      <c r="G206" s="3">
        <v>1440</v>
      </c>
      <c r="H206" s="29" t="s">
        <v>45</v>
      </c>
      <c r="J206" s="7">
        <v>0.27083333333333331</v>
      </c>
      <c r="K206" s="7">
        <v>0.29166666666666669</v>
      </c>
      <c r="L206" s="3">
        <f t="shared" si="6"/>
        <v>0</v>
      </c>
      <c r="M206" s="3">
        <f t="shared" si="7"/>
        <v>0</v>
      </c>
      <c r="N206" s="29">
        <f>_xlfn.MAXIFS($G$7:G205,$E$7:E205,detalhe_carro1[[#This Row],[Nó]],$B$7:B205,detalhe_carro1[[#This Row],[Numero Voltas]],$L$7:L205,1)</f>
        <v>1346</v>
      </c>
      <c r="O206" s="3" t="str">
        <f>IF(OR(detalhe_carro1[[#This Row],[Ultima Chegada]]=0,detalhe_carro1[[#This Row],[Chegada]]=0),"",detalhe_carro1[[#This Row],[Hora Inicio]]-detalhe_carro1[[#This Row],[Ultima Chegada]])</f>
        <v/>
      </c>
      <c r="P206" s="3">
        <f>IF(detalhe_carro1[[#This Row],[Tipo]]="Visitar Nó",((detalhe_carro1[[#This Row],[Hora Fim]]-detalhe_carro1[[#This Row],[Hora Inicio]])/60*velocidade_nos),0)</f>
        <v>0</v>
      </c>
      <c r="Q206" s="29">
        <f>detalhe_carro1[[#This Row],[Kms Nós]]+detalhe_carro1[[#This Row],[kms]]</f>
        <v>0</v>
      </c>
      <c r="S206" s="20">
        <v>3</v>
      </c>
      <c r="T206" s="38">
        <v>2</v>
      </c>
      <c r="U206" s="38">
        <v>7</v>
      </c>
      <c r="V206" s="38" t="s">
        <v>301</v>
      </c>
      <c r="W206" s="30">
        <v>859</v>
      </c>
      <c r="X206" s="30">
        <v>859</v>
      </c>
      <c r="Y206" s="30">
        <v>815</v>
      </c>
      <c r="Z206" s="39">
        <v>0.8881944444444444</v>
      </c>
      <c r="AA206" s="39">
        <v>0.8881944444444444</v>
      </c>
      <c r="AB206" s="39">
        <v>0.85763888888888884</v>
      </c>
      <c r="AC2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07" spans="2:29" x14ac:dyDescent="0.25">
      <c r="B207" s="3">
        <v>2</v>
      </c>
      <c r="C207">
        <v>2</v>
      </c>
      <c r="D207">
        <v>4</v>
      </c>
      <c r="E207" s="29" t="s">
        <v>2</v>
      </c>
      <c r="F207" s="3">
        <v>1440</v>
      </c>
      <c r="G207" s="3">
        <v>1440</v>
      </c>
      <c r="H207" s="29" t="s">
        <v>44</v>
      </c>
      <c r="J207" s="7">
        <v>0.29166666666666669</v>
      </c>
      <c r="K207" s="7">
        <v>0.29166666666666669</v>
      </c>
      <c r="L207" s="3">
        <f t="shared" si="6"/>
        <v>0</v>
      </c>
      <c r="M207" s="3">
        <f t="shared" si="7"/>
        <v>0</v>
      </c>
      <c r="N207" s="29">
        <f>_xlfn.MAXIFS($G$7:G206,$E$7:E206,detalhe_carro1[[#This Row],[Nó]],$B$7:B206,detalhe_carro1[[#This Row],[Numero Voltas]],$L$7:L206,1)</f>
        <v>1346</v>
      </c>
      <c r="O207" s="3" t="str">
        <f>IF(OR(detalhe_carro1[[#This Row],[Ultima Chegada]]=0,detalhe_carro1[[#This Row],[Chegada]]=0),"",detalhe_carro1[[#This Row],[Hora Inicio]]-detalhe_carro1[[#This Row],[Ultima Chegada]])</f>
        <v/>
      </c>
      <c r="P207" s="3">
        <f>IF(detalhe_carro1[[#This Row],[Tipo]]="Visitar Nó",((detalhe_carro1[[#This Row],[Hora Fim]]-detalhe_carro1[[#This Row],[Hora Inicio]])/60*velocidade_nos),0)</f>
        <v>0</v>
      </c>
      <c r="Q207" s="29">
        <f>detalhe_carro1[[#This Row],[Kms Nós]]+detalhe_carro1[[#This Row],[kms]]</f>
        <v>0</v>
      </c>
      <c r="S207" s="20">
        <v>3</v>
      </c>
      <c r="T207" s="38">
        <v>2</v>
      </c>
      <c r="U207" s="38">
        <v>6</v>
      </c>
      <c r="V207" s="38" t="s">
        <v>300</v>
      </c>
      <c r="W207" s="30">
        <v>862</v>
      </c>
      <c r="X207" s="30">
        <v>862</v>
      </c>
      <c r="Y207" s="30">
        <v>802</v>
      </c>
      <c r="Z207" s="39">
        <v>0.89027777777777772</v>
      </c>
      <c r="AA207" s="39">
        <v>0.89027777777777772</v>
      </c>
      <c r="AB207" s="39">
        <v>0.84861111111111109</v>
      </c>
      <c r="AC2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v>
      </c>
    </row>
    <row r="208" spans="2:29" x14ac:dyDescent="0.25">
      <c r="B208" s="3">
        <v>3</v>
      </c>
      <c r="C208">
        <v>0</v>
      </c>
      <c r="D208">
        <v>4</v>
      </c>
      <c r="E208" s="29" t="s">
        <v>2</v>
      </c>
      <c r="F208" s="3">
        <v>0</v>
      </c>
      <c r="G208" s="3">
        <v>0</v>
      </c>
      <c r="H208" s="29" t="s">
        <v>42</v>
      </c>
      <c r="J208" s="7">
        <v>0.29166666666666669</v>
      </c>
      <c r="K208" s="7">
        <v>0.29166666666666669</v>
      </c>
      <c r="L208" s="3">
        <f t="shared" si="6"/>
        <v>0</v>
      </c>
      <c r="M208" s="3">
        <f t="shared" si="7"/>
        <v>0</v>
      </c>
      <c r="N208" s="29">
        <f>_xlfn.MAXIFS($G$7:G207,$E$7:E207,detalhe_carro1[[#This Row],[Nó]],$B$7:B207,detalhe_carro1[[#This Row],[Numero Voltas]],$L$7:L207,1)</f>
        <v>0</v>
      </c>
      <c r="O208" s="3" t="str">
        <f>IF(OR(detalhe_carro1[[#This Row],[Ultima Chegada]]=0,detalhe_carro1[[#This Row],[Chegada]]=0),"",detalhe_carro1[[#This Row],[Hora Inicio]]-detalhe_carro1[[#This Row],[Ultima Chegada]])</f>
        <v/>
      </c>
      <c r="P208" s="3">
        <f>IF(detalhe_carro1[[#This Row],[Tipo]]="Visitar Nó",((detalhe_carro1[[#This Row],[Hora Fim]]-detalhe_carro1[[#This Row],[Hora Inicio]])/60*velocidade_nos),0)</f>
        <v>0</v>
      </c>
      <c r="Q208" s="29">
        <f>detalhe_carro1[[#This Row],[Kms Nós]]+detalhe_carro1[[#This Row],[kms]]</f>
        <v>0</v>
      </c>
      <c r="S208" s="20">
        <v>3</v>
      </c>
      <c r="T208" s="38">
        <v>2</v>
      </c>
      <c r="U208" s="38">
        <v>5</v>
      </c>
      <c r="V208" s="38" t="s">
        <v>215</v>
      </c>
      <c r="W208" s="30">
        <v>866</v>
      </c>
      <c r="X208" s="30">
        <v>866</v>
      </c>
      <c r="Y208" s="30">
        <v>798</v>
      </c>
      <c r="Z208" s="39">
        <v>0.8930555555555556</v>
      </c>
      <c r="AA208" s="39">
        <v>0.8930555555555556</v>
      </c>
      <c r="AB208" s="39">
        <v>0.84583333333333333</v>
      </c>
      <c r="AC2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row>
    <row r="209" spans="2:29" x14ac:dyDescent="0.25">
      <c r="B209" s="3">
        <v>3</v>
      </c>
      <c r="C209">
        <v>0</v>
      </c>
      <c r="D209">
        <v>4</v>
      </c>
      <c r="E209" s="29" t="s">
        <v>2</v>
      </c>
      <c r="F209" s="3">
        <v>0</v>
      </c>
      <c r="G209" s="3">
        <v>0</v>
      </c>
      <c r="H209" s="29" t="s">
        <v>44</v>
      </c>
      <c r="J209" s="7">
        <v>0.29166666666666669</v>
      </c>
      <c r="K209" s="7">
        <v>0.29166666666666669</v>
      </c>
      <c r="L209" s="3">
        <f t="shared" si="6"/>
        <v>0</v>
      </c>
      <c r="M209" s="3">
        <f t="shared" si="7"/>
        <v>0</v>
      </c>
      <c r="N209" s="29">
        <f>_xlfn.MAXIFS($G$7:G208,$E$7:E208,detalhe_carro1[[#This Row],[Nó]],$B$7:B208,detalhe_carro1[[#This Row],[Numero Voltas]],$L$7:L208,1)</f>
        <v>0</v>
      </c>
      <c r="O209" s="3" t="str">
        <f>IF(OR(detalhe_carro1[[#This Row],[Ultima Chegada]]=0,detalhe_carro1[[#This Row],[Chegada]]=0),"",detalhe_carro1[[#This Row],[Hora Inicio]]-detalhe_carro1[[#This Row],[Ultima Chegada]])</f>
        <v/>
      </c>
      <c r="P209" s="3">
        <f>IF(detalhe_carro1[[#This Row],[Tipo]]="Visitar Nó",((detalhe_carro1[[#This Row],[Hora Fim]]-detalhe_carro1[[#This Row],[Hora Inicio]])/60*velocidade_nos),0)</f>
        <v>0</v>
      </c>
      <c r="Q209" s="29">
        <f>detalhe_carro1[[#This Row],[Kms Nós]]+detalhe_carro1[[#This Row],[kms]]</f>
        <v>0</v>
      </c>
      <c r="S209" s="20">
        <v>3</v>
      </c>
      <c r="T209" s="38">
        <v>2</v>
      </c>
      <c r="U209" s="38">
        <v>4</v>
      </c>
      <c r="V209" s="38" t="s">
        <v>2</v>
      </c>
      <c r="W209" s="30">
        <v>869</v>
      </c>
      <c r="X209" s="30">
        <v>869</v>
      </c>
      <c r="Y209" s="30">
        <v>795</v>
      </c>
      <c r="Z209" s="39">
        <v>0.89513888888888893</v>
      </c>
      <c r="AA209" s="39">
        <v>0.89513888888888893</v>
      </c>
      <c r="AB209" s="39">
        <v>0.84375</v>
      </c>
      <c r="AC2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210" spans="2:29" x14ac:dyDescent="0.25">
      <c r="B210" s="3">
        <v>3</v>
      </c>
      <c r="C210">
        <v>0</v>
      </c>
      <c r="D210">
        <v>4</v>
      </c>
      <c r="E210" s="29" t="s">
        <v>2</v>
      </c>
      <c r="F210" s="3">
        <v>0</v>
      </c>
      <c r="G210" s="3">
        <v>13</v>
      </c>
      <c r="H210" s="29" t="s">
        <v>43</v>
      </c>
      <c r="J210" s="7">
        <v>0.29166666666666669</v>
      </c>
      <c r="K210" s="7">
        <v>0.30069444444444443</v>
      </c>
      <c r="L210" s="3">
        <f t="shared" si="6"/>
        <v>1</v>
      </c>
      <c r="M210" s="3">
        <f t="shared" si="7"/>
        <v>0</v>
      </c>
      <c r="N210" s="29">
        <f>_xlfn.MAXIFS($G$7:G209,$E$7:E209,detalhe_carro1[[#This Row],[Nó]],$B$7:B209,detalhe_carro1[[#This Row],[Numero Voltas]],$L$7:L209,1)</f>
        <v>0</v>
      </c>
      <c r="O210" s="3" t="str">
        <f>IF(OR(detalhe_carro1[[#This Row],[Ultima Chegada]]=0,detalhe_carro1[[#This Row],[Chegada]]=0),"",detalhe_carro1[[#This Row],[Hora Inicio]]-detalhe_carro1[[#This Row],[Ultima Chegada]])</f>
        <v/>
      </c>
      <c r="P210" s="3">
        <f>IF(detalhe_carro1[[#This Row],[Tipo]]="Visitar Nó",((detalhe_carro1[[#This Row],[Hora Fim]]-detalhe_carro1[[#This Row],[Hora Inicio]])/60*velocidade_nos),0)</f>
        <v>6.5</v>
      </c>
      <c r="Q210" s="29">
        <f>detalhe_carro1[[#This Row],[Kms Nós]]+detalhe_carro1[[#This Row],[kms]]</f>
        <v>6.5</v>
      </c>
      <c r="S210" s="20">
        <v>3</v>
      </c>
      <c r="T210" s="38">
        <v>2</v>
      </c>
      <c r="U210" s="38">
        <v>3</v>
      </c>
      <c r="V210" s="38" t="s">
        <v>208</v>
      </c>
      <c r="W210" s="30">
        <v>874</v>
      </c>
      <c r="X210" s="30">
        <v>887</v>
      </c>
      <c r="Y210" s="30">
        <v>777</v>
      </c>
      <c r="Z210" s="39">
        <v>0.89861111111111114</v>
      </c>
      <c r="AA210" s="39">
        <v>0.90763888888888888</v>
      </c>
      <c r="AB210" s="39">
        <v>0.83125000000000004</v>
      </c>
      <c r="AC2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211" spans="2:29" x14ac:dyDescent="0.25">
      <c r="B211" s="3">
        <v>3</v>
      </c>
      <c r="C211">
        <v>0</v>
      </c>
      <c r="D211">
        <v>3</v>
      </c>
      <c r="E211" s="29" t="s">
        <v>208</v>
      </c>
      <c r="F211" s="3">
        <v>18</v>
      </c>
      <c r="G211" s="3">
        <v>18</v>
      </c>
      <c r="H211" s="29" t="s">
        <v>44</v>
      </c>
      <c r="J211" s="7">
        <v>0.30416666666666664</v>
      </c>
      <c r="K211" s="7">
        <v>0.30416666666666664</v>
      </c>
      <c r="L211" s="3">
        <f t="shared" si="6"/>
        <v>1</v>
      </c>
      <c r="M211" s="3">
        <f t="shared" si="7"/>
        <v>1</v>
      </c>
      <c r="N211" s="29">
        <f>_xlfn.MAXIFS($G$7:G210,$E$7:E210,detalhe_carro1[[#This Row],[Nó]],$B$7:B210,detalhe_carro1[[#This Row],[Numero Voltas]],$L$7:L210,1)</f>
        <v>0</v>
      </c>
      <c r="O211" s="3" t="str">
        <f>IF(OR(detalhe_carro1[[#This Row],[Ultima Chegada]]=0,detalhe_carro1[[#This Row],[Chegada]]=0),"",detalhe_carro1[[#This Row],[Hora Inicio]]-detalhe_carro1[[#This Row],[Ultima Chegada]])</f>
        <v/>
      </c>
      <c r="P211" s="3">
        <f>IF(detalhe_carro1[[#This Row],[Tipo]]="Visitar Nó",((detalhe_carro1[[#This Row],[Hora Fim]]-detalhe_carro1[[#This Row],[Hora Inicio]])/60*velocidade_nos),0)</f>
        <v>0</v>
      </c>
      <c r="Q211" s="29">
        <f>detalhe_carro1[[#This Row],[Kms Nós]]+detalhe_carro1[[#This Row],[kms]]</f>
        <v>0</v>
      </c>
      <c r="S211" s="20">
        <v>3</v>
      </c>
      <c r="T211" s="38">
        <v>2</v>
      </c>
      <c r="U211" s="38">
        <v>2</v>
      </c>
      <c r="V211" s="38" t="s">
        <v>228</v>
      </c>
      <c r="W211" s="30">
        <v>890</v>
      </c>
      <c r="X211" s="30">
        <v>890</v>
      </c>
      <c r="Y211" s="30">
        <v>761</v>
      </c>
      <c r="Z211" s="39">
        <v>0.90972222222222221</v>
      </c>
      <c r="AA211" s="39">
        <v>0.90972222222222221</v>
      </c>
      <c r="AB211" s="39">
        <v>0.82013888888888886</v>
      </c>
      <c r="AC2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row>
    <row r="212" spans="2:29" x14ac:dyDescent="0.25">
      <c r="B212" s="3">
        <v>3</v>
      </c>
      <c r="C212">
        <v>0</v>
      </c>
      <c r="D212">
        <v>2</v>
      </c>
      <c r="E212" s="29" t="s">
        <v>228</v>
      </c>
      <c r="F212" s="3">
        <v>21</v>
      </c>
      <c r="G212" s="3">
        <v>21</v>
      </c>
      <c r="H212" s="29" t="s">
        <v>44</v>
      </c>
      <c r="J212" s="7">
        <v>0.30625000000000002</v>
      </c>
      <c r="K212" s="7">
        <v>0.30625000000000002</v>
      </c>
      <c r="L212" s="3">
        <f t="shared" si="6"/>
        <v>1</v>
      </c>
      <c r="M212" s="3">
        <f t="shared" si="7"/>
        <v>1</v>
      </c>
      <c r="N212" s="29">
        <f>_xlfn.MAXIFS($G$7:G211,$E$7:E211,detalhe_carro1[[#This Row],[Nó]],$B$7:B211,detalhe_carro1[[#This Row],[Numero Voltas]],$L$7:L211,1)</f>
        <v>0</v>
      </c>
      <c r="O212" s="3" t="str">
        <f>IF(OR(detalhe_carro1[[#This Row],[Ultima Chegada]]=0,detalhe_carro1[[#This Row],[Chegada]]=0),"",detalhe_carro1[[#This Row],[Hora Inicio]]-detalhe_carro1[[#This Row],[Ultima Chegada]])</f>
        <v/>
      </c>
      <c r="P212" s="3">
        <f>IF(detalhe_carro1[[#This Row],[Tipo]]="Visitar Nó",((detalhe_carro1[[#This Row],[Hora Fim]]-detalhe_carro1[[#This Row],[Hora Inicio]])/60*velocidade_nos),0)</f>
        <v>0</v>
      </c>
      <c r="Q212" s="29">
        <f>detalhe_carro1[[#This Row],[Kms Nós]]+detalhe_carro1[[#This Row],[kms]]</f>
        <v>0</v>
      </c>
      <c r="S212" s="20">
        <v>3</v>
      </c>
      <c r="T212" s="38">
        <v>2</v>
      </c>
      <c r="U212" s="38">
        <v>1</v>
      </c>
      <c r="V212" s="38" t="s">
        <v>200</v>
      </c>
      <c r="W212" s="30">
        <v>891</v>
      </c>
      <c r="X212" s="30">
        <v>895</v>
      </c>
      <c r="Y212" s="30">
        <v>742</v>
      </c>
      <c r="Z212" s="39">
        <v>0.91041666666666665</v>
      </c>
      <c r="AA212" s="39">
        <v>0.91319444444444442</v>
      </c>
      <c r="AB212" s="39">
        <v>0.80694444444444446</v>
      </c>
      <c r="AC2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2.4833333333333334</v>
      </c>
    </row>
    <row r="213" spans="2:29" x14ac:dyDescent="0.25">
      <c r="B213" s="3">
        <v>3</v>
      </c>
      <c r="C213">
        <v>0</v>
      </c>
      <c r="D213">
        <v>1</v>
      </c>
      <c r="E213" s="29" t="s">
        <v>200</v>
      </c>
      <c r="F213" s="3">
        <v>22</v>
      </c>
      <c r="G213" s="3">
        <v>22</v>
      </c>
      <c r="H213" s="29" t="s">
        <v>44</v>
      </c>
      <c r="J213" s="7">
        <v>0.30694444444444446</v>
      </c>
      <c r="K213" s="7">
        <v>0.30694444444444446</v>
      </c>
      <c r="L213" s="3">
        <f t="shared" si="6"/>
        <v>1</v>
      </c>
      <c r="M213" s="3">
        <f t="shared" si="7"/>
        <v>1</v>
      </c>
      <c r="N213" s="29">
        <f>_xlfn.MAXIFS($G$7:G212,$E$7:E212,detalhe_carro1[[#This Row],[Nó]],$B$7:B212,detalhe_carro1[[#This Row],[Numero Voltas]],$L$7:L212,1)</f>
        <v>0</v>
      </c>
      <c r="O213" s="3" t="str">
        <f>IF(OR(detalhe_carro1[[#This Row],[Ultima Chegada]]=0,detalhe_carro1[[#This Row],[Chegada]]=0),"",detalhe_carro1[[#This Row],[Hora Inicio]]-detalhe_carro1[[#This Row],[Ultima Chegada]])</f>
        <v/>
      </c>
      <c r="P213" s="3">
        <f>IF(detalhe_carro1[[#This Row],[Tipo]]="Visitar Nó",((detalhe_carro1[[#This Row],[Hora Fim]]-detalhe_carro1[[#This Row],[Hora Inicio]])/60*velocidade_nos),0)</f>
        <v>0</v>
      </c>
      <c r="Q213" s="29">
        <f>detalhe_carro1[[#This Row],[Kms Nós]]+detalhe_carro1[[#This Row],[kms]]</f>
        <v>0</v>
      </c>
      <c r="S213" s="20">
        <v>3</v>
      </c>
      <c r="T213" s="38">
        <v>2</v>
      </c>
      <c r="U213" s="38">
        <v>0</v>
      </c>
      <c r="V213" s="38" t="s">
        <v>203</v>
      </c>
      <c r="W213" s="30">
        <v>897</v>
      </c>
      <c r="X213" s="30">
        <v>905</v>
      </c>
      <c r="Y213" s="30">
        <v>736</v>
      </c>
      <c r="Z213" s="39">
        <v>0.9145833333333333</v>
      </c>
      <c r="AA213" s="39">
        <v>0.92013888888888884</v>
      </c>
      <c r="AB213" s="39">
        <v>0.80277777777777781</v>
      </c>
      <c r="AC2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row>
    <row r="214" spans="2:29" x14ac:dyDescent="0.25">
      <c r="B214" s="3">
        <v>3</v>
      </c>
      <c r="C214">
        <v>0</v>
      </c>
      <c r="D214">
        <v>0</v>
      </c>
      <c r="E214" s="29" t="s">
        <v>203</v>
      </c>
      <c r="F214" s="3">
        <v>24</v>
      </c>
      <c r="G214" s="3">
        <v>24</v>
      </c>
      <c r="H214" s="29" t="s">
        <v>44</v>
      </c>
      <c r="J214" s="7">
        <v>0.30833333333333335</v>
      </c>
      <c r="K214" s="7">
        <v>0.30833333333333335</v>
      </c>
      <c r="L214" s="3">
        <f t="shared" si="6"/>
        <v>0</v>
      </c>
      <c r="M214" s="3">
        <f t="shared" si="7"/>
        <v>1</v>
      </c>
      <c r="N214" s="29">
        <f>_xlfn.MAXIFS($G$7:G213,$E$7:E213,detalhe_carro1[[#This Row],[Nó]],$B$7:B213,detalhe_carro1[[#This Row],[Numero Voltas]],$L$7:L213,1)</f>
        <v>0</v>
      </c>
      <c r="O214" s="3" t="str">
        <f>IF(OR(detalhe_carro1[[#This Row],[Ultima Chegada]]=0,detalhe_carro1[[#This Row],[Chegada]]=0),"",detalhe_carro1[[#This Row],[Hora Inicio]]-detalhe_carro1[[#This Row],[Ultima Chegada]])</f>
        <v/>
      </c>
      <c r="P214" s="3">
        <f>IF(detalhe_carro1[[#This Row],[Tipo]]="Visitar Nó",((detalhe_carro1[[#This Row],[Hora Fim]]-detalhe_carro1[[#This Row],[Hora Inicio]])/60*velocidade_nos),0)</f>
        <v>0</v>
      </c>
      <c r="Q214" s="29">
        <f>detalhe_carro1[[#This Row],[Kms Nós]]+detalhe_carro1[[#This Row],[kms]]</f>
        <v>0</v>
      </c>
      <c r="S214" s="20">
        <v>3</v>
      </c>
      <c r="T214" s="38">
        <v>2</v>
      </c>
      <c r="U214" s="38">
        <v>1</v>
      </c>
      <c r="V214" s="38" t="s">
        <v>200</v>
      </c>
      <c r="W214" s="30">
        <v>907</v>
      </c>
      <c r="X214" s="30">
        <v>907</v>
      </c>
      <c r="Y214" s="30">
        <v>895</v>
      </c>
      <c r="Z214" s="39">
        <v>0.92152777777777772</v>
      </c>
      <c r="AA214" s="39">
        <v>0.92152777777777772</v>
      </c>
      <c r="AB214" s="39">
        <v>0.91319444444444442</v>
      </c>
      <c r="AC2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15" spans="2:29" x14ac:dyDescent="0.25">
      <c r="B215" s="3">
        <v>3</v>
      </c>
      <c r="C215">
        <v>0</v>
      </c>
      <c r="D215">
        <v>0</v>
      </c>
      <c r="E215" s="29" t="s">
        <v>203</v>
      </c>
      <c r="F215" s="3">
        <v>24</v>
      </c>
      <c r="G215" s="3">
        <v>24</v>
      </c>
      <c r="H215" s="29" t="s">
        <v>44</v>
      </c>
      <c r="J215" s="7">
        <v>0.30833333333333335</v>
      </c>
      <c r="K215" s="7">
        <v>0.30833333333333335</v>
      </c>
      <c r="L215" s="3">
        <f t="shared" si="6"/>
        <v>1</v>
      </c>
      <c r="M215" s="3">
        <f t="shared" si="7"/>
        <v>0</v>
      </c>
      <c r="N215" s="29">
        <f>_xlfn.MAXIFS($G$7:G214,$E$7:E214,detalhe_carro1[[#This Row],[Nó]],$B$7:B214,detalhe_carro1[[#This Row],[Numero Voltas]],$L$7:L214,1)</f>
        <v>0</v>
      </c>
      <c r="O215" s="3" t="str">
        <f>IF(OR(detalhe_carro1[[#This Row],[Ultima Chegada]]=0,detalhe_carro1[[#This Row],[Chegada]]=0),"",detalhe_carro1[[#This Row],[Hora Inicio]]-detalhe_carro1[[#This Row],[Ultima Chegada]])</f>
        <v/>
      </c>
      <c r="P215" s="3">
        <f>IF(detalhe_carro1[[#This Row],[Tipo]]="Visitar Nó",((detalhe_carro1[[#This Row],[Hora Fim]]-detalhe_carro1[[#This Row],[Hora Inicio]])/60*velocidade_nos),0)</f>
        <v>0</v>
      </c>
      <c r="Q215" s="29">
        <f>detalhe_carro1[[#This Row],[Kms Nós]]+detalhe_carro1[[#This Row],[kms]]</f>
        <v>0</v>
      </c>
      <c r="S215" s="20">
        <v>3</v>
      </c>
      <c r="T215" s="38">
        <v>2</v>
      </c>
      <c r="U215" s="38">
        <v>2</v>
      </c>
      <c r="V215" s="38" t="s">
        <v>228</v>
      </c>
      <c r="W215" s="30">
        <v>908</v>
      </c>
      <c r="X215" s="30">
        <v>908</v>
      </c>
      <c r="Y215" s="30">
        <v>890</v>
      </c>
      <c r="Z215" s="39">
        <v>0.92222222222222228</v>
      </c>
      <c r="AA215" s="39">
        <v>0.92222222222222228</v>
      </c>
      <c r="AB215" s="39">
        <v>0.90972222222222221</v>
      </c>
      <c r="AC2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216" spans="2:29" x14ac:dyDescent="0.25">
      <c r="B216" s="3">
        <v>3</v>
      </c>
      <c r="C216">
        <v>0</v>
      </c>
      <c r="D216">
        <v>1</v>
      </c>
      <c r="E216" s="29" t="s">
        <v>200</v>
      </c>
      <c r="F216" s="3">
        <v>26</v>
      </c>
      <c r="G216" s="3">
        <v>26</v>
      </c>
      <c r="H216" s="29" t="s">
        <v>44</v>
      </c>
      <c r="J216" s="7">
        <v>0.30972222222222223</v>
      </c>
      <c r="K216" s="7">
        <v>0.30972222222222223</v>
      </c>
      <c r="L216" s="3">
        <f t="shared" si="6"/>
        <v>1</v>
      </c>
      <c r="M216" s="3">
        <f t="shared" si="7"/>
        <v>1</v>
      </c>
      <c r="N216" s="29">
        <f>_xlfn.MAXIFS($G$7:G215,$E$7:E215,detalhe_carro1[[#This Row],[Nó]],$B$7:B215,detalhe_carro1[[#This Row],[Numero Voltas]],$L$7:L215,1)</f>
        <v>22</v>
      </c>
      <c r="O216" s="3">
        <f>IF(OR(detalhe_carro1[[#This Row],[Ultima Chegada]]=0,detalhe_carro1[[#This Row],[Chegada]]=0),"",detalhe_carro1[[#This Row],[Hora Inicio]]-detalhe_carro1[[#This Row],[Ultima Chegada]])</f>
        <v>4</v>
      </c>
      <c r="P216" s="3">
        <f>IF(detalhe_carro1[[#This Row],[Tipo]]="Visitar Nó",((detalhe_carro1[[#This Row],[Hora Fim]]-detalhe_carro1[[#This Row],[Hora Inicio]])/60*velocidade_nos),0)</f>
        <v>0</v>
      </c>
      <c r="Q216" s="29">
        <f>detalhe_carro1[[#This Row],[Kms Nós]]+detalhe_carro1[[#This Row],[kms]]</f>
        <v>0</v>
      </c>
      <c r="S216" s="20">
        <v>3</v>
      </c>
      <c r="T216" s="38">
        <v>2</v>
      </c>
      <c r="U216" s="38">
        <v>3</v>
      </c>
      <c r="V216" s="38" t="s">
        <v>208</v>
      </c>
      <c r="W216" s="30">
        <v>911</v>
      </c>
      <c r="X216" s="30">
        <v>911</v>
      </c>
      <c r="Y216" s="30">
        <v>887</v>
      </c>
      <c r="Z216" s="39">
        <v>0.9243055555555556</v>
      </c>
      <c r="AA216" s="39">
        <v>0.9243055555555556</v>
      </c>
      <c r="AB216" s="39">
        <v>0.90763888888888888</v>
      </c>
      <c r="AC2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7" spans="2:29" x14ac:dyDescent="0.25">
      <c r="B217" s="3">
        <v>3</v>
      </c>
      <c r="C217">
        <v>0</v>
      </c>
      <c r="D217">
        <v>2</v>
      </c>
      <c r="E217" s="29" t="s">
        <v>228</v>
      </c>
      <c r="F217" s="3">
        <v>27</v>
      </c>
      <c r="G217" s="3">
        <v>27</v>
      </c>
      <c r="H217" s="29" t="s">
        <v>44</v>
      </c>
      <c r="J217" s="7">
        <v>0.31041666666666667</v>
      </c>
      <c r="K217" s="7">
        <v>0.31041666666666667</v>
      </c>
      <c r="L217" s="3">
        <f t="shared" si="6"/>
        <v>1</v>
      </c>
      <c r="M217" s="3">
        <f t="shared" si="7"/>
        <v>1</v>
      </c>
      <c r="N217" s="29">
        <f>_xlfn.MAXIFS($G$7:G216,$E$7:E216,detalhe_carro1[[#This Row],[Nó]],$B$7:B216,detalhe_carro1[[#This Row],[Numero Voltas]],$L$7:L216,1)</f>
        <v>21</v>
      </c>
      <c r="O217" s="3">
        <f>IF(OR(detalhe_carro1[[#This Row],[Ultima Chegada]]=0,detalhe_carro1[[#This Row],[Chegada]]=0),"",detalhe_carro1[[#This Row],[Hora Inicio]]-detalhe_carro1[[#This Row],[Ultima Chegada]])</f>
        <v>6</v>
      </c>
      <c r="P217" s="3">
        <f>IF(detalhe_carro1[[#This Row],[Tipo]]="Visitar Nó",((detalhe_carro1[[#This Row],[Hora Fim]]-detalhe_carro1[[#This Row],[Hora Inicio]])/60*velocidade_nos),0)</f>
        <v>0</v>
      </c>
      <c r="Q217" s="29">
        <f>detalhe_carro1[[#This Row],[Kms Nós]]+detalhe_carro1[[#This Row],[kms]]</f>
        <v>0</v>
      </c>
      <c r="S217" s="20">
        <v>3</v>
      </c>
      <c r="T217" s="38">
        <v>2</v>
      </c>
      <c r="U217" s="38">
        <v>4</v>
      </c>
      <c r="V217" s="38" t="s">
        <v>2</v>
      </c>
      <c r="W217" s="30">
        <v>916</v>
      </c>
      <c r="X217" s="30">
        <v>916</v>
      </c>
      <c r="Y217" s="30">
        <v>869</v>
      </c>
      <c r="Z217" s="39">
        <v>0.92777777777777781</v>
      </c>
      <c r="AA217" s="39">
        <v>0.92777777777777781</v>
      </c>
      <c r="AB217" s="39">
        <v>0.89513888888888893</v>
      </c>
      <c r="AC2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218" spans="2:29" x14ac:dyDescent="0.25">
      <c r="B218" s="3">
        <v>3</v>
      </c>
      <c r="C218">
        <v>0</v>
      </c>
      <c r="D218">
        <v>3</v>
      </c>
      <c r="E218" s="29" t="s">
        <v>208</v>
      </c>
      <c r="F218" s="3">
        <v>30</v>
      </c>
      <c r="G218" s="3">
        <v>30</v>
      </c>
      <c r="H218" s="29" t="s">
        <v>44</v>
      </c>
      <c r="J218" s="7">
        <v>0.3125</v>
      </c>
      <c r="K218" s="7">
        <v>0.3125</v>
      </c>
      <c r="L218" s="3">
        <f t="shared" si="6"/>
        <v>1</v>
      </c>
      <c r="M218" s="3">
        <f t="shared" si="7"/>
        <v>1</v>
      </c>
      <c r="N218" s="29">
        <f>_xlfn.MAXIFS($G$7:G217,$E$7:E217,detalhe_carro1[[#This Row],[Nó]],$B$7:B217,detalhe_carro1[[#This Row],[Numero Voltas]],$L$7:L217,1)</f>
        <v>18</v>
      </c>
      <c r="O218" s="3">
        <f>IF(OR(detalhe_carro1[[#This Row],[Ultima Chegada]]=0,detalhe_carro1[[#This Row],[Chegada]]=0),"",detalhe_carro1[[#This Row],[Hora Inicio]]-detalhe_carro1[[#This Row],[Ultima Chegada]])</f>
        <v>12</v>
      </c>
      <c r="P218" s="3">
        <f>IF(detalhe_carro1[[#This Row],[Tipo]]="Visitar Nó",((detalhe_carro1[[#This Row],[Hora Fim]]-detalhe_carro1[[#This Row],[Hora Inicio]])/60*velocidade_nos),0)</f>
        <v>0</v>
      </c>
      <c r="Q218" s="29">
        <f>detalhe_carro1[[#This Row],[Kms Nós]]+detalhe_carro1[[#This Row],[kms]]</f>
        <v>0</v>
      </c>
      <c r="S218" s="20">
        <v>3</v>
      </c>
      <c r="T218" s="38">
        <v>2</v>
      </c>
      <c r="U218" s="38">
        <v>5</v>
      </c>
      <c r="V218" s="38" t="s">
        <v>215</v>
      </c>
      <c r="W218" s="30">
        <v>919</v>
      </c>
      <c r="X218" s="30">
        <v>919</v>
      </c>
      <c r="Y218" s="30">
        <v>866</v>
      </c>
      <c r="Z218" s="39">
        <v>0.92986111111111114</v>
      </c>
      <c r="AA218" s="39">
        <v>0.92986111111111114</v>
      </c>
      <c r="AB218" s="39">
        <v>0.8930555555555556</v>
      </c>
      <c r="AC2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0.8833333333333333</v>
      </c>
    </row>
    <row r="219" spans="2:29" x14ac:dyDescent="0.25">
      <c r="B219" s="3">
        <v>3</v>
      </c>
      <c r="C219">
        <v>0</v>
      </c>
      <c r="D219">
        <v>4</v>
      </c>
      <c r="E219" s="29" t="s">
        <v>2</v>
      </c>
      <c r="F219" s="3">
        <v>35</v>
      </c>
      <c r="G219" s="3">
        <v>35</v>
      </c>
      <c r="H219" s="29" t="s">
        <v>44</v>
      </c>
      <c r="J219" s="7">
        <v>0.31597222222222221</v>
      </c>
      <c r="K219" s="7">
        <v>0.31597222222222221</v>
      </c>
      <c r="L219" s="3">
        <f t="shared" si="6"/>
        <v>0</v>
      </c>
      <c r="M219" s="3">
        <f t="shared" si="7"/>
        <v>1</v>
      </c>
      <c r="N219" s="29">
        <f>_xlfn.MAXIFS($G$7:G218,$E$7:E218,detalhe_carro1[[#This Row],[Nó]],$B$7:B218,detalhe_carro1[[#This Row],[Numero Voltas]],$L$7:L218,1)</f>
        <v>13</v>
      </c>
      <c r="O219" s="3">
        <f>IF(OR(detalhe_carro1[[#This Row],[Ultima Chegada]]=0,detalhe_carro1[[#This Row],[Chegada]]=0),"",detalhe_carro1[[#This Row],[Hora Inicio]]-detalhe_carro1[[#This Row],[Ultima Chegada]])</f>
        <v>22</v>
      </c>
      <c r="P219" s="3">
        <f>IF(detalhe_carro1[[#This Row],[Tipo]]="Visitar Nó",((detalhe_carro1[[#This Row],[Hora Fim]]-detalhe_carro1[[#This Row],[Hora Inicio]])/60*velocidade_nos),0)</f>
        <v>0</v>
      </c>
      <c r="Q219" s="29">
        <f>detalhe_carro1[[#This Row],[Kms Nós]]+detalhe_carro1[[#This Row],[kms]]</f>
        <v>0</v>
      </c>
      <c r="S219" s="20">
        <v>3</v>
      </c>
      <c r="T219" s="38">
        <v>2</v>
      </c>
      <c r="U219" s="38">
        <v>6</v>
      </c>
      <c r="V219" s="38" t="s">
        <v>300</v>
      </c>
      <c r="W219" s="30">
        <v>923</v>
      </c>
      <c r="X219" s="30">
        <v>923</v>
      </c>
      <c r="Y219" s="30">
        <v>862</v>
      </c>
      <c r="Z219" s="39">
        <v>0.93263888888888891</v>
      </c>
      <c r="AA219" s="39">
        <v>0.93263888888888891</v>
      </c>
      <c r="AB219" s="39">
        <v>0.89027777777777772</v>
      </c>
      <c r="AC2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1.0166666666666666</v>
      </c>
    </row>
    <row r="220" spans="2:29" x14ac:dyDescent="0.25">
      <c r="B220" s="3">
        <v>3</v>
      </c>
      <c r="C220">
        <v>0</v>
      </c>
      <c r="D220">
        <v>4</v>
      </c>
      <c r="E220" s="29" t="s">
        <v>2</v>
      </c>
      <c r="F220" s="3">
        <v>35</v>
      </c>
      <c r="G220" s="3">
        <v>62</v>
      </c>
      <c r="H220" s="29" t="s">
        <v>45</v>
      </c>
      <c r="J220" s="7">
        <v>0.31597222222222221</v>
      </c>
      <c r="K220" s="7">
        <v>0.3347222222222222</v>
      </c>
      <c r="L220" s="3">
        <f t="shared" si="6"/>
        <v>1</v>
      </c>
      <c r="M220" s="3">
        <f t="shared" si="7"/>
        <v>0</v>
      </c>
      <c r="N220" s="29">
        <f>_xlfn.MAXIFS($G$7:G219,$E$7:E219,detalhe_carro1[[#This Row],[Nó]],$B$7:B219,detalhe_carro1[[#This Row],[Numero Voltas]],$L$7:L219,1)</f>
        <v>13</v>
      </c>
      <c r="O220" s="3" t="str">
        <f>IF(OR(detalhe_carro1[[#This Row],[Ultima Chegada]]=0,detalhe_carro1[[#This Row],[Chegada]]=0),"",detalhe_carro1[[#This Row],[Hora Inicio]]-detalhe_carro1[[#This Row],[Ultima Chegada]])</f>
        <v/>
      </c>
      <c r="P220" s="3">
        <f>IF(detalhe_carro1[[#This Row],[Tipo]]="Visitar Nó",((detalhe_carro1[[#This Row],[Hora Fim]]-detalhe_carro1[[#This Row],[Hora Inicio]])/60*velocidade_nos),0)</f>
        <v>0</v>
      </c>
      <c r="Q220" s="29">
        <f>detalhe_carro1[[#This Row],[Kms Nós]]+detalhe_carro1[[#This Row],[kms]]</f>
        <v>0</v>
      </c>
      <c r="S220" s="20">
        <v>3</v>
      </c>
      <c r="T220" s="38">
        <v>2</v>
      </c>
      <c r="U220" s="38">
        <v>7</v>
      </c>
      <c r="V220" s="38" t="s">
        <v>301</v>
      </c>
      <c r="W220" s="30">
        <v>926</v>
      </c>
      <c r="X220" s="30">
        <v>926</v>
      </c>
      <c r="Y220" s="30">
        <v>859</v>
      </c>
      <c r="Z220" s="39">
        <v>0.93472222222222223</v>
      </c>
      <c r="AA220" s="39">
        <v>0.93472222222222223</v>
      </c>
      <c r="AB220" s="39">
        <v>0.8881944444444444</v>
      </c>
      <c r="AC2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221" spans="2:29" x14ac:dyDescent="0.25">
      <c r="B221" s="3">
        <v>3</v>
      </c>
      <c r="C221">
        <v>0</v>
      </c>
      <c r="D221">
        <v>5</v>
      </c>
      <c r="E221" s="29" t="s">
        <v>215</v>
      </c>
      <c r="F221" s="3">
        <v>64</v>
      </c>
      <c r="G221" s="3">
        <v>64</v>
      </c>
      <c r="H221" s="29" t="s">
        <v>44</v>
      </c>
      <c r="J221" s="7">
        <v>0.33611111111111114</v>
      </c>
      <c r="K221" s="7">
        <v>0.33611111111111114</v>
      </c>
      <c r="L221" s="3">
        <f t="shared" si="6"/>
        <v>1</v>
      </c>
      <c r="M221" s="3">
        <f t="shared" si="7"/>
        <v>1</v>
      </c>
      <c r="N221" s="29">
        <f>_xlfn.MAXIFS($G$7:G220,$E$7:E220,detalhe_carro1[[#This Row],[Nó]],$B$7:B220,detalhe_carro1[[#This Row],[Numero Voltas]],$L$7:L220,1)</f>
        <v>0</v>
      </c>
      <c r="O221" s="3" t="str">
        <f>IF(OR(detalhe_carro1[[#This Row],[Ultima Chegada]]=0,detalhe_carro1[[#This Row],[Chegada]]=0),"",detalhe_carro1[[#This Row],[Hora Inicio]]-detalhe_carro1[[#This Row],[Ultima Chegada]])</f>
        <v/>
      </c>
      <c r="P221" s="3">
        <f>IF(detalhe_carro1[[#This Row],[Tipo]]="Visitar Nó",((detalhe_carro1[[#This Row],[Hora Fim]]-detalhe_carro1[[#This Row],[Hora Inicio]])/60*velocidade_nos),0)</f>
        <v>0</v>
      </c>
      <c r="Q221" s="29">
        <f>detalhe_carro1[[#This Row],[Kms Nós]]+detalhe_carro1[[#This Row],[kms]]</f>
        <v>0</v>
      </c>
      <c r="S221" s="20">
        <v>3</v>
      </c>
      <c r="T221" s="38">
        <v>2</v>
      </c>
      <c r="U221" s="38">
        <v>8</v>
      </c>
      <c r="V221" s="38" t="s">
        <v>302</v>
      </c>
      <c r="W221" s="30">
        <v>932</v>
      </c>
      <c r="X221" s="30">
        <v>932</v>
      </c>
      <c r="Y221" s="30">
        <v>853</v>
      </c>
      <c r="Z221" s="39">
        <v>0.93888888888888888</v>
      </c>
      <c r="AA221" s="39">
        <v>0.93888888888888888</v>
      </c>
      <c r="AB221" s="39">
        <v>0.88402777777777775</v>
      </c>
      <c r="AC2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row>
    <row r="222" spans="2:29" x14ac:dyDescent="0.25">
      <c r="B222" s="3">
        <v>3</v>
      </c>
      <c r="C222">
        <v>0</v>
      </c>
      <c r="D222">
        <v>6</v>
      </c>
      <c r="E222" s="29" t="s">
        <v>300</v>
      </c>
      <c r="F222" s="3">
        <v>68</v>
      </c>
      <c r="G222" s="3">
        <v>68</v>
      </c>
      <c r="H222" s="29" t="s">
        <v>44</v>
      </c>
      <c r="J222" s="7">
        <v>0.33888888888888891</v>
      </c>
      <c r="K222" s="7">
        <v>0.33888888888888891</v>
      </c>
      <c r="L222" s="3">
        <f t="shared" si="6"/>
        <v>1</v>
      </c>
      <c r="M222" s="3">
        <f t="shared" si="7"/>
        <v>1</v>
      </c>
      <c r="N222" s="29">
        <f>_xlfn.MAXIFS($G$7:G221,$E$7:E221,detalhe_carro1[[#This Row],[Nó]],$B$7:B221,detalhe_carro1[[#This Row],[Numero Voltas]],$L$7:L221,1)</f>
        <v>0</v>
      </c>
      <c r="O222" s="3" t="str">
        <f>IF(OR(detalhe_carro1[[#This Row],[Ultima Chegada]]=0,detalhe_carro1[[#This Row],[Chegada]]=0),"",detalhe_carro1[[#This Row],[Hora Inicio]]-detalhe_carro1[[#This Row],[Ultima Chegada]])</f>
        <v/>
      </c>
      <c r="P222" s="3">
        <f>IF(detalhe_carro1[[#This Row],[Tipo]]="Visitar Nó",((detalhe_carro1[[#This Row],[Hora Fim]]-detalhe_carro1[[#This Row],[Hora Inicio]])/60*velocidade_nos),0)</f>
        <v>0</v>
      </c>
      <c r="Q222" s="29">
        <f>detalhe_carro1[[#This Row],[Kms Nós]]+detalhe_carro1[[#This Row],[kms]]</f>
        <v>0</v>
      </c>
      <c r="S222" s="20">
        <v>3</v>
      </c>
      <c r="T222" s="38">
        <v>2</v>
      </c>
      <c r="U222" s="38">
        <v>9</v>
      </c>
      <c r="V222" s="38" t="s">
        <v>303</v>
      </c>
      <c r="W222" s="30">
        <v>938</v>
      </c>
      <c r="X222" s="30">
        <v>938</v>
      </c>
      <c r="Y222" s="30">
        <v>837</v>
      </c>
      <c r="Z222" s="39">
        <v>0.94305555555555554</v>
      </c>
      <c r="AA222" s="39">
        <v>0.94305555555555554</v>
      </c>
      <c r="AB222" s="39">
        <v>0.87291666666666667</v>
      </c>
      <c r="AC2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223" spans="2:29" x14ac:dyDescent="0.25">
      <c r="B223" s="3">
        <v>3</v>
      </c>
      <c r="C223">
        <v>0</v>
      </c>
      <c r="D223">
        <v>7</v>
      </c>
      <c r="E223" s="29" t="s">
        <v>301</v>
      </c>
      <c r="F223" s="3">
        <v>72</v>
      </c>
      <c r="G223" s="3">
        <v>72</v>
      </c>
      <c r="H223" s="29" t="s">
        <v>44</v>
      </c>
      <c r="J223" s="7">
        <v>0.34166666666666667</v>
      </c>
      <c r="K223" s="7">
        <v>0.34166666666666667</v>
      </c>
      <c r="L223" s="3">
        <f t="shared" si="6"/>
        <v>1</v>
      </c>
      <c r="M223" s="3">
        <f t="shared" si="7"/>
        <v>1</v>
      </c>
      <c r="N223" s="29">
        <f>_xlfn.MAXIFS($G$7:G222,$E$7:E222,detalhe_carro1[[#This Row],[Nó]],$B$7:B222,detalhe_carro1[[#This Row],[Numero Voltas]],$L$7:L222,1)</f>
        <v>0</v>
      </c>
      <c r="O223" s="3" t="str">
        <f>IF(OR(detalhe_carro1[[#This Row],[Ultima Chegada]]=0,detalhe_carro1[[#This Row],[Chegada]]=0),"",detalhe_carro1[[#This Row],[Hora Inicio]]-detalhe_carro1[[#This Row],[Ultima Chegada]])</f>
        <v/>
      </c>
      <c r="P223" s="3">
        <f>IF(detalhe_carro1[[#This Row],[Tipo]]="Visitar Nó",((detalhe_carro1[[#This Row],[Hora Fim]]-detalhe_carro1[[#This Row],[Hora Inicio]])/60*velocidade_nos),0)</f>
        <v>0</v>
      </c>
      <c r="Q223" s="29">
        <f>detalhe_carro1[[#This Row],[Kms Nós]]+detalhe_carro1[[#This Row],[kms]]</f>
        <v>0</v>
      </c>
      <c r="S223" s="20">
        <v>3</v>
      </c>
      <c r="T223" s="38">
        <v>2</v>
      </c>
      <c r="U223" s="38">
        <v>8</v>
      </c>
      <c r="V223" s="38" t="s">
        <v>302</v>
      </c>
      <c r="W223" s="30">
        <v>944</v>
      </c>
      <c r="X223" s="30">
        <v>944</v>
      </c>
      <c r="Y223" s="30">
        <v>932</v>
      </c>
      <c r="Z223" s="39">
        <v>0.94722222222222219</v>
      </c>
      <c r="AA223" s="39">
        <v>0.94722222222222219</v>
      </c>
      <c r="AB223" s="39">
        <v>0.93888888888888888</v>
      </c>
      <c r="AC2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24" spans="2:29" x14ac:dyDescent="0.25">
      <c r="B224" s="3">
        <v>3</v>
      </c>
      <c r="C224">
        <v>0</v>
      </c>
      <c r="D224">
        <v>8</v>
      </c>
      <c r="E224" s="29" t="s">
        <v>302</v>
      </c>
      <c r="F224" s="3">
        <v>78</v>
      </c>
      <c r="G224" s="3">
        <v>78</v>
      </c>
      <c r="H224" s="29" t="s">
        <v>44</v>
      </c>
      <c r="J224" s="7">
        <v>0.34583333333333333</v>
      </c>
      <c r="K224" s="7">
        <v>0.34583333333333333</v>
      </c>
      <c r="L224" s="3">
        <f t="shared" si="6"/>
        <v>1</v>
      </c>
      <c r="M224" s="3">
        <f t="shared" si="7"/>
        <v>1</v>
      </c>
      <c r="N224" s="29">
        <f>_xlfn.MAXIFS($G$7:G223,$E$7:E223,detalhe_carro1[[#This Row],[Nó]],$B$7:B223,detalhe_carro1[[#This Row],[Numero Voltas]],$L$7:L223,1)</f>
        <v>0</v>
      </c>
      <c r="O224" s="3" t="str">
        <f>IF(OR(detalhe_carro1[[#This Row],[Ultima Chegada]]=0,detalhe_carro1[[#This Row],[Chegada]]=0),"",detalhe_carro1[[#This Row],[Hora Inicio]]-detalhe_carro1[[#This Row],[Ultima Chegada]])</f>
        <v/>
      </c>
      <c r="P224" s="3">
        <f>IF(detalhe_carro1[[#This Row],[Tipo]]="Visitar Nó",((detalhe_carro1[[#This Row],[Hora Fim]]-detalhe_carro1[[#This Row],[Hora Inicio]])/60*velocidade_nos),0)</f>
        <v>0</v>
      </c>
      <c r="Q224" s="29">
        <f>detalhe_carro1[[#This Row],[Kms Nós]]+detalhe_carro1[[#This Row],[kms]]</f>
        <v>0</v>
      </c>
      <c r="S224" s="20">
        <v>3</v>
      </c>
      <c r="T224" s="38">
        <v>2</v>
      </c>
      <c r="U224" s="38">
        <v>7</v>
      </c>
      <c r="V224" s="38" t="s">
        <v>301</v>
      </c>
      <c r="W224" s="30">
        <v>950</v>
      </c>
      <c r="X224" s="30">
        <v>950</v>
      </c>
      <c r="Y224" s="30">
        <v>926</v>
      </c>
      <c r="Z224" s="39">
        <v>0.95138888888888884</v>
      </c>
      <c r="AA224" s="39">
        <v>0.95138888888888884</v>
      </c>
      <c r="AB224" s="39">
        <v>0.93472222222222223</v>
      </c>
      <c r="AC2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25" spans="2:29" x14ac:dyDescent="0.25">
      <c r="B225" s="3">
        <v>3</v>
      </c>
      <c r="C225">
        <v>0</v>
      </c>
      <c r="D225">
        <v>9</v>
      </c>
      <c r="E225" s="29" t="s">
        <v>303</v>
      </c>
      <c r="F225" s="3">
        <v>84</v>
      </c>
      <c r="G225" s="3">
        <v>84</v>
      </c>
      <c r="H225" s="29" t="s">
        <v>44</v>
      </c>
      <c r="J225" s="7">
        <v>0.35</v>
      </c>
      <c r="K225" s="7">
        <v>0.35</v>
      </c>
      <c r="L225" s="3">
        <f t="shared" si="6"/>
        <v>0</v>
      </c>
      <c r="M225" s="3">
        <f t="shared" si="7"/>
        <v>1</v>
      </c>
      <c r="N225" s="29">
        <f>_xlfn.MAXIFS($G$7:G224,$E$7:E224,detalhe_carro1[[#This Row],[Nó]],$B$7:B224,detalhe_carro1[[#This Row],[Numero Voltas]],$L$7:L224,1)</f>
        <v>0</v>
      </c>
      <c r="O225" s="3" t="str">
        <f>IF(OR(detalhe_carro1[[#This Row],[Ultima Chegada]]=0,detalhe_carro1[[#This Row],[Chegada]]=0),"",detalhe_carro1[[#This Row],[Hora Inicio]]-detalhe_carro1[[#This Row],[Ultima Chegada]])</f>
        <v/>
      </c>
      <c r="P225" s="3">
        <f>IF(detalhe_carro1[[#This Row],[Tipo]]="Visitar Nó",((detalhe_carro1[[#This Row],[Hora Fim]]-detalhe_carro1[[#This Row],[Hora Inicio]])/60*velocidade_nos),0)</f>
        <v>0</v>
      </c>
      <c r="Q225" s="29">
        <f>detalhe_carro1[[#This Row],[Kms Nós]]+detalhe_carro1[[#This Row],[kms]]</f>
        <v>0</v>
      </c>
      <c r="S225" s="20">
        <v>3</v>
      </c>
      <c r="T225" s="38">
        <v>2</v>
      </c>
      <c r="U225" s="38">
        <v>6</v>
      </c>
      <c r="V225" s="38" t="s">
        <v>300</v>
      </c>
      <c r="W225" s="30">
        <v>953</v>
      </c>
      <c r="X225" s="30">
        <v>953</v>
      </c>
      <c r="Y225" s="30">
        <v>923</v>
      </c>
      <c r="Z225" s="39">
        <v>0.95347222222222228</v>
      </c>
      <c r="AA225" s="39">
        <v>0.95347222222222228</v>
      </c>
      <c r="AB225" s="39">
        <v>0.93263888888888891</v>
      </c>
      <c r="AC2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v>
      </c>
    </row>
    <row r="226" spans="2:29" x14ac:dyDescent="0.25">
      <c r="B226" s="3">
        <v>3</v>
      </c>
      <c r="C226">
        <v>0</v>
      </c>
      <c r="D226">
        <v>9</v>
      </c>
      <c r="E226" s="29" t="s">
        <v>303</v>
      </c>
      <c r="F226" s="3">
        <v>84</v>
      </c>
      <c r="G226" s="3">
        <v>84</v>
      </c>
      <c r="H226" s="29" t="s">
        <v>44</v>
      </c>
      <c r="J226" s="7">
        <v>0.35</v>
      </c>
      <c r="K226" s="7">
        <v>0.35</v>
      </c>
      <c r="L226" s="3">
        <f t="shared" si="6"/>
        <v>1</v>
      </c>
      <c r="M226" s="3">
        <f t="shared" si="7"/>
        <v>0</v>
      </c>
      <c r="N226" s="29">
        <f>_xlfn.MAXIFS($G$7:G225,$E$7:E225,detalhe_carro1[[#This Row],[Nó]],$B$7:B225,detalhe_carro1[[#This Row],[Numero Voltas]],$L$7:L225,1)</f>
        <v>0</v>
      </c>
      <c r="O226" s="3" t="str">
        <f>IF(OR(detalhe_carro1[[#This Row],[Ultima Chegada]]=0,detalhe_carro1[[#This Row],[Chegada]]=0),"",detalhe_carro1[[#This Row],[Hora Inicio]]-detalhe_carro1[[#This Row],[Ultima Chegada]])</f>
        <v/>
      </c>
      <c r="P226" s="3">
        <f>IF(detalhe_carro1[[#This Row],[Tipo]]="Visitar Nó",((detalhe_carro1[[#This Row],[Hora Fim]]-detalhe_carro1[[#This Row],[Hora Inicio]])/60*velocidade_nos),0)</f>
        <v>0</v>
      </c>
      <c r="Q226" s="29">
        <f>detalhe_carro1[[#This Row],[Kms Nós]]+detalhe_carro1[[#This Row],[kms]]</f>
        <v>0</v>
      </c>
      <c r="S226" s="20">
        <v>3</v>
      </c>
      <c r="T226" s="38">
        <v>2</v>
      </c>
      <c r="U226" s="38">
        <v>5</v>
      </c>
      <c r="V226" s="38" t="s">
        <v>215</v>
      </c>
      <c r="W226" s="30">
        <v>957</v>
      </c>
      <c r="X226" s="30">
        <v>957</v>
      </c>
      <c r="Y226" s="30">
        <v>919</v>
      </c>
      <c r="Z226" s="39">
        <v>0.95625000000000004</v>
      </c>
      <c r="AA226" s="39">
        <v>0.95625000000000004</v>
      </c>
      <c r="AB226" s="39">
        <v>0.92986111111111114</v>
      </c>
      <c r="AC2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227" spans="2:29" x14ac:dyDescent="0.25">
      <c r="B227" s="3">
        <v>3</v>
      </c>
      <c r="C227">
        <v>0</v>
      </c>
      <c r="D227">
        <v>8</v>
      </c>
      <c r="E227" s="29" t="s">
        <v>302</v>
      </c>
      <c r="F227" s="3">
        <v>90</v>
      </c>
      <c r="G227" s="3">
        <v>90</v>
      </c>
      <c r="H227" s="29" t="s">
        <v>44</v>
      </c>
      <c r="J227" s="7">
        <v>0.35416666666666669</v>
      </c>
      <c r="K227" s="7">
        <v>0.35416666666666669</v>
      </c>
      <c r="L227" s="3">
        <f t="shared" si="6"/>
        <v>1</v>
      </c>
      <c r="M227" s="3">
        <f t="shared" si="7"/>
        <v>1</v>
      </c>
      <c r="N227" s="29">
        <f>_xlfn.MAXIFS($G$7:G226,$E$7:E226,detalhe_carro1[[#This Row],[Nó]],$B$7:B226,detalhe_carro1[[#This Row],[Numero Voltas]],$L$7:L226,1)</f>
        <v>78</v>
      </c>
      <c r="O227" s="3">
        <f>IF(OR(detalhe_carro1[[#This Row],[Ultima Chegada]]=0,detalhe_carro1[[#This Row],[Chegada]]=0),"",detalhe_carro1[[#This Row],[Hora Inicio]]-detalhe_carro1[[#This Row],[Ultima Chegada]])</f>
        <v>12</v>
      </c>
      <c r="P227" s="3">
        <f>IF(detalhe_carro1[[#This Row],[Tipo]]="Visitar Nó",((detalhe_carro1[[#This Row],[Hora Fim]]-detalhe_carro1[[#This Row],[Hora Inicio]])/60*velocidade_nos),0)</f>
        <v>0</v>
      </c>
      <c r="Q227" s="29">
        <f>detalhe_carro1[[#This Row],[Kms Nós]]+detalhe_carro1[[#This Row],[kms]]</f>
        <v>0</v>
      </c>
      <c r="S227" s="20">
        <v>3</v>
      </c>
      <c r="T227" s="38">
        <v>2</v>
      </c>
      <c r="U227" s="38">
        <v>4</v>
      </c>
      <c r="V227" s="38" t="s">
        <v>2</v>
      </c>
      <c r="W227" s="30">
        <v>960</v>
      </c>
      <c r="X227" s="30">
        <v>960</v>
      </c>
      <c r="Y227" s="30">
        <v>916</v>
      </c>
      <c r="Z227" s="39">
        <v>0.95833333333333337</v>
      </c>
      <c r="AA227" s="39">
        <v>0.95833333333333337</v>
      </c>
      <c r="AB227" s="39">
        <v>0.92777777777777781</v>
      </c>
      <c r="AC2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28" spans="2:29" x14ac:dyDescent="0.25">
      <c r="B228" s="3">
        <v>3</v>
      </c>
      <c r="C228">
        <v>0</v>
      </c>
      <c r="D228">
        <v>7</v>
      </c>
      <c r="E228" s="29" t="s">
        <v>301</v>
      </c>
      <c r="F228" s="3">
        <v>96</v>
      </c>
      <c r="G228" s="3">
        <v>96</v>
      </c>
      <c r="H228" s="29" t="s">
        <v>44</v>
      </c>
      <c r="J228" s="7">
        <v>0.35833333333333334</v>
      </c>
      <c r="K228" s="7">
        <v>0.35833333333333334</v>
      </c>
      <c r="L228" s="3">
        <f t="shared" si="6"/>
        <v>0</v>
      </c>
      <c r="M228" s="3">
        <f t="shared" si="7"/>
        <v>1</v>
      </c>
      <c r="N228" s="29">
        <f>_xlfn.MAXIFS($G$7:G227,$E$7:E227,detalhe_carro1[[#This Row],[Nó]],$B$7:B227,detalhe_carro1[[#This Row],[Numero Voltas]],$L$7:L227,1)</f>
        <v>72</v>
      </c>
      <c r="O228" s="3">
        <f>IF(OR(detalhe_carro1[[#This Row],[Ultima Chegada]]=0,detalhe_carro1[[#This Row],[Chegada]]=0),"",detalhe_carro1[[#This Row],[Hora Inicio]]-detalhe_carro1[[#This Row],[Ultima Chegada]])</f>
        <v>24</v>
      </c>
      <c r="P228" s="3">
        <f>IF(detalhe_carro1[[#This Row],[Tipo]]="Visitar Nó",((detalhe_carro1[[#This Row],[Hora Fim]]-detalhe_carro1[[#This Row],[Hora Inicio]])/60*velocidade_nos),0)</f>
        <v>0</v>
      </c>
      <c r="Q228" s="29">
        <f>detalhe_carro1[[#This Row],[Kms Nós]]+detalhe_carro1[[#This Row],[kms]]</f>
        <v>0</v>
      </c>
      <c r="S228" s="20">
        <v>3</v>
      </c>
      <c r="T228" s="38">
        <v>2</v>
      </c>
      <c r="U228" s="38">
        <v>4</v>
      </c>
      <c r="V228" s="38" t="s">
        <v>2</v>
      </c>
      <c r="W228" s="30">
        <v>960</v>
      </c>
      <c r="X228" s="30">
        <v>988</v>
      </c>
      <c r="Y228" s="30">
        <v>960</v>
      </c>
      <c r="Z228" s="39">
        <v>0.95833333333333337</v>
      </c>
      <c r="AA228" s="39">
        <v>0.97777777777777775</v>
      </c>
      <c r="AB228" s="39">
        <v>0.95833333333333337</v>
      </c>
      <c r="AC2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229" spans="2:29" x14ac:dyDescent="0.25">
      <c r="B229" s="3">
        <v>3</v>
      </c>
      <c r="C229">
        <v>0</v>
      </c>
      <c r="D229">
        <v>7</v>
      </c>
      <c r="E229" s="29" t="s">
        <v>301</v>
      </c>
      <c r="F229" s="3">
        <v>96</v>
      </c>
      <c r="G229" s="3">
        <v>106</v>
      </c>
      <c r="H229" s="29" t="s">
        <v>43</v>
      </c>
      <c r="J229" s="7">
        <v>0.35833333333333334</v>
      </c>
      <c r="K229" s="7">
        <v>0.36527777777777776</v>
      </c>
      <c r="L229" s="3">
        <f t="shared" si="6"/>
        <v>1</v>
      </c>
      <c r="M229" s="3">
        <f t="shared" si="7"/>
        <v>0</v>
      </c>
      <c r="N229" s="29">
        <f>_xlfn.MAXIFS($G$7:G228,$E$7:E228,detalhe_carro1[[#This Row],[Nó]],$B$7:B228,detalhe_carro1[[#This Row],[Numero Voltas]],$L$7:L228,1)</f>
        <v>72</v>
      </c>
      <c r="O229" s="3" t="str">
        <f>IF(OR(detalhe_carro1[[#This Row],[Ultima Chegada]]=0,detalhe_carro1[[#This Row],[Chegada]]=0),"",detalhe_carro1[[#This Row],[Hora Inicio]]-detalhe_carro1[[#This Row],[Ultima Chegada]])</f>
        <v/>
      </c>
      <c r="P229" s="3">
        <f>IF(detalhe_carro1[[#This Row],[Tipo]]="Visitar Nó",((detalhe_carro1[[#This Row],[Hora Fim]]-detalhe_carro1[[#This Row],[Hora Inicio]])/60*velocidade_nos),0)</f>
        <v>5</v>
      </c>
      <c r="Q229" s="29">
        <f>detalhe_carro1[[#This Row],[Kms Nós]]+detalhe_carro1[[#This Row],[kms]]</f>
        <v>5</v>
      </c>
      <c r="S229" s="20">
        <v>3</v>
      </c>
      <c r="T229" s="38">
        <v>2</v>
      </c>
      <c r="U229" s="38">
        <v>3</v>
      </c>
      <c r="V229" s="38" t="s">
        <v>208</v>
      </c>
      <c r="W229" s="30">
        <v>993</v>
      </c>
      <c r="X229" s="30">
        <v>993</v>
      </c>
      <c r="Y229" s="30">
        <v>911</v>
      </c>
      <c r="Z229" s="39">
        <v>0.98124999999999996</v>
      </c>
      <c r="AA229" s="39">
        <v>0.98124999999999996</v>
      </c>
      <c r="AB229" s="39">
        <v>0.9243055555555556</v>
      </c>
      <c r="AC2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230" spans="2:29" x14ac:dyDescent="0.25">
      <c r="B230" s="3">
        <v>3</v>
      </c>
      <c r="C230">
        <v>0</v>
      </c>
      <c r="D230">
        <v>6</v>
      </c>
      <c r="E230" s="29" t="s">
        <v>300</v>
      </c>
      <c r="F230" s="3">
        <v>108</v>
      </c>
      <c r="G230" s="3">
        <v>108</v>
      </c>
      <c r="H230" s="29" t="s">
        <v>44</v>
      </c>
      <c r="J230" s="7">
        <v>0.36666666666666664</v>
      </c>
      <c r="K230" s="7">
        <v>0.36666666666666664</v>
      </c>
      <c r="L230" s="3">
        <f t="shared" si="6"/>
        <v>1</v>
      </c>
      <c r="M230" s="3">
        <f t="shared" si="7"/>
        <v>1</v>
      </c>
      <c r="N230" s="29">
        <f>_xlfn.MAXIFS($G$7:G229,$E$7:E229,detalhe_carro1[[#This Row],[Nó]],$B$7:B229,detalhe_carro1[[#This Row],[Numero Voltas]],$L$7:L229,1)</f>
        <v>68</v>
      </c>
      <c r="O230" s="3">
        <f>IF(OR(detalhe_carro1[[#This Row],[Ultima Chegada]]=0,detalhe_carro1[[#This Row],[Chegada]]=0),"",detalhe_carro1[[#This Row],[Hora Inicio]]-detalhe_carro1[[#This Row],[Ultima Chegada]])</f>
        <v>40</v>
      </c>
      <c r="P230" s="3">
        <f>IF(detalhe_carro1[[#This Row],[Tipo]]="Visitar Nó",((detalhe_carro1[[#This Row],[Hora Fim]]-detalhe_carro1[[#This Row],[Hora Inicio]])/60*velocidade_nos),0)</f>
        <v>0</v>
      </c>
      <c r="Q230" s="29">
        <f>detalhe_carro1[[#This Row],[Kms Nós]]+detalhe_carro1[[#This Row],[kms]]</f>
        <v>0</v>
      </c>
      <c r="S230" s="20">
        <v>3</v>
      </c>
      <c r="T230" s="38">
        <v>2</v>
      </c>
      <c r="U230" s="38">
        <v>2</v>
      </c>
      <c r="V230" s="38" t="s">
        <v>228</v>
      </c>
      <c r="W230" s="30">
        <v>996</v>
      </c>
      <c r="X230" s="30">
        <v>996</v>
      </c>
      <c r="Y230" s="30">
        <v>908</v>
      </c>
      <c r="Z230" s="39">
        <v>0.98333333333333328</v>
      </c>
      <c r="AA230" s="39">
        <v>0.98333333333333328</v>
      </c>
      <c r="AB230" s="39">
        <v>0.92222222222222228</v>
      </c>
      <c r="AC2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1.4666666666666666</v>
      </c>
    </row>
    <row r="231" spans="2:29" x14ac:dyDescent="0.25">
      <c r="B231" s="3">
        <v>3</v>
      </c>
      <c r="C231">
        <v>0</v>
      </c>
      <c r="D231">
        <v>5</v>
      </c>
      <c r="E231" s="29" t="s">
        <v>215</v>
      </c>
      <c r="F231" s="3">
        <v>112</v>
      </c>
      <c r="G231" s="3">
        <v>112</v>
      </c>
      <c r="H231" s="29" t="s">
        <v>44</v>
      </c>
      <c r="J231" s="7">
        <v>0.36944444444444446</v>
      </c>
      <c r="K231" s="7">
        <v>0.36944444444444446</v>
      </c>
      <c r="L231" s="3">
        <f t="shared" si="6"/>
        <v>1</v>
      </c>
      <c r="M231" s="3">
        <f t="shared" si="7"/>
        <v>1</v>
      </c>
      <c r="N231" s="29">
        <f>_xlfn.MAXIFS($G$7:G230,$E$7:E230,detalhe_carro1[[#This Row],[Nó]],$B$7:B230,detalhe_carro1[[#This Row],[Numero Voltas]],$L$7:L230,1)</f>
        <v>64</v>
      </c>
      <c r="O231" s="3">
        <f>IF(OR(detalhe_carro1[[#This Row],[Ultima Chegada]]=0,detalhe_carro1[[#This Row],[Chegada]]=0),"",detalhe_carro1[[#This Row],[Hora Inicio]]-detalhe_carro1[[#This Row],[Ultima Chegada]])</f>
        <v>48</v>
      </c>
      <c r="P231" s="3">
        <f>IF(detalhe_carro1[[#This Row],[Tipo]]="Visitar Nó",((detalhe_carro1[[#This Row],[Hora Fim]]-detalhe_carro1[[#This Row],[Hora Inicio]])/60*velocidade_nos),0)</f>
        <v>0</v>
      </c>
      <c r="Q231" s="29">
        <f>detalhe_carro1[[#This Row],[Kms Nós]]+detalhe_carro1[[#This Row],[kms]]</f>
        <v>0</v>
      </c>
      <c r="S231" s="20">
        <v>3</v>
      </c>
      <c r="T231" s="38">
        <v>2</v>
      </c>
      <c r="U231" s="38">
        <v>1</v>
      </c>
      <c r="V231" s="38" t="s">
        <v>200</v>
      </c>
      <c r="W231" s="30">
        <v>997</v>
      </c>
      <c r="X231" s="30">
        <v>997</v>
      </c>
      <c r="Y231" s="30">
        <v>907</v>
      </c>
      <c r="Z231" s="39">
        <v>0.98402777777777772</v>
      </c>
      <c r="AA231" s="39">
        <v>0.98402777777777772</v>
      </c>
      <c r="AB231" s="39">
        <v>0.92152777777777772</v>
      </c>
      <c r="AC2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v>
      </c>
    </row>
    <row r="232" spans="2:29" x14ac:dyDescent="0.25">
      <c r="B232" s="3">
        <v>3</v>
      </c>
      <c r="C232">
        <v>0</v>
      </c>
      <c r="D232">
        <v>4</v>
      </c>
      <c r="E232" s="29" t="s">
        <v>2</v>
      </c>
      <c r="F232" s="3">
        <v>116</v>
      </c>
      <c r="G232" s="3">
        <v>116</v>
      </c>
      <c r="H232" s="29" t="s">
        <v>44</v>
      </c>
      <c r="J232" s="7">
        <v>0.37222222222222223</v>
      </c>
      <c r="K232" s="7">
        <v>0.37222222222222223</v>
      </c>
      <c r="L232" s="3">
        <f t="shared" si="6"/>
        <v>0</v>
      </c>
      <c r="M232" s="3">
        <f t="shared" si="7"/>
        <v>1</v>
      </c>
      <c r="N232" s="29">
        <f>_xlfn.MAXIFS($G$7:G231,$E$7:E231,detalhe_carro1[[#This Row],[Nó]],$B$7:B231,detalhe_carro1[[#This Row],[Numero Voltas]],$L$7:L231,1)</f>
        <v>62</v>
      </c>
      <c r="O232" s="3">
        <f>IF(OR(detalhe_carro1[[#This Row],[Ultima Chegada]]=0,detalhe_carro1[[#This Row],[Chegada]]=0),"",detalhe_carro1[[#This Row],[Hora Inicio]]-detalhe_carro1[[#This Row],[Ultima Chegada]])</f>
        <v>54</v>
      </c>
      <c r="P232" s="3">
        <f>IF(detalhe_carro1[[#This Row],[Tipo]]="Visitar Nó",((detalhe_carro1[[#This Row],[Hora Fim]]-detalhe_carro1[[#This Row],[Hora Inicio]])/60*velocidade_nos),0)</f>
        <v>0</v>
      </c>
      <c r="Q232" s="29">
        <f>detalhe_carro1[[#This Row],[Kms Nós]]+detalhe_carro1[[#This Row],[kms]]</f>
        <v>0</v>
      </c>
      <c r="S232" s="20">
        <v>3</v>
      </c>
      <c r="T232" s="38">
        <v>2</v>
      </c>
      <c r="U232" s="38">
        <v>0</v>
      </c>
      <c r="V232" s="38" t="s">
        <v>203</v>
      </c>
      <c r="W232" s="30">
        <v>999</v>
      </c>
      <c r="X232" s="30">
        <v>999</v>
      </c>
      <c r="Y232" s="30">
        <v>905</v>
      </c>
      <c r="Z232" s="39">
        <v>0.98541666666666672</v>
      </c>
      <c r="AA232" s="39">
        <v>0.98541666666666672</v>
      </c>
      <c r="AB232" s="39">
        <v>0.92013888888888884</v>
      </c>
      <c r="AC2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233" spans="2:29" x14ac:dyDescent="0.25">
      <c r="B233" s="3">
        <v>3</v>
      </c>
      <c r="C233">
        <v>0</v>
      </c>
      <c r="D233">
        <v>4</v>
      </c>
      <c r="E233" s="29" t="s">
        <v>2</v>
      </c>
      <c r="F233" s="3">
        <v>116</v>
      </c>
      <c r="G233" s="3">
        <v>130</v>
      </c>
      <c r="H233" s="29" t="s">
        <v>47</v>
      </c>
      <c r="J233" s="7">
        <v>0.37222222222222223</v>
      </c>
      <c r="K233" s="7">
        <v>0.38194444444444442</v>
      </c>
      <c r="L233" s="3">
        <f t="shared" si="6"/>
        <v>1</v>
      </c>
      <c r="M233" s="3">
        <f t="shared" si="7"/>
        <v>0</v>
      </c>
      <c r="N233" s="29">
        <f>_xlfn.MAXIFS($G$7:G232,$E$7:E232,detalhe_carro1[[#This Row],[Nó]],$B$7:B232,detalhe_carro1[[#This Row],[Numero Voltas]],$L$7:L232,1)</f>
        <v>62</v>
      </c>
      <c r="O233" s="3" t="str">
        <f>IF(OR(detalhe_carro1[[#This Row],[Ultima Chegada]]=0,detalhe_carro1[[#This Row],[Chegada]]=0),"",detalhe_carro1[[#This Row],[Hora Inicio]]-detalhe_carro1[[#This Row],[Ultima Chegada]])</f>
        <v/>
      </c>
      <c r="P233" s="3">
        <f>IF(detalhe_carro1[[#This Row],[Tipo]]="Visitar Nó",((detalhe_carro1[[#This Row],[Hora Fim]]-detalhe_carro1[[#This Row],[Hora Inicio]])/60*velocidade_nos),0)</f>
        <v>0</v>
      </c>
      <c r="Q233" s="29">
        <f>detalhe_carro1[[#This Row],[Kms Nós]]+detalhe_carro1[[#This Row],[kms]]</f>
        <v>0</v>
      </c>
      <c r="S233" s="20">
        <v>3</v>
      </c>
      <c r="T233" s="38">
        <v>2</v>
      </c>
      <c r="U233" s="38">
        <v>1</v>
      </c>
      <c r="V233" s="38" t="s">
        <v>200</v>
      </c>
      <c r="W233" s="30">
        <v>1001</v>
      </c>
      <c r="X233" s="30">
        <v>1001</v>
      </c>
      <c r="Y233" s="30">
        <v>997</v>
      </c>
      <c r="Z233" s="39">
        <v>0.9868055555555556</v>
      </c>
      <c r="AA233" s="39">
        <v>0.9868055555555556</v>
      </c>
      <c r="AB233" s="39">
        <v>0.98402777777777772</v>
      </c>
      <c r="AC2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34" spans="2:29" x14ac:dyDescent="0.25">
      <c r="B234" s="3">
        <v>3</v>
      </c>
      <c r="C234">
        <v>0</v>
      </c>
      <c r="D234">
        <v>3</v>
      </c>
      <c r="E234" s="29" t="s">
        <v>208</v>
      </c>
      <c r="F234" s="3">
        <v>136</v>
      </c>
      <c r="G234" s="3">
        <v>136</v>
      </c>
      <c r="H234" s="29" t="s">
        <v>44</v>
      </c>
      <c r="J234" s="7">
        <v>0.38611111111111113</v>
      </c>
      <c r="K234" s="7">
        <v>0.38611111111111113</v>
      </c>
      <c r="L234" s="3">
        <f t="shared" si="6"/>
        <v>1</v>
      </c>
      <c r="M234" s="3">
        <f t="shared" si="7"/>
        <v>1</v>
      </c>
      <c r="N234" s="29">
        <f>_xlfn.MAXIFS($G$7:G233,$E$7:E233,detalhe_carro1[[#This Row],[Nó]],$B$7:B233,detalhe_carro1[[#This Row],[Numero Voltas]],$L$7:L233,1)</f>
        <v>30</v>
      </c>
      <c r="O234" s="3">
        <f>IF(OR(detalhe_carro1[[#This Row],[Ultima Chegada]]=0,detalhe_carro1[[#This Row],[Chegada]]=0),"",detalhe_carro1[[#This Row],[Hora Inicio]]-detalhe_carro1[[#This Row],[Ultima Chegada]])</f>
        <v>106</v>
      </c>
      <c r="P234" s="3">
        <f>IF(detalhe_carro1[[#This Row],[Tipo]]="Visitar Nó",((detalhe_carro1[[#This Row],[Hora Fim]]-detalhe_carro1[[#This Row],[Hora Inicio]])/60*velocidade_nos),0)</f>
        <v>0</v>
      </c>
      <c r="Q234" s="29">
        <f>detalhe_carro1[[#This Row],[Kms Nós]]+detalhe_carro1[[#This Row],[kms]]</f>
        <v>0</v>
      </c>
      <c r="S234" s="20">
        <v>3</v>
      </c>
      <c r="T234" s="38">
        <v>2</v>
      </c>
      <c r="U234" s="38">
        <v>2</v>
      </c>
      <c r="V234" s="38" t="s">
        <v>228</v>
      </c>
      <c r="W234" s="30">
        <v>1002</v>
      </c>
      <c r="X234" s="30">
        <v>1002</v>
      </c>
      <c r="Y234" s="30">
        <v>996</v>
      </c>
      <c r="Z234" s="39">
        <v>0.98750000000000004</v>
      </c>
      <c r="AA234" s="39">
        <v>0.98750000000000004</v>
      </c>
      <c r="AB234" s="39">
        <v>0.98333333333333328</v>
      </c>
      <c r="AC2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235" spans="2:29" x14ac:dyDescent="0.25">
      <c r="B235" s="3">
        <v>3</v>
      </c>
      <c r="C235">
        <v>0</v>
      </c>
      <c r="D235">
        <v>2</v>
      </c>
      <c r="E235" s="29" t="s">
        <v>228</v>
      </c>
      <c r="F235" s="3">
        <v>138</v>
      </c>
      <c r="G235" s="3">
        <v>138</v>
      </c>
      <c r="H235" s="29" t="s">
        <v>44</v>
      </c>
      <c r="J235" s="7">
        <v>0.38750000000000001</v>
      </c>
      <c r="K235" s="7">
        <v>0.38750000000000001</v>
      </c>
      <c r="L235" s="3">
        <f t="shared" si="6"/>
        <v>0</v>
      </c>
      <c r="M235" s="3">
        <f t="shared" si="7"/>
        <v>1</v>
      </c>
      <c r="N235" s="29">
        <f>_xlfn.MAXIFS($G$7:G234,$E$7:E234,detalhe_carro1[[#This Row],[Nó]],$B$7:B234,detalhe_carro1[[#This Row],[Numero Voltas]],$L$7:L234,1)</f>
        <v>27</v>
      </c>
      <c r="O235" s="3">
        <f>IF(OR(detalhe_carro1[[#This Row],[Ultima Chegada]]=0,detalhe_carro1[[#This Row],[Chegada]]=0),"",detalhe_carro1[[#This Row],[Hora Inicio]]-detalhe_carro1[[#This Row],[Ultima Chegada]])</f>
        <v>111</v>
      </c>
      <c r="P235" s="3">
        <f>IF(detalhe_carro1[[#This Row],[Tipo]]="Visitar Nó",((detalhe_carro1[[#This Row],[Hora Fim]]-detalhe_carro1[[#This Row],[Hora Inicio]])/60*velocidade_nos),0)</f>
        <v>0</v>
      </c>
      <c r="Q235" s="29">
        <f>detalhe_carro1[[#This Row],[Kms Nós]]+detalhe_carro1[[#This Row],[kms]]</f>
        <v>0</v>
      </c>
      <c r="S235" s="20">
        <v>3</v>
      </c>
      <c r="T235" s="38">
        <v>2</v>
      </c>
      <c r="U235" s="38">
        <v>3</v>
      </c>
      <c r="V235" s="38" t="s">
        <v>208</v>
      </c>
      <c r="W235" s="30">
        <v>1005</v>
      </c>
      <c r="X235" s="30">
        <v>1005</v>
      </c>
      <c r="Y235" s="30">
        <v>993</v>
      </c>
      <c r="Z235" s="39">
        <v>0.98958333333333337</v>
      </c>
      <c r="AA235" s="39">
        <v>0.98958333333333337</v>
      </c>
      <c r="AB235" s="39">
        <v>0.98124999999999996</v>
      </c>
      <c r="AC2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36" spans="2:29" x14ac:dyDescent="0.25">
      <c r="B236" s="3">
        <v>3</v>
      </c>
      <c r="C236">
        <v>0</v>
      </c>
      <c r="D236">
        <v>2</v>
      </c>
      <c r="E236" s="29" t="s">
        <v>228</v>
      </c>
      <c r="F236" s="3">
        <v>138</v>
      </c>
      <c r="G236" s="3">
        <v>156</v>
      </c>
      <c r="H236" s="29" t="s">
        <v>43</v>
      </c>
      <c r="J236" s="7">
        <v>0.38750000000000001</v>
      </c>
      <c r="K236" s="7">
        <v>0.4</v>
      </c>
      <c r="L236" s="3">
        <f t="shared" si="6"/>
        <v>1</v>
      </c>
      <c r="M236" s="3">
        <f t="shared" si="7"/>
        <v>0</v>
      </c>
      <c r="N236" s="29">
        <f>_xlfn.MAXIFS($G$7:G235,$E$7:E235,detalhe_carro1[[#This Row],[Nó]],$B$7:B235,detalhe_carro1[[#This Row],[Numero Voltas]],$L$7:L235,1)</f>
        <v>27</v>
      </c>
      <c r="O236" s="3" t="str">
        <f>IF(OR(detalhe_carro1[[#This Row],[Ultima Chegada]]=0,detalhe_carro1[[#This Row],[Chegada]]=0),"",detalhe_carro1[[#This Row],[Hora Inicio]]-detalhe_carro1[[#This Row],[Ultima Chegada]])</f>
        <v/>
      </c>
      <c r="P236" s="3">
        <f>IF(detalhe_carro1[[#This Row],[Tipo]]="Visitar Nó",((detalhe_carro1[[#This Row],[Hora Fim]]-detalhe_carro1[[#This Row],[Hora Inicio]])/60*velocidade_nos),0)</f>
        <v>9</v>
      </c>
      <c r="Q236" s="29">
        <f>detalhe_carro1[[#This Row],[Kms Nós]]+detalhe_carro1[[#This Row],[kms]]</f>
        <v>9</v>
      </c>
      <c r="S236" s="20">
        <v>3</v>
      </c>
      <c r="T236" s="38">
        <v>2</v>
      </c>
      <c r="U236" s="38">
        <v>4</v>
      </c>
      <c r="V236" s="38" t="s">
        <v>2</v>
      </c>
      <c r="W236" s="30">
        <v>1010</v>
      </c>
      <c r="X236" s="30">
        <v>1063</v>
      </c>
      <c r="Y236" s="30">
        <v>988</v>
      </c>
      <c r="Z236" s="39">
        <v>0.99305555555555558</v>
      </c>
      <c r="AA236" s="39">
        <v>2.9861111111111113E-2</v>
      </c>
      <c r="AB236" s="39">
        <v>0.97777777777777775</v>
      </c>
      <c r="AC2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237" spans="2:29" x14ac:dyDescent="0.25">
      <c r="B237" s="3">
        <v>3</v>
      </c>
      <c r="C237">
        <v>0</v>
      </c>
      <c r="D237">
        <v>1</v>
      </c>
      <c r="E237" s="29" t="s">
        <v>200</v>
      </c>
      <c r="F237" s="3">
        <v>158</v>
      </c>
      <c r="G237" s="3">
        <v>158</v>
      </c>
      <c r="H237" s="29" t="s">
        <v>44</v>
      </c>
      <c r="J237" s="7">
        <v>0.40138888888888891</v>
      </c>
      <c r="K237" s="7">
        <v>0.40138888888888891</v>
      </c>
      <c r="L237" s="3">
        <f t="shared" si="6"/>
        <v>1</v>
      </c>
      <c r="M237" s="3">
        <f t="shared" si="7"/>
        <v>1</v>
      </c>
      <c r="N237" s="29">
        <f>_xlfn.MAXIFS($G$7:G236,$E$7:E236,detalhe_carro1[[#This Row],[Nó]],$B$7:B236,detalhe_carro1[[#This Row],[Numero Voltas]],$L$7:L236,1)</f>
        <v>26</v>
      </c>
      <c r="O237" s="3">
        <f>IF(OR(detalhe_carro1[[#This Row],[Ultima Chegada]]=0,detalhe_carro1[[#This Row],[Chegada]]=0),"",detalhe_carro1[[#This Row],[Hora Inicio]]-detalhe_carro1[[#This Row],[Ultima Chegada]])</f>
        <v>132</v>
      </c>
      <c r="P237" s="3">
        <f>IF(detalhe_carro1[[#This Row],[Tipo]]="Visitar Nó",((detalhe_carro1[[#This Row],[Hora Fim]]-detalhe_carro1[[#This Row],[Hora Inicio]])/60*velocidade_nos),0)</f>
        <v>0</v>
      </c>
      <c r="Q237" s="29">
        <f>detalhe_carro1[[#This Row],[Kms Nós]]+detalhe_carro1[[#This Row],[kms]]</f>
        <v>0</v>
      </c>
      <c r="S237" s="20">
        <v>3</v>
      </c>
      <c r="T237" s="38">
        <v>2</v>
      </c>
      <c r="U237" s="38">
        <v>5</v>
      </c>
      <c r="V237" s="38" t="s">
        <v>215</v>
      </c>
      <c r="W237" s="30">
        <v>1066</v>
      </c>
      <c r="X237" s="30">
        <v>1066</v>
      </c>
      <c r="Y237" s="30">
        <v>957</v>
      </c>
      <c r="Z237" s="39">
        <v>3.1944444444444442E-2</v>
      </c>
      <c r="AA237" s="39">
        <v>3.1944444444444442E-2</v>
      </c>
      <c r="AB237" s="39">
        <v>0.95625000000000004</v>
      </c>
      <c r="AC2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1.8166666666666667</v>
      </c>
    </row>
    <row r="238" spans="2:29" x14ac:dyDescent="0.25">
      <c r="B238" s="3">
        <v>3</v>
      </c>
      <c r="C238">
        <v>0</v>
      </c>
      <c r="D238">
        <v>0</v>
      </c>
      <c r="E238" s="29" t="s">
        <v>203</v>
      </c>
      <c r="F238" s="3">
        <v>160</v>
      </c>
      <c r="G238" s="3">
        <v>160</v>
      </c>
      <c r="H238" s="29" t="s">
        <v>44</v>
      </c>
      <c r="J238" s="7">
        <v>0.40277777777777779</v>
      </c>
      <c r="K238" s="7">
        <v>0.40277777777777779</v>
      </c>
      <c r="L238" s="3">
        <f t="shared" si="6"/>
        <v>0</v>
      </c>
      <c r="M238" s="3">
        <f t="shared" si="7"/>
        <v>1</v>
      </c>
      <c r="N238" s="29">
        <f>_xlfn.MAXIFS($G$7:G237,$E$7:E237,detalhe_carro1[[#This Row],[Nó]],$B$7:B237,detalhe_carro1[[#This Row],[Numero Voltas]],$L$7:L237,1)</f>
        <v>24</v>
      </c>
      <c r="O238" s="3">
        <f>IF(OR(detalhe_carro1[[#This Row],[Ultima Chegada]]=0,detalhe_carro1[[#This Row],[Chegada]]=0),"",detalhe_carro1[[#This Row],[Hora Inicio]]-detalhe_carro1[[#This Row],[Ultima Chegada]])</f>
        <v>136</v>
      </c>
      <c r="P238" s="3">
        <f>IF(detalhe_carro1[[#This Row],[Tipo]]="Visitar Nó",((detalhe_carro1[[#This Row],[Hora Fim]]-detalhe_carro1[[#This Row],[Hora Inicio]])/60*velocidade_nos),0)</f>
        <v>0</v>
      </c>
      <c r="Q238" s="29">
        <f>detalhe_carro1[[#This Row],[Kms Nós]]+detalhe_carro1[[#This Row],[kms]]</f>
        <v>0</v>
      </c>
      <c r="S238" s="20">
        <v>3</v>
      </c>
      <c r="T238" s="38">
        <v>2</v>
      </c>
      <c r="U238" s="38">
        <v>6</v>
      </c>
      <c r="V238" s="38" t="s">
        <v>300</v>
      </c>
      <c r="W238" s="30">
        <v>1070</v>
      </c>
      <c r="X238" s="30">
        <v>1070</v>
      </c>
      <c r="Y238" s="30">
        <v>953</v>
      </c>
      <c r="Z238" s="39">
        <v>3.4722222222222224E-2</v>
      </c>
      <c r="AA238" s="39">
        <v>3.4722222222222224E-2</v>
      </c>
      <c r="AB238" s="39">
        <v>0.95347222222222228</v>
      </c>
      <c r="AC2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1.95</v>
      </c>
    </row>
    <row r="239" spans="2:29" x14ac:dyDescent="0.25">
      <c r="B239" s="3">
        <v>3</v>
      </c>
      <c r="C239">
        <v>0</v>
      </c>
      <c r="D239">
        <v>0</v>
      </c>
      <c r="E239" s="29" t="s">
        <v>203</v>
      </c>
      <c r="F239" s="3">
        <v>160</v>
      </c>
      <c r="G239" s="3">
        <v>186</v>
      </c>
      <c r="H239" s="29" t="s">
        <v>45</v>
      </c>
      <c r="J239" s="7">
        <v>0.40277777777777779</v>
      </c>
      <c r="K239" s="7">
        <v>0.42083333333333334</v>
      </c>
      <c r="L239" s="3">
        <f t="shared" si="6"/>
        <v>0</v>
      </c>
      <c r="M239" s="3">
        <f t="shared" si="7"/>
        <v>0</v>
      </c>
      <c r="N239" s="29">
        <f>_xlfn.MAXIFS($G$7:G238,$E$7:E238,detalhe_carro1[[#This Row],[Nó]],$B$7:B238,detalhe_carro1[[#This Row],[Numero Voltas]],$L$7:L238,1)</f>
        <v>24</v>
      </c>
      <c r="O239" s="3" t="str">
        <f>IF(OR(detalhe_carro1[[#This Row],[Ultima Chegada]]=0,detalhe_carro1[[#This Row],[Chegada]]=0),"",detalhe_carro1[[#This Row],[Hora Inicio]]-detalhe_carro1[[#This Row],[Ultima Chegada]])</f>
        <v/>
      </c>
      <c r="P239" s="3">
        <f>IF(detalhe_carro1[[#This Row],[Tipo]]="Visitar Nó",((detalhe_carro1[[#This Row],[Hora Fim]]-detalhe_carro1[[#This Row],[Hora Inicio]])/60*velocidade_nos),0)</f>
        <v>0</v>
      </c>
      <c r="Q239" s="29">
        <f>detalhe_carro1[[#This Row],[Kms Nós]]+detalhe_carro1[[#This Row],[kms]]</f>
        <v>0</v>
      </c>
      <c r="S239" s="20">
        <v>3</v>
      </c>
      <c r="T239" s="38">
        <v>2</v>
      </c>
      <c r="U239" s="38">
        <v>7</v>
      </c>
      <c r="V239" s="38" t="s">
        <v>301</v>
      </c>
      <c r="W239" s="30">
        <v>1073</v>
      </c>
      <c r="X239" s="30">
        <v>1073</v>
      </c>
      <c r="Y239" s="30">
        <v>950</v>
      </c>
      <c r="Z239" s="39">
        <v>3.6805555555555557E-2</v>
      </c>
      <c r="AA239" s="39">
        <v>3.6805555555555557E-2</v>
      </c>
      <c r="AB239" s="39">
        <v>0.95138888888888884</v>
      </c>
      <c r="AC2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2.0499999999999998</v>
      </c>
    </row>
    <row r="240" spans="2:29" x14ac:dyDescent="0.25">
      <c r="B240" s="3">
        <v>3</v>
      </c>
      <c r="C240">
        <v>0</v>
      </c>
      <c r="D240">
        <v>0</v>
      </c>
      <c r="E240" s="29" t="s">
        <v>203</v>
      </c>
      <c r="F240" s="3">
        <v>186</v>
      </c>
      <c r="G240" s="3">
        <v>186</v>
      </c>
      <c r="H240" s="29" t="s">
        <v>44</v>
      </c>
      <c r="J240" s="7">
        <v>0.42083333333333334</v>
      </c>
      <c r="K240" s="7">
        <v>0.42083333333333334</v>
      </c>
      <c r="L240" s="3">
        <f t="shared" si="6"/>
        <v>1</v>
      </c>
      <c r="M240" s="3">
        <f t="shared" si="7"/>
        <v>0</v>
      </c>
      <c r="N240" s="29">
        <f>_xlfn.MAXIFS($G$7:G239,$E$7:E239,detalhe_carro1[[#This Row],[Nó]],$B$7:B239,detalhe_carro1[[#This Row],[Numero Voltas]],$L$7:L239,1)</f>
        <v>24</v>
      </c>
      <c r="O240" s="3" t="str">
        <f>IF(OR(detalhe_carro1[[#This Row],[Ultima Chegada]]=0,detalhe_carro1[[#This Row],[Chegada]]=0),"",detalhe_carro1[[#This Row],[Hora Inicio]]-detalhe_carro1[[#This Row],[Ultima Chegada]])</f>
        <v/>
      </c>
      <c r="P240" s="3">
        <f>IF(detalhe_carro1[[#This Row],[Tipo]]="Visitar Nó",((detalhe_carro1[[#This Row],[Hora Fim]]-detalhe_carro1[[#This Row],[Hora Inicio]])/60*velocidade_nos),0)</f>
        <v>0</v>
      </c>
      <c r="Q240" s="29">
        <f>detalhe_carro1[[#This Row],[Kms Nós]]+detalhe_carro1[[#This Row],[kms]]</f>
        <v>0</v>
      </c>
      <c r="S240" s="20">
        <v>3</v>
      </c>
      <c r="T240" s="38">
        <v>2</v>
      </c>
      <c r="U240" s="38">
        <v>8</v>
      </c>
      <c r="V240" s="38" t="s">
        <v>302</v>
      </c>
      <c r="W240" s="30">
        <v>1079</v>
      </c>
      <c r="X240" s="30">
        <v>1079</v>
      </c>
      <c r="Y240" s="30">
        <v>944</v>
      </c>
      <c r="Z240" s="39">
        <v>4.0972222222222222E-2</v>
      </c>
      <c r="AA240" s="39">
        <v>4.0972222222222222E-2</v>
      </c>
      <c r="AB240" s="39">
        <v>0.94722222222222219</v>
      </c>
      <c r="AC2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2.25</v>
      </c>
    </row>
    <row r="241" spans="2:29" x14ac:dyDescent="0.25">
      <c r="B241" s="3">
        <v>3</v>
      </c>
      <c r="C241">
        <v>0</v>
      </c>
      <c r="D241">
        <v>1</v>
      </c>
      <c r="E241" s="29" t="s">
        <v>200</v>
      </c>
      <c r="F241" s="3">
        <v>188</v>
      </c>
      <c r="G241" s="3">
        <v>188</v>
      </c>
      <c r="H241" s="29" t="s">
        <v>44</v>
      </c>
      <c r="J241" s="7">
        <v>0.42222222222222222</v>
      </c>
      <c r="K241" s="7">
        <v>0.42222222222222222</v>
      </c>
      <c r="L241" s="3">
        <f t="shared" si="6"/>
        <v>0</v>
      </c>
      <c r="M241" s="3">
        <f t="shared" si="7"/>
        <v>1</v>
      </c>
      <c r="N241" s="29">
        <f>_xlfn.MAXIFS($G$7:G240,$E$7:E240,detalhe_carro1[[#This Row],[Nó]],$B$7:B240,detalhe_carro1[[#This Row],[Numero Voltas]],$L$7:L240,1)</f>
        <v>158</v>
      </c>
      <c r="O241" s="3">
        <f>IF(OR(detalhe_carro1[[#This Row],[Ultima Chegada]]=0,detalhe_carro1[[#This Row],[Chegada]]=0),"",detalhe_carro1[[#This Row],[Hora Inicio]]-detalhe_carro1[[#This Row],[Ultima Chegada]])</f>
        <v>30</v>
      </c>
      <c r="P241" s="3">
        <f>IF(detalhe_carro1[[#This Row],[Tipo]]="Visitar Nó",((detalhe_carro1[[#This Row],[Hora Fim]]-detalhe_carro1[[#This Row],[Hora Inicio]])/60*velocidade_nos),0)</f>
        <v>0</v>
      </c>
      <c r="Q241" s="29">
        <f>detalhe_carro1[[#This Row],[Kms Nós]]+detalhe_carro1[[#This Row],[kms]]</f>
        <v>0</v>
      </c>
      <c r="S241" s="20">
        <v>3</v>
      </c>
      <c r="T241" s="38">
        <v>2</v>
      </c>
      <c r="U241" s="38">
        <v>9</v>
      </c>
      <c r="V241" s="38" t="s">
        <v>303</v>
      </c>
      <c r="W241" s="30">
        <v>1085</v>
      </c>
      <c r="X241" s="30">
        <v>1095</v>
      </c>
      <c r="Y241" s="30">
        <v>938</v>
      </c>
      <c r="Z241" s="39">
        <v>4.5138888888888888E-2</v>
      </c>
      <c r="AA241" s="39">
        <v>5.2083333333333336E-2</v>
      </c>
      <c r="AB241" s="39">
        <v>0.94305555555555554</v>
      </c>
      <c r="AC2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242" spans="2:29" x14ac:dyDescent="0.25">
      <c r="B242" s="3">
        <v>3</v>
      </c>
      <c r="C242">
        <v>0</v>
      </c>
      <c r="D242">
        <v>1</v>
      </c>
      <c r="E242" s="29" t="s">
        <v>200</v>
      </c>
      <c r="F242" s="3">
        <v>188</v>
      </c>
      <c r="G242" s="3">
        <v>192</v>
      </c>
      <c r="H242" s="29" t="s">
        <v>43</v>
      </c>
      <c r="J242" s="7">
        <v>0.42222222222222222</v>
      </c>
      <c r="K242" s="7">
        <v>0.42499999999999999</v>
      </c>
      <c r="L242" s="3">
        <f t="shared" si="6"/>
        <v>1</v>
      </c>
      <c r="M242" s="3">
        <f t="shared" si="7"/>
        <v>0</v>
      </c>
      <c r="N242" s="29">
        <f>_xlfn.MAXIFS($G$7:G241,$E$7:E241,detalhe_carro1[[#This Row],[Nó]],$B$7:B241,detalhe_carro1[[#This Row],[Numero Voltas]],$L$7:L241,1)</f>
        <v>158</v>
      </c>
      <c r="O242" s="3" t="str">
        <f>IF(OR(detalhe_carro1[[#This Row],[Ultima Chegada]]=0,detalhe_carro1[[#This Row],[Chegada]]=0),"",detalhe_carro1[[#This Row],[Hora Inicio]]-detalhe_carro1[[#This Row],[Ultima Chegada]])</f>
        <v/>
      </c>
      <c r="P242" s="3">
        <f>IF(detalhe_carro1[[#This Row],[Tipo]]="Visitar Nó",((detalhe_carro1[[#This Row],[Hora Fim]]-detalhe_carro1[[#This Row],[Hora Inicio]])/60*velocidade_nos),0)</f>
        <v>2</v>
      </c>
      <c r="Q242" s="29">
        <f>detalhe_carro1[[#This Row],[Kms Nós]]+detalhe_carro1[[#This Row],[kms]]</f>
        <v>2</v>
      </c>
      <c r="S242" s="20">
        <v>3</v>
      </c>
      <c r="T242" s="38">
        <v>2</v>
      </c>
      <c r="U242" s="38">
        <v>8</v>
      </c>
      <c r="V242" s="38" t="s">
        <v>302</v>
      </c>
      <c r="W242" s="30">
        <v>1101</v>
      </c>
      <c r="X242" s="30">
        <v>1161</v>
      </c>
      <c r="Y242" s="30">
        <v>1079</v>
      </c>
      <c r="Z242" s="39">
        <v>5.6250000000000001E-2</v>
      </c>
      <c r="AA242" s="39">
        <v>9.7916666666666666E-2</v>
      </c>
      <c r="AB242" s="39">
        <v>4.0972222222222222E-2</v>
      </c>
      <c r="AC2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243" spans="2:29" x14ac:dyDescent="0.25">
      <c r="B243" s="3">
        <v>3</v>
      </c>
      <c r="C243">
        <v>0</v>
      </c>
      <c r="D243">
        <v>2</v>
      </c>
      <c r="E243" s="29" t="s">
        <v>228</v>
      </c>
      <c r="F243" s="3">
        <v>193</v>
      </c>
      <c r="G243" s="3">
        <v>193</v>
      </c>
      <c r="H243" s="29" t="s">
        <v>44</v>
      </c>
      <c r="J243" s="7">
        <v>0.42569444444444443</v>
      </c>
      <c r="K243" s="7">
        <v>0.42569444444444443</v>
      </c>
      <c r="L243" s="3">
        <f t="shared" si="6"/>
        <v>0</v>
      </c>
      <c r="M243" s="3">
        <f t="shared" si="7"/>
        <v>1</v>
      </c>
      <c r="N243" s="29">
        <f>_xlfn.MAXIFS($G$7:G242,$E$7:E242,detalhe_carro1[[#This Row],[Nó]],$B$7:B242,detalhe_carro1[[#This Row],[Numero Voltas]],$L$7:L242,1)</f>
        <v>156</v>
      </c>
      <c r="O243" s="3">
        <f>IF(OR(detalhe_carro1[[#This Row],[Ultima Chegada]]=0,detalhe_carro1[[#This Row],[Chegada]]=0),"",detalhe_carro1[[#This Row],[Hora Inicio]]-detalhe_carro1[[#This Row],[Ultima Chegada]])</f>
        <v>37</v>
      </c>
      <c r="P243" s="3">
        <f>IF(detalhe_carro1[[#This Row],[Tipo]]="Visitar Nó",((detalhe_carro1[[#This Row],[Hora Fim]]-detalhe_carro1[[#This Row],[Hora Inicio]])/60*velocidade_nos),0)</f>
        <v>0</v>
      </c>
      <c r="Q243" s="29">
        <f>detalhe_carro1[[#This Row],[Kms Nós]]+detalhe_carro1[[#This Row],[kms]]</f>
        <v>0</v>
      </c>
      <c r="S243" s="20">
        <v>3</v>
      </c>
      <c r="T243" s="38">
        <v>2</v>
      </c>
      <c r="U243" s="38">
        <v>7</v>
      </c>
      <c r="V243" s="38" t="s">
        <v>301</v>
      </c>
      <c r="W243" s="30">
        <v>1167</v>
      </c>
      <c r="X243" s="30">
        <v>1177</v>
      </c>
      <c r="Y243" s="30">
        <v>1073</v>
      </c>
      <c r="Z243" s="39">
        <v>0.10208333333333333</v>
      </c>
      <c r="AA243" s="39">
        <v>0.10902777777777778</v>
      </c>
      <c r="AB243" s="39">
        <v>3.6805555555555557E-2</v>
      </c>
      <c r="AC2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244" spans="2:29" x14ac:dyDescent="0.25">
      <c r="B244" s="3">
        <v>3</v>
      </c>
      <c r="C244">
        <v>0</v>
      </c>
      <c r="D244">
        <v>2</v>
      </c>
      <c r="E244" s="29" t="s">
        <v>228</v>
      </c>
      <c r="F244" s="3">
        <v>193</v>
      </c>
      <c r="G244" s="3">
        <v>211</v>
      </c>
      <c r="H244" s="29" t="s">
        <v>43</v>
      </c>
      <c r="J244" s="7">
        <v>0.42569444444444443</v>
      </c>
      <c r="K244" s="7">
        <v>0.43819444444444444</v>
      </c>
      <c r="L244" s="3">
        <f t="shared" si="6"/>
        <v>1</v>
      </c>
      <c r="M244" s="3">
        <f t="shared" si="7"/>
        <v>0</v>
      </c>
      <c r="N244" s="29">
        <f>_xlfn.MAXIFS($G$7:G243,$E$7:E243,detalhe_carro1[[#This Row],[Nó]],$B$7:B243,detalhe_carro1[[#This Row],[Numero Voltas]],$L$7:L243,1)</f>
        <v>156</v>
      </c>
      <c r="O244" s="3" t="str">
        <f>IF(OR(detalhe_carro1[[#This Row],[Ultima Chegada]]=0,detalhe_carro1[[#This Row],[Chegada]]=0),"",detalhe_carro1[[#This Row],[Hora Inicio]]-detalhe_carro1[[#This Row],[Ultima Chegada]])</f>
        <v/>
      </c>
      <c r="P244" s="3">
        <f>IF(detalhe_carro1[[#This Row],[Tipo]]="Visitar Nó",((detalhe_carro1[[#This Row],[Hora Fim]]-detalhe_carro1[[#This Row],[Hora Inicio]])/60*velocidade_nos),0)</f>
        <v>9</v>
      </c>
      <c r="Q244" s="29">
        <f>detalhe_carro1[[#This Row],[Kms Nós]]+detalhe_carro1[[#This Row],[kms]]</f>
        <v>9</v>
      </c>
      <c r="S244" s="20">
        <v>3</v>
      </c>
      <c r="T244" s="38">
        <v>2</v>
      </c>
      <c r="U244" s="38">
        <v>6</v>
      </c>
      <c r="V244" s="38" t="s">
        <v>300</v>
      </c>
      <c r="W244" s="30">
        <v>1180</v>
      </c>
      <c r="X244" s="30">
        <v>1180</v>
      </c>
      <c r="Y244" s="30">
        <v>1070</v>
      </c>
      <c r="Z244" s="39">
        <v>0.1111111111111111</v>
      </c>
      <c r="AA244" s="39">
        <v>0.1111111111111111</v>
      </c>
      <c r="AB244" s="39">
        <v>3.4722222222222224E-2</v>
      </c>
      <c r="AC2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1.8333333333333333</v>
      </c>
    </row>
    <row r="245" spans="2:29" x14ac:dyDescent="0.25">
      <c r="B245" s="3">
        <v>3</v>
      </c>
      <c r="C245">
        <v>0</v>
      </c>
      <c r="D245">
        <v>3</v>
      </c>
      <c r="E245" s="29" t="s">
        <v>208</v>
      </c>
      <c r="F245" s="3">
        <v>214</v>
      </c>
      <c r="G245" s="3">
        <v>214</v>
      </c>
      <c r="H245" s="29" t="s">
        <v>44</v>
      </c>
      <c r="J245" s="7">
        <v>0.44027777777777777</v>
      </c>
      <c r="K245" s="7">
        <v>0.44027777777777777</v>
      </c>
      <c r="L245" s="3">
        <f t="shared" si="6"/>
        <v>0</v>
      </c>
      <c r="M245" s="3">
        <f t="shared" si="7"/>
        <v>1</v>
      </c>
      <c r="N245" s="29">
        <f>_xlfn.MAXIFS($G$7:G244,$E$7:E244,detalhe_carro1[[#This Row],[Nó]],$B$7:B244,detalhe_carro1[[#This Row],[Numero Voltas]],$L$7:L244,1)</f>
        <v>136</v>
      </c>
      <c r="O245" s="3">
        <f>IF(OR(detalhe_carro1[[#This Row],[Ultima Chegada]]=0,detalhe_carro1[[#This Row],[Chegada]]=0),"",detalhe_carro1[[#This Row],[Hora Inicio]]-detalhe_carro1[[#This Row],[Ultima Chegada]])</f>
        <v>78</v>
      </c>
      <c r="P245" s="3">
        <f>IF(detalhe_carro1[[#This Row],[Tipo]]="Visitar Nó",((detalhe_carro1[[#This Row],[Hora Fim]]-detalhe_carro1[[#This Row],[Hora Inicio]])/60*velocidade_nos),0)</f>
        <v>0</v>
      </c>
      <c r="Q245" s="29">
        <f>detalhe_carro1[[#This Row],[Kms Nós]]+detalhe_carro1[[#This Row],[kms]]</f>
        <v>0</v>
      </c>
      <c r="S245" s="20">
        <v>3</v>
      </c>
      <c r="T245" s="38">
        <v>2</v>
      </c>
      <c r="U245" s="38">
        <v>5</v>
      </c>
      <c r="V245" s="38" t="s">
        <v>215</v>
      </c>
      <c r="W245" s="30">
        <v>1184</v>
      </c>
      <c r="X245" s="30">
        <v>1184</v>
      </c>
      <c r="Y245" s="30">
        <v>1066</v>
      </c>
      <c r="Z245" s="39">
        <v>0.11388888888888889</v>
      </c>
      <c r="AA245" s="39">
        <v>0.11388888888888889</v>
      </c>
      <c r="AB245" s="39">
        <v>3.1944444444444442E-2</v>
      </c>
      <c r="AC2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246" spans="2:29" x14ac:dyDescent="0.25">
      <c r="B246" s="3">
        <v>3</v>
      </c>
      <c r="C246">
        <v>0</v>
      </c>
      <c r="D246">
        <v>3</v>
      </c>
      <c r="E246" s="29" t="s">
        <v>208</v>
      </c>
      <c r="F246" s="3">
        <v>214</v>
      </c>
      <c r="G246" s="3">
        <v>274</v>
      </c>
      <c r="H246" s="29" t="s">
        <v>47</v>
      </c>
      <c r="J246" s="7">
        <v>0.44027777777777777</v>
      </c>
      <c r="K246" s="7">
        <v>0.48194444444444445</v>
      </c>
      <c r="L246" s="3">
        <f t="shared" si="6"/>
        <v>0</v>
      </c>
      <c r="M246" s="3">
        <f t="shared" si="7"/>
        <v>0</v>
      </c>
      <c r="N246" s="29">
        <f>_xlfn.MAXIFS($G$7:G245,$E$7:E245,detalhe_carro1[[#This Row],[Nó]],$B$7:B245,detalhe_carro1[[#This Row],[Numero Voltas]],$L$7:L245,1)</f>
        <v>136</v>
      </c>
      <c r="O246" s="3" t="str">
        <f>IF(OR(detalhe_carro1[[#This Row],[Ultima Chegada]]=0,detalhe_carro1[[#This Row],[Chegada]]=0),"",detalhe_carro1[[#This Row],[Hora Inicio]]-detalhe_carro1[[#This Row],[Ultima Chegada]])</f>
        <v/>
      </c>
      <c r="P246" s="3">
        <f>IF(detalhe_carro1[[#This Row],[Tipo]]="Visitar Nó",((detalhe_carro1[[#This Row],[Hora Fim]]-detalhe_carro1[[#This Row],[Hora Inicio]])/60*velocidade_nos),0)</f>
        <v>0</v>
      </c>
      <c r="Q246" s="29">
        <f>detalhe_carro1[[#This Row],[Kms Nós]]+detalhe_carro1[[#This Row],[kms]]</f>
        <v>0</v>
      </c>
      <c r="S246" s="20">
        <v>3</v>
      </c>
      <c r="T246" s="38">
        <v>2</v>
      </c>
      <c r="U246" s="38">
        <v>4</v>
      </c>
      <c r="V246" s="38" t="s">
        <v>2</v>
      </c>
      <c r="W246" s="30">
        <v>1187</v>
      </c>
      <c r="X246" s="30">
        <v>1187</v>
      </c>
      <c r="Y246" s="30">
        <v>1063</v>
      </c>
      <c r="Z246" s="39">
        <v>0.11597222222222223</v>
      </c>
      <c r="AA246" s="39">
        <v>0.11597222222222223</v>
      </c>
      <c r="AB246" s="39">
        <v>2.9861111111111113E-2</v>
      </c>
      <c r="AC2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2.0666666666666669</v>
      </c>
    </row>
    <row r="247" spans="2:29" x14ac:dyDescent="0.25">
      <c r="B247" s="3">
        <v>3</v>
      </c>
      <c r="C247">
        <v>0</v>
      </c>
      <c r="D247">
        <v>3</v>
      </c>
      <c r="E247" s="29" t="s">
        <v>208</v>
      </c>
      <c r="F247" s="3">
        <v>274</v>
      </c>
      <c r="G247" s="3">
        <v>287</v>
      </c>
      <c r="H247" s="29" t="s">
        <v>43</v>
      </c>
      <c r="J247" s="7">
        <v>0.48194444444444445</v>
      </c>
      <c r="K247" s="7">
        <v>0.4909722222222222</v>
      </c>
      <c r="L247" s="3">
        <f t="shared" si="6"/>
        <v>1</v>
      </c>
      <c r="M247" s="3">
        <f t="shared" si="7"/>
        <v>0</v>
      </c>
      <c r="N247" s="29">
        <f>_xlfn.MAXIFS($G$7:G246,$E$7:E246,detalhe_carro1[[#This Row],[Nó]],$B$7:B246,detalhe_carro1[[#This Row],[Numero Voltas]],$L$7:L246,1)</f>
        <v>136</v>
      </c>
      <c r="O247" s="3" t="str">
        <f>IF(OR(detalhe_carro1[[#This Row],[Ultima Chegada]]=0,detalhe_carro1[[#This Row],[Chegada]]=0),"",detalhe_carro1[[#This Row],[Hora Inicio]]-detalhe_carro1[[#This Row],[Ultima Chegada]])</f>
        <v/>
      </c>
      <c r="P247" s="3">
        <f>IF(detalhe_carro1[[#This Row],[Tipo]]="Visitar Nó",((detalhe_carro1[[#This Row],[Hora Fim]]-detalhe_carro1[[#This Row],[Hora Inicio]])/60*velocidade_nos),0)</f>
        <v>6.5</v>
      </c>
      <c r="Q247" s="29">
        <f>detalhe_carro1[[#This Row],[Kms Nós]]+detalhe_carro1[[#This Row],[kms]]</f>
        <v>6.5</v>
      </c>
      <c r="S247" s="20">
        <v>3</v>
      </c>
      <c r="T247" s="38">
        <v>2</v>
      </c>
      <c r="U247" s="38">
        <v>3</v>
      </c>
      <c r="V247" s="38" t="s">
        <v>208</v>
      </c>
      <c r="W247" s="30">
        <v>1192</v>
      </c>
      <c r="X247" s="30">
        <v>1192</v>
      </c>
      <c r="Y247" s="30">
        <v>1005</v>
      </c>
      <c r="Z247" s="39">
        <v>0.11944444444444445</v>
      </c>
      <c r="AA247" s="39">
        <v>0.11944444444444445</v>
      </c>
      <c r="AB247" s="39">
        <v>0.98958333333333337</v>
      </c>
      <c r="AC2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3.1166666666666667</v>
      </c>
    </row>
    <row r="248" spans="2:29" x14ac:dyDescent="0.25">
      <c r="B248" s="3">
        <v>3</v>
      </c>
      <c r="C248">
        <v>0</v>
      </c>
      <c r="D248">
        <v>4</v>
      </c>
      <c r="E248" s="29" t="s">
        <v>2</v>
      </c>
      <c r="F248" s="3">
        <v>292</v>
      </c>
      <c r="G248" s="3">
        <v>292</v>
      </c>
      <c r="H248" s="29" t="s">
        <v>44</v>
      </c>
      <c r="J248" s="7">
        <v>0.49444444444444446</v>
      </c>
      <c r="K248" s="7">
        <v>0.49444444444444446</v>
      </c>
      <c r="L248" s="3">
        <f t="shared" si="6"/>
        <v>0</v>
      </c>
      <c r="M248" s="3">
        <f t="shared" si="7"/>
        <v>1</v>
      </c>
      <c r="N248" s="29">
        <f>_xlfn.MAXIFS($G$7:G247,$E$7:E247,detalhe_carro1[[#This Row],[Nó]],$B$7:B247,detalhe_carro1[[#This Row],[Numero Voltas]],$L$7:L247,1)</f>
        <v>130</v>
      </c>
      <c r="O248" s="3">
        <f>IF(OR(detalhe_carro1[[#This Row],[Ultima Chegada]]=0,detalhe_carro1[[#This Row],[Chegada]]=0),"",detalhe_carro1[[#This Row],[Hora Inicio]]-detalhe_carro1[[#This Row],[Ultima Chegada]])</f>
        <v>162</v>
      </c>
      <c r="P248" s="3">
        <f>IF(detalhe_carro1[[#This Row],[Tipo]]="Visitar Nó",((detalhe_carro1[[#This Row],[Hora Fim]]-detalhe_carro1[[#This Row],[Hora Inicio]])/60*velocidade_nos),0)</f>
        <v>0</v>
      </c>
      <c r="Q248" s="29">
        <f>detalhe_carro1[[#This Row],[Kms Nós]]+detalhe_carro1[[#This Row],[kms]]</f>
        <v>0</v>
      </c>
      <c r="S248" s="20">
        <v>3</v>
      </c>
      <c r="T248" s="38">
        <v>2</v>
      </c>
      <c r="U248" s="38">
        <v>2</v>
      </c>
      <c r="V248" s="38" t="s">
        <v>228</v>
      </c>
      <c r="W248" s="30">
        <v>1195</v>
      </c>
      <c r="X248" s="30">
        <v>1213</v>
      </c>
      <c r="Y248" s="30">
        <v>1002</v>
      </c>
      <c r="Z248" s="39">
        <v>0.12152777777777778</v>
      </c>
      <c r="AA248" s="39">
        <v>0.13402777777777777</v>
      </c>
      <c r="AB248" s="39">
        <v>0.98750000000000004</v>
      </c>
      <c r="AC2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3.2166666666666668</v>
      </c>
    </row>
    <row r="249" spans="2:29" x14ac:dyDescent="0.25">
      <c r="B249" s="3">
        <v>3</v>
      </c>
      <c r="C249">
        <v>0</v>
      </c>
      <c r="D249">
        <v>4</v>
      </c>
      <c r="E249" s="29" t="s">
        <v>2</v>
      </c>
      <c r="F249" s="3">
        <v>292</v>
      </c>
      <c r="G249" s="3">
        <v>305</v>
      </c>
      <c r="H249" s="29" t="s">
        <v>43</v>
      </c>
      <c r="J249" s="7">
        <v>0.49444444444444446</v>
      </c>
      <c r="K249" s="7">
        <v>0.50347222222222221</v>
      </c>
      <c r="L249" s="3">
        <f t="shared" si="6"/>
        <v>1</v>
      </c>
      <c r="M249" s="3">
        <f t="shared" si="7"/>
        <v>0</v>
      </c>
      <c r="N249" s="29">
        <f>_xlfn.MAXIFS($G$7:G248,$E$7:E248,detalhe_carro1[[#This Row],[Nó]],$B$7:B248,detalhe_carro1[[#This Row],[Numero Voltas]],$L$7:L248,1)</f>
        <v>130</v>
      </c>
      <c r="O249" s="3" t="str">
        <f>IF(OR(detalhe_carro1[[#This Row],[Ultima Chegada]]=0,detalhe_carro1[[#This Row],[Chegada]]=0),"",detalhe_carro1[[#This Row],[Hora Inicio]]-detalhe_carro1[[#This Row],[Ultima Chegada]])</f>
        <v/>
      </c>
      <c r="P249" s="3">
        <f>IF(detalhe_carro1[[#This Row],[Tipo]]="Visitar Nó",((detalhe_carro1[[#This Row],[Hora Fim]]-detalhe_carro1[[#This Row],[Hora Inicio]])/60*velocidade_nos),0)</f>
        <v>6.5</v>
      </c>
      <c r="Q249" s="29">
        <f>detalhe_carro1[[#This Row],[Kms Nós]]+detalhe_carro1[[#This Row],[kms]]</f>
        <v>6.5</v>
      </c>
      <c r="S249" s="20">
        <v>3</v>
      </c>
      <c r="T249" s="38">
        <v>2</v>
      </c>
      <c r="U249" s="38">
        <v>1</v>
      </c>
      <c r="V249" s="38" t="s">
        <v>200</v>
      </c>
      <c r="W249" s="30">
        <v>1214</v>
      </c>
      <c r="X249" s="30">
        <v>1214</v>
      </c>
      <c r="Y249" s="30">
        <v>1001</v>
      </c>
      <c r="Z249" s="39">
        <v>0.13472222222222222</v>
      </c>
      <c r="AA249" s="39">
        <v>0.13472222222222222</v>
      </c>
      <c r="AB249" s="39">
        <v>0.9868055555555556</v>
      </c>
      <c r="AC2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3.55</v>
      </c>
    </row>
    <row r="250" spans="2:29" x14ac:dyDescent="0.25">
      <c r="B250" s="3">
        <v>3</v>
      </c>
      <c r="C250">
        <v>0</v>
      </c>
      <c r="D250">
        <v>5</v>
      </c>
      <c r="E250" s="29" t="s">
        <v>215</v>
      </c>
      <c r="F250" s="3">
        <v>308</v>
      </c>
      <c r="G250" s="3">
        <v>308</v>
      </c>
      <c r="H250" s="29" t="s">
        <v>44</v>
      </c>
      <c r="J250" s="7">
        <v>0.50555555555555554</v>
      </c>
      <c r="K250" s="7">
        <v>0.50555555555555554</v>
      </c>
      <c r="L250" s="3">
        <f t="shared" si="6"/>
        <v>1</v>
      </c>
      <c r="M250" s="3">
        <f t="shared" si="7"/>
        <v>1</v>
      </c>
      <c r="N250" s="29">
        <f>_xlfn.MAXIFS($G$7:G249,$E$7:E249,detalhe_carro1[[#This Row],[Nó]],$B$7:B249,detalhe_carro1[[#This Row],[Numero Voltas]],$L$7:L249,1)</f>
        <v>112</v>
      </c>
      <c r="O250" s="3">
        <f>IF(OR(detalhe_carro1[[#This Row],[Ultima Chegada]]=0,detalhe_carro1[[#This Row],[Chegada]]=0),"",detalhe_carro1[[#This Row],[Hora Inicio]]-detalhe_carro1[[#This Row],[Ultima Chegada]])</f>
        <v>196</v>
      </c>
      <c r="P250" s="3">
        <f>IF(detalhe_carro1[[#This Row],[Tipo]]="Visitar Nó",((detalhe_carro1[[#This Row],[Hora Fim]]-detalhe_carro1[[#This Row],[Hora Inicio]])/60*velocidade_nos),0)</f>
        <v>0</v>
      </c>
      <c r="Q250" s="29">
        <f>detalhe_carro1[[#This Row],[Kms Nós]]+detalhe_carro1[[#This Row],[kms]]</f>
        <v>0</v>
      </c>
      <c r="S250" s="20">
        <v>3</v>
      </c>
      <c r="T250" s="38">
        <v>2</v>
      </c>
      <c r="U250" s="38">
        <v>0</v>
      </c>
      <c r="V250" s="38" t="s">
        <v>203</v>
      </c>
      <c r="W250" s="30">
        <v>1216</v>
      </c>
      <c r="X250" s="30">
        <v>1216</v>
      </c>
      <c r="Y250" s="30">
        <v>999</v>
      </c>
      <c r="Z250" s="39">
        <v>0.1361111111111111</v>
      </c>
      <c r="AA250" s="39">
        <v>0.1361111111111111</v>
      </c>
      <c r="AB250" s="39">
        <v>0.98541666666666672</v>
      </c>
      <c r="AC2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3.6166666666666667</v>
      </c>
    </row>
    <row r="251" spans="2:29" x14ac:dyDescent="0.25">
      <c r="B251" s="3">
        <v>3</v>
      </c>
      <c r="C251">
        <v>0</v>
      </c>
      <c r="D251">
        <v>6</v>
      </c>
      <c r="E251" s="29" t="s">
        <v>300</v>
      </c>
      <c r="F251" s="3">
        <v>312</v>
      </c>
      <c r="G251" s="3">
        <v>312</v>
      </c>
      <c r="H251" s="29" t="s">
        <v>44</v>
      </c>
      <c r="J251" s="7">
        <v>0.5083333333333333</v>
      </c>
      <c r="K251" s="7">
        <v>0.5083333333333333</v>
      </c>
      <c r="L251" s="3">
        <f t="shared" si="6"/>
        <v>1</v>
      </c>
      <c r="M251" s="3">
        <f t="shared" si="7"/>
        <v>1</v>
      </c>
      <c r="N251" s="29">
        <f>_xlfn.MAXIFS($G$7:G250,$E$7:E250,detalhe_carro1[[#This Row],[Nó]],$B$7:B250,detalhe_carro1[[#This Row],[Numero Voltas]],$L$7:L250,1)</f>
        <v>108</v>
      </c>
      <c r="O251" s="3">
        <f>IF(OR(detalhe_carro1[[#This Row],[Ultima Chegada]]=0,detalhe_carro1[[#This Row],[Chegada]]=0),"",detalhe_carro1[[#This Row],[Hora Inicio]]-detalhe_carro1[[#This Row],[Ultima Chegada]])</f>
        <v>204</v>
      </c>
      <c r="P251" s="3">
        <f>IF(detalhe_carro1[[#This Row],[Tipo]]="Visitar Nó",((detalhe_carro1[[#This Row],[Hora Fim]]-detalhe_carro1[[#This Row],[Hora Inicio]])/60*velocidade_nos),0)</f>
        <v>0</v>
      </c>
      <c r="Q251" s="29">
        <f>detalhe_carro1[[#This Row],[Kms Nós]]+detalhe_carro1[[#This Row],[kms]]</f>
        <v>0</v>
      </c>
      <c r="S251" s="20">
        <v>3</v>
      </c>
      <c r="T251" s="38">
        <v>2</v>
      </c>
      <c r="U251" s="38">
        <v>1</v>
      </c>
      <c r="V251" s="38" t="s">
        <v>200</v>
      </c>
      <c r="W251" s="30">
        <v>1218</v>
      </c>
      <c r="X251" s="30">
        <v>1222</v>
      </c>
      <c r="Y251" s="30">
        <v>1214</v>
      </c>
      <c r="Z251" s="39">
        <v>0.13750000000000001</v>
      </c>
      <c r="AA251" s="39">
        <v>0.14027777777777778</v>
      </c>
      <c r="AB251" s="39">
        <v>0.13472222222222222</v>
      </c>
      <c r="AC2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52" spans="2:29" x14ac:dyDescent="0.25">
      <c r="B252" s="3">
        <v>3</v>
      </c>
      <c r="C252">
        <v>0</v>
      </c>
      <c r="D252">
        <v>7</v>
      </c>
      <c r="E252" s="29" t="s">
        <v>301</v>
      </c>
      <c r="F252" s="3">
        <v>315</v>
      </c>
      <c r="G252" s="3">
        <v>315</v>
      </c>
      <c r="H252" s="29" t="s">
        <v>44</v>
      </c>
      <c r="J252" s="7">
        <v>0.51041666666666663</v>
      </c>
      <c r="K252" s="7">
        <v>0.51041666666666663</v>
      </c>
      <c r="L252" s="3">
        <f t="shared" si="6"/>
        <v>0</v>
      </c>
      <c r="M252" s="3">
        <f t="shared" si="7"/>
        <v>1</v>
      </c>
      <c r="N252" s="29">
        <f>_xlfn.MAXIFS($G$7:G251,$E$7:E251,detalhe_carro1[[#This Row],[Nó]],$B$7:B251,detalhe_carro1[[#This Row],[Numero Voltas]],$L$7:L251,1)</f>
        <v>106</v>
      </c>
      <c r="O252" s="3">
        <f>IF(OR(detalhe_carro1[[#This Row],[Ultima Chegada]]=0,detalhe_carro1[[#This Row],[Chegada]]=0),"",detalhe_carro1[[#This Row],[Hora Inicio]]-detalhe_carro1[[#This Row],[Ultima Chegada]])</f>
        <v>209</v>
      </c>
      <c r="P252" s="3">
        <f>IF(detalhe_carro1[[#This Row],[Tipo]]="Visitar Nó",((detalhe_carro1[[#This Row],[Hora Fim]]-detalhe_carro1[[#This Row],[Hora Inicio]])/60*velocidade_nos),0)</f>
        <v>0</v>
      </c>
      <c r="Q252" s="29">
        <f>detalhe_carro1[[#This Row],[Kms Nós]]+detalhe_carro1[[#This Row],[kms]]</f>
        <v>0</v>
      </c>
      <c r="S252" s="20">
        <v>3</v>
      </c>
      <c r="T252" s="38">
        <v>2</v>
      </c>
      <c r="U252" s="38">
        <v>2</v>
      </c>
      <c r="V252" s="38" t="s">
        <v>228</v>
      </c>
      <c r="W252" s="30">
        <v>1223</v>
      </c>
      <c r="X252" s="30">
        <v>1241</v>
      </c>
      <c r="Y252" s="30">
        <v>1213</v>
      </c>
      <c r="Z252" s="39">
        <v>0.14097222222222222</v>
      </c>
      <c r="AA252" s="39">
        <v>0.15347222222222223</v>
      </c>
      <c r="AB252" s="39">
        <v>0.13402777777777777</v>
      </c>
      <c r="AC2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253" spans="2:29" x14ac:dyDescent="0.25">
      <c r="B253" s="3">
        <v>3</v>
      </c>
      <c r="C253">
        <v>0</v>
      </c>
      <c r="D253">
        <v>7</v>
      </c>
      <c r="E253" s="29" t="s">
        <v>301</v>
      </c>
      <c r="F253" s="3">
        <v>315</v>
      </c>
      <c r="G253" s="3">
        <v>325</v>
      </c>
      <c r="H253" s="29" t="s">
        <v>43</v>
      </c>
      <c r="J253" s="7">
        <v>0.51041666666666663</v>
      </c>
      <c r="K253" s="7">
        <v>0.51736111111111116</v>
      </c>
      <c r="L253" s="3">
        <f t="shared" si="6"/>
        <v>1</v>
      </c>
      <c r="M253" s="3">
        <f t="shared" si="7"/>
        <v>0</v>
      </c>
      <c r="N253" s="29">
        <f>_xlfn.MAXIFS($G$7:G252,$E$7:E252,detalhe_carro1[[#This Row],[Nó]],$B$7:B252,detalhe_carro1[[#This Row],[Numero Voltas]],$L$7:L252,1)</f>
        <v>106</v>
      </c>
      <c r="O253" s="3" t="str">
        <f>IF(OR(detalhe_carro1[[#This Row],[Ultima Chegada]]=0,detalhe_carro1[[#This Row],[Chegada]]=0),"",detalhe_carro1[[#This Row],[Hora Inicio]]-detalhe_carro1[[#This Row],[Ultima Chegada]])</f>
        <v/>
      </c>
      <c r="P253" s="3">
        <f>IF(detalhe_carro1[[#This Row],[Tipo]]="Visitar Nó",((detalhe_carro1[[#This Row],[Hora Fim]]-detalhe_carro1[[#This Row],[Hora Inicio]])/60*velocidade_nos),0)</f>
        <v>5</v>
      </c>
      <c r="Q253" s="29">
        <f>detalhe_carro1[[#This Row],[Kms Nós]]+detalhe_carro1[[#This Row],[kms]]</f>
        <v>5</v>
      </c>
      <c r="S253" s="20">
        <v>3</v>
      </c>
      <c r="T253" s="38">
        <v>2</v>
      </c>
      <c r="U253" s="38">
        <v>3</v>
      </c>
      <c r="V253" s="38" t="s">
        <v>208</v>
      </c>
      <c r="W253" s="30">
        <v>1244</v>
      </c>
      <c r="X253" s="30">
        <v>1257</v>
      </c>
      <c r="Y253" s="30">
        <v>1192</v>
      </c>
      <c r="Z253" s="39">
        <v>0.15555555555555556</v>
      </c>
      <c r="AA253" s="39">
        <v>0.16458333333333333</v>
      </c>
      <c r="AB253" s="39">
        <v>0.11944444444444445</v>
      </c>
      <c r="AC2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0.8666666666666667</v>
      </c>
    </row>
    <row r="254" spans="2:29" x14ac:dyDescent="0.25">
      <c r="B254" s="3">
        <v>3</v>
      </c>
      <c r="C254">
        <v>0</v>
      </c>
      <c r="D254">
        <v>8</v>
      </c>
      <c r="E254" s="29" t="s">
        <v>302</v>
      </c>
      <c r="F254" s="3">
        <v>331</v>
      </c>
      <c r="G254" s="3">
        <v>331</v>
      </c>
      <c r="H254" s="29" t="s">
        <v>44</v>
      </c>
      <c r="J254" s="7">
        <v>0.52152777777777781</v>
      </c>
      <c r="K254" s="7">
        <v>0.52152777777777781</v>
      </c>
      <c r="L254" s="3">
        <f t="shared" si="6"/>
        <v>0</v>
      </c>
      <c r="M254" s="3">
        <f t="shared" si="7"/>
        <v>1</v>
      </c>
      <c r="N254" s="29">
        <f>_xlfn.MAXIFS($G$7:G253,$E$7:E253,detalhe_carro1[[#This Row],[Nó]],$B$7:B253,detalhe_carro1[[#This Row],[Numero Voltas]],$L$7:L253,1)</f>
        <v>90</v>
      </c>
      <c r="O254" s="3">
        <f>IF(OR(detalhe_carro1[[#This Row],[Ultima Chegada]]=0,detalhe_carro1[[#This Row],[Chegada]]=0),"",detalhe_carro1[[#This Row],[Hora Inicio]]-detalhe_carro1[[#This Row],[Ultima Chegada]])</f>
        <v>241</v>
      </c>
      <c r="P254" s="3">
        <f>IF(detalhe_carro1[[#This Row],[Tipo]]="Visitar Nó",((detalhe_carro1[[#This Row],[Hora Fim]]-detalhe_carro1[[#This Row],[Hora Inicio]])/60*velocidade_nos),0)</f>
        <v>0</v>
      </c>
      <c r="Q254" s="29">
        <f>detalhe_carro1[[#This Row],[Kms Nós]]+detalhe_carro1[[#This Row],[kms]]</f>
        <v>0</v>
      </c>
      <c r="S254" s="20">
        <v>3</v>
      </c>
      <c r="T254" s="38">
        <v>2</v>
      </c>
      <c r="U254" s="38">
        <v>4</v>
      </c>
      <c r="V254" s="38" t="s">
        <v>2</v>
      </c>
      <c r="W254" s="30">
        <v>1262</v>
      </c>
      <c r="X254" s="30">
        <v>1275</v>
      </c>
      <c r="Y254" s="30">
        <v>1187</v>
      </c>
      <c r="Z254" s="39">
        <v>0.16805555555555557</v>
      </c>
      <c r="AA254" s="39">
        <v>0.17708333333333334</v>
      </c>
      <c r="AB254" s="39">
        <v>0.11597222222222223</v>
      </c>
      <c r="AC2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1.25</v>
      </c>
    </row>
    <row r="255" spans="2:29" x14ac:dyDescent="0.25">
      <c r="B255" s="3">
        <v>3</v>
      </c>
      <c r="C255">
        <v>0</v>
      </c>
      <c r="D255">
        <v>8</v>
      </c>
      <c r="E255" s="29" t="s">
        <v>302</v>
      </c>
      <c r="F255" s="3">
        <v>331</v>
      </c>
      <c r="G255" s="3">
        <v>341</v>
      </c>
      <c r="H255" s="29" t="s">
        <v>43</v>
      </c>
      <c r="J255" s="7">
        <v>0.52152777777777781</v>
      </c>
      <c r="K255" s="7">
        <v>0.52847222222222223</v>
      </c>
      <c r="L255" s="3">
        <f t="shared" si="6"/>
        <v>1</v>
      </c>
      <c r="M255" s="3">
        <f t="shared" si="7"/>
        <v>0</v>
      </c>
      <c r="N255" s="29">
        <f>_xlfn.MAXIFS($G$7:G254,$E$7:E254,detalhe_carro1[[#This Row],[Nó]],$B$7:B254,detalhe_carro1[[#This Row],[Numero Voltas]],$L$7:L254,1)</f>
        <v>90</v>
      </c>
      <c r="O255" s="3" t="str">
        <f>IF(OR(detalhe_carro1[[#This Row],[Ultima Chegada]]=0,detalhe_carro1[[#This Row],[Chegada]]=0),"",detalhe_carro1[[#This Row],[Hora Inicio]]-detalhe_carro1[[#This Row],[Ultima Chegada]])</f>
        <v/>
      </c>
      <c r="P255" s="3">
        <f>IF(detalhe_carro1[[#This Row],[Tipo]]="Visitar Nó",((detalhe_carro1[[#This Row],[Hora Fim]]-detalhe_carro1[[#This Row],[Hora Inicio]])/60*velocidade_nos),0)</f>
        <v>5</v>
      </c>
      <c r="Q255" s="29">
        <f>detalhe_carro1[[#This Row],[Kms Nós]]+detalhe_carro1[[#This Row],[kms]]</f>
        <v>5</v>
      </c>
      <c r="S255" s="20">
        <v>3</v>
      </c>
      <c r="T255" s="38">
        <v>2</v>
      </c>
      <c r="U255" s="38">
        <v>5</v>
      </c>
      <c r="V255" s="38" t="s">
        <v>215</v>
      </c>
      <c r="W255" s="30">
        <v>1278</v>
      </c>
      <c r="X255" s="30">
        <v>1278</v>
      </c>
      <c r="Y255" s="30">
        <v>1184</v>
      </c>
      <c r="Z255" s="39">
        <v>0.17916666666666667</v>
      </c>
      <c r="AA255" s="39">
        <v>0.17916666666666667</v>
      </c>
      <c r="AB255" s="39">
        <v>0.11388888888888889</v>
      </c>
      <c r="AC2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256" spans="2:29" x14ac:dyDescent="0.25">
      <c r="B256" s="3">
        <v>3</v>
      </c>
      <c r="C256">
        <v>0</v>
      </c>
      <c r="D256">
        <v>9</v>
      </c>
      <c r="E256" s="29" t="s">
        <v>303</v>
      </c>
      <c r="F256" s="3">
        <v>347</v>
      </c>
      <c r="G256" s="3">
        <v>347</v>
      </c>
      <c r="H256" s="29" t="s">
        <v>44</v>
      </c>
      <c r="J256" s="7">
        <v>0.53263888888888888</v>
      </c>
      <c r="K256" s="7">
        <v>0.53263888888888888</v>
      </c>
      <c r="L256" s="3">
        <f t="shared" si="6"/>
        <v>0</v>
      </c>
      <c r="M256" s="3">
        <f t="shared" si="7"/>
        <v>1</v>
      </c>
      <c r="N256" s="29">
        <f>_xlfn.MAXIFS($G$7:G255,$E$7:E255,detalhe_carro1[[#This Row],[Nó]],$B$7:B255,detalhe_carro1[[#This Row],[Numero Voltas]],$L$7:L255,1)</f>
        <v>84</v>
      </c>
      <c r="O256" s="3">
        <f>IF(OR(detalhe_carro1[[#This Row],[Ultima Chegada]]=0,detalhe_carro1[[#This Row],[Chegada]]=0),"",detalhe_carro1[[#This Row],[Hora Inicio]]-detalhe_carro1[[#This Row],[Ultima Chegada]])</f>
        <v>263</v>
      </c>
      <c r="P256" s="3">
        <f>IF(detalhe_carro1[[#This Row],[Tipo]]="Visitar Nó",((detalhe_carro1[[#This Row],[Hora Fim]]-detalhe_carro1[[#This Row],[Hora Inicio]])/60*velocidade_nos),0)</f>
        <v>0</v>
      </c>
      <c r="Q256" s="29">
        <f>detalhe_carro1[[#This Row],[Kms Nós]]+detalhe_carro1[[#This Row],[kms]]</f>
        <v>0</v>
      </c>
      <c r="S256" s="20">
        <v>3</v>
      </c>
      <c r="T256" s="38">
        <v>2</v>
      </c>
      <c r="U256" s="38">
        <v>6</v>
      </c>
      <c r="V256" s="38" t="s">
        <v>300</v>
      </c>
      <c r="W256" s="30">
        <v>1282</v>
      </c>
      <c r="X256" s="30">
        <v>1282</v>
      </c>
      <c r="Y256" s="30">
        <v>1180</v>
      </c>
      <c r="Z256" s="39">
        <v>0.18194444444444444</v>
      </c>
      <c r="AA256" s="39">
        <v>0.18194444444444444</v>
      </c>
      <c r="AB256" s="39">
        <v>0.1111111111111111</v>
      </c>
      <c r="AC2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v>
      </c>
    </row>
    <row r="257" spans="2:29" x14ac:dyDescent="0.25">
      <c r="B257" s="3">
        <v>3</v>
      </c>
      <c r="C257">
        <v>0</v>
      </c>
      <c r="D257">
        <v>9</v>
      </c>
      <c r="E257" s="29" t="s">
        <v>303</v>
      </c>
      <c r="F257" s="3">
        <v>347</v>
      </c>
      <c r="G257" s="3">
        <v>347</v>
      </c>
      <c r="H257" s="29" t="s">
        <v>44</v>
      </c>
      <c r="J257" s="7">
        <v>0.53263888888888888</v>
      </c>
      <c r="K257" s="7">
        <v>0.53263888888888888</v>
      </c>
      <c r="L257" s="3">
        <f t="shared" si="6"/>
        <v>1</v>
      </c>
      <c r="M257" s="3">
        <f t="shared" si="7"/>
        <v>0</v>
      </c>
      <c r="N257" s="29">
        <f>_xlfn.MAXIFS($G$7:G256,$E$7:E256,detalhe_carro1[[#This Row],[Nó]],$B$7:B256,detalhe_carro1[[#This Row],[Numero Voltas]],$L$7:L256,1)</f>
        <v>84</v>
      </c>
      <c r="O257" s="3" t="str">
        <f>IF(OR(detalhe_carro1[[#This Row],[Ultima Chegada]]=0,detalhe_carro1[[#This Row],[Chegada]]=0),"",detalhe_carro1[[#This Row],[Hora Inicio]]-detalhe_carro1[[#This Row],[Ultima Chegada]])</f>
        <v/>
      </c>
      <c r="P257" s="3">
        <f>IF(detalhe_carro1[[#This Row],[Tipo]]="Visitar Nó",((detalhe_carro1[[#This Row],[Hora Fim]]-detalhe_carro1[[#This Row],[Hora Inicio]])/60*velocidade_nos),0)</f>
        <v>0</v>
      </c>
      <c r="Q257" s="29">
        <f>detalhe_carro1[[#This Row],[Kms Nós]]+detalhe_carro1[[#This Row],[kms]]</f>
        <v>0</v>
      </c>
      <c r="S257" s="20">
        <v>3</v>
      </c>
      <c r="T257" s="38">
        <v>2</v>
      </c>
      <c r="U257" s="38">
        <v>7</v>
      </c>
      <c r="V257" s="38" t="s">
        <v>301</v>
      </c>
      <c r="W257" s="30">
        <v>1285</v>
      </c>
      <c r="X257" s="30">
        <v>1295</v>
      </c>
      <c r="Y257" s="30">
        <v>1177</v>
      </c>
      <c r="Z257" s="39">
        <v>0.18402777777777779</v>
      </c>
      <c r="AA257" s="39">
        <v>0.19097222222222221</v>
      </c>
      <c r="AB257" s="39">
        <v>0.10902777777777778</v>
      </c>
      <c r="AC2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v>
      </c>
    </row>
    <row r="258" spans="2:29" x14ac:dyDescent="0.25">
      <c r="B258" s="3">
        <v>3</v>
      </c>
      <c r="C258">
        <v>0</v>
      </c>
      <c r="D258">
        <v>8</v>
      </c>
      <c r="E258" s="29" t="s">
        <v>302</v>
      </c>
      <c r="F258" s="3">
        <v>353</v>
      </c>
      <c r="G258" s="3">
        <v>353</v>
      </c>
      <c r="H258" s="29" t="s">
        <v>44</v>
      </c>
      <c r="J258" s="7">
        <v>0.53680555555555554</v>
      </c>
      <c r="K258" s="7">
        <v>0.53680555555555554</v>
      </c>
      <c r="L258" s="3">
        <f t="shared" si="6"/>
        <v>0</v>
      </c>
      <c r="M258" s="3">
        <f t="shared" si="7"/>
        <v>1</v>
      </c>
      <c r="N258" s="29">
        <f>_xlfn.MAXIFS($G$7:G257,$E$7:E257,detalhe_carro1[[#This Row],[Nó]],$B$7:B257,detalhe_carro1[[#This Row],[Numero Voltas]],$L$7:L257,1)</f>
        <v>341</v>
      </c>
      <c r="O258" s="3">
        <f>IF(OR(detalhe_carro1[[#This Row],[Ultima Chegada]]=0,detalhe_carro1[[#This Row],[Chegada]]=0),"",detalhe_carro1[[#This Row],[Hora Inicio]]-detalhe_carro1[[#This Row],[Ultima Chegada]])</f>
        <v>12</v>
      </c>
      <c r="P258" s="3">
        <f>IF(detalhe_carro1[[#This Row],[Tipo]]="Visitar Nó",((detalhe_carro1[[#This Row],[Hora Fim]]-detalhe_carro1[[#This Row],[Hora Inicio]])/60*velocidade_nos),0)</f>
        <v>0</v>
      </c>
      <c r="Q258" s="29">
        <f>detalhe_carro1[[#This Row],[Kms Nós]]+detalhe_carro1[[#This Row],[kms]]</f>
        <v>0</v>
      </c>
      <c r="S258" s="20">
        <v>3</v>
      </c>
      <c r="T258" s="38">
        <v>2</v>
      </c>
      <c r="U258" s="38">
        <v>8</v>
      </c>
      <c r="V258" s="38" t="s">
        <v>302</v>
      </c>
      <c r="W258" s="30">
        <v>1301</v>
      </c>
      <c r="X258" s="30">
        <v>1311</v>
      </c>
      <c r="Y258" s="30">
        <v>1161</v>
      </c>
      <c r="Z258" s="39">
        <v>0.19513888888888889</v>
      </c>
      <c r="AA258" s="39">
        <v>0.20208333333333334</v>
      </c>
      <c r="AB258" s="39">
        <v>9.7916666666666666E-2</v>
      </c>
      <c r="AC2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259" spans="2:29" x14ac:dyDescent="0.25">
      <c r="B259" s="3">
        <v>3</v>
      </c>
      <c r="C259">
        <v>0</v>
      </c>
      <c r="D259">
        <v>8</v>
      </c>
      <c r="E259" s="29" t="s">
        <v>302</v>
      </c>
      <c r="F259" s="3">
        <v>353</v>
      </c>
      <c r="G259" s="3">
        <v>363</v>
      </c>
      <c r="H259" s="29" t="s">
        <v>43</v>
      </c>
      <c r="J259" s="7">
        <v>0.53680555555555554</v>
      </c>
      <c r="K259" s="7">
        <v>0.54374999999999996</v>
      </c>
      <c r="L259" s="3">
        <f t="shared" si="6"/>
        <v>1</v>
      </c>
      <c r="M259" s="3">
        <f t="shared" si="7"/>
        <v>0</v>
      </c>
      <c r="N259" s="29">
        <f>_xlfn.MAXIFS($G$7:G258,$E$7:E258,detalhe_carro1[[#This Row],[Nó]],$B$7:B258,detalhe_carro1[[#This Row],[Numero Voltas]],$L$7:L258,1)</f>
        <v>341</v>
      </c>
      <c r="O259" s="3" t="str">
        <f>IF(OR(detalhe_carro1[[#This Row],[Ultima Chegada]]=0,detalhe_carro1[[#This Row],[Chegada]]=0),"",detalhe_carro1[[#This Row],[Hora Inicio]]-detalhe_carro1[[#This Row],[Ultima Chegada]])</f>
        <v/>
      </c>
      <c r="P259" s="3">
        <f>IF(detalhe_carro1[[#This Row],[Tipo]]="Visitar Nó",((detalhe_carro1[[#This Row],[Hora Fim]]-detalhe_carro1[[#This Row],[Hora Inicio]])/60*velocidade_nos),0)</f>
        <v>5</v>
      </c>
      <c r="Q259" s="29">
        <f>detalhe_carro1[[#This Row],[Kms Nós]]+detalhe_carro1[[#This Row],[kms]]</f>
        <v>5</v>
      </c>
      <c r="S259" s="20">
        <v>3</v>
      </c>
      <c r="T259" s="38">
        <v>2</v>
      </c>
      <c r="U259" s="38">
        <v>9</v>
      </c>
      <c r="V259" s="38" t="s">
        <v>303</v>
      </c>
      <c r="W259" s="30">
        <v>1317</v>
      </c>
      <c r="X259" s="30">
        <v>1317</v>
      </c>
      <c r="Y259" s="30">
        <v>1095</v>
      </c>
      <c r="Z259" s="39">
        <v>0.20624999999999999</v>
      </c>
      <c r="AA259" s="39">
        <v>0.20624999999999999</v>
      </c>
      <c r="AB259" s="39">
        <v>5.2083333333333336E-2</v>
      </c>
      <c r="AC2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v>
      </c>
    </row>
    <row r="260" spans="2:29" x14ac:dyDescent="0.25">
      <c r="B260" s="3">
        <v>3</v>
      </c>
      <c r="C260">
        <v>0</v>
      </c>
      <c r="D260">
        <v>7</v>
      </c>
      <c r="E260" s="29" t="s">
        <v>301</v>
      </c>
      <c r="F260" s="3">
        <v>369</v>
      </c>
      <c r="G260" s="3">
        <v>369</v>
      </c>
      <c r="H260" s="29" t="s">
        <v>44</v>
      </c>
      <c r="J260" s="7">
        <v>0.54791666666666672</v>
      </c>
      <c r="K260" s="7">
        <v>0.54791666666666672</v>
      </c>
      <c r="L260" s="3">
        <f t="shared" si="6"/>
        <v>1</v>
      </c>
      <c r="M260" s="3">
        <f t="shared" si="7"/>
        <v>1</v>
      </c>
      <c r="N260" s="29">
        <f>_xlfn.MAXIFS($G$7:G259,$E$7:E259,detalhe_carro1[[#This Row],[Nó]],$B$7:B259,detalhe_carro1[[#This Row],[Numero Voltas]],$L$7:L259,1)</f>
        <v>325</v>
      </c>
      <c r="O260" s="3">
        <f>IF(OR(detalhe_carro1[[#This Row],[Ultima Chegada]]=0,detalhe_carro1[[#This Row],[Chegada]]=0),"",detalhe_carro1[[#This Row],[Hora Inicio]]-detalhe_carro1[[#This Row],[Ultima Chegada]])</f>
        <v>44</v>
      </c>
      <c r="P260" s="3">
        <f>IF(detalhe_carro1[[#This Row],[Tipo]]="Visitar Nó",((detalhe_carro1[[#This Row],[Hora Fim]]-detalhe_carro1[[#This Row],[Hora Inicio]])/60*velocidade_nos),0)</f>
        <v>0</v>
      </c>
      <c r="Q260" s="29">
        <f>detalhe_carro1[[#This Row],[Kms Nós]]+detalhe_carro1[[#This Row],[kms]]</f>
        <v>0</v>
      </c>
      <c r="S260" s="20">
        <v>3</v>
      </c>
      <c r="T260" s="38">
        <v>2</v>
      </c>
      <c r="U260" s="38">
        <v>8</v>
      </c>
      <c r="V260" s="38" t="s">
        <v>302</v>
      </c>
      <c r="W260" s="30">
        <v>1323</v>
      </c>
      <c r="X260" s="30">
        <v>1333</v>
      </c>
      <c r="Y260" s="30">
        <v>1311</v>
      </c>
      <c r="Z260" s="39">
        <v>0.21041666666666667</v>
      </c>
      <c r="AA260" s="39">
        <v>0.21736111111111112</v>
      </c>
      <c r="AB260" s="39">
        <v>0.20208333333333334</v>
      </c>
      <c r="AC2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61" spans="2:29" x14ac:dyDescent="0.25">
      <c r="B261" s="3">
        <v>3</v>
      </c>
      <c r="C261">
        <v>0</v>
      </c>
      <c r="D261">
        <v>6</v>
      </c>
      <c r="E261" s="29" t="s">
        <v>300</v>
      </c>
      <c r="F261" s="3">
        <v>372</v>
      </c>
      <c r="G261" s="3">
        <v>372</v>
      </c>
      <c r="H261" s="29" t="s">
        <v>44</v>
      </c>
      <c r="J261" s="7">
        <v>0.55000000000000004</v>
      </c>
      <c r="K261" s="7">
        <v>0.55000000000000004</v>
      </c>
      <c r="L261" s="3">
        <f t="shared" si="6"/>
        <v>1</v>
      </c>
      <c r="M261" s="3">
        <f t="shared" si="7"/>
        <v>1</v>
      </c>
      <c r="N261" s="29">
        <f>_xlfn.MAXIFS($G$7:G260,$E$7:E260,detalhe_carro1[[#This Row],[Nó]],$B$7:B260,detalhe_carro1[[#This Row],[Numero Voltas]],$L$7:L260,1)</f>
        <v>312</v>
      </c>
      <c r="O261" s="3">
        <f>IF(OR(detalhe_carro1[[#This Row],[Ultima Chegada]]=0,detalhe_carro1[[#This Row],[Chegada]]=0),"",detalhe_carro1[[#This Row],[Hora Inicio]]-detalhe_carro1[[#This Row],[Ultima Chegada]])</f>
        <v>60</v>
      </c>
      <c r="P261" s="3">
        <f>IF(detalhe_carro1[[#This Row],[Tipo]]="Visitar Nó",((detalhe_carro1[[#This Row],[Hora Fim]]-detalhe_carro1[[#This Row],[Hora Inicio]])/60*velocidade_nos),0)</f>
        <v>0</v>
      </c>
      <c r="Q261" s="29">
        <f>detalhe_carro1[[#This Row],[Kms Nós]]+detalhe_carro1[[#This Row],[kms]]</f>
        <v>0</v>
      </c>
      <c r="S261" s="20">
        <v>3</v>
      </c>
      <c r="T261" s="38">
        <v>2</v>
      </c>
      <c r="U261" s="38">
        <v>7</v>
      </c>
      <c r="V261" s="38" t="s">
        <v>301</v>
      </c>
      <c r="W261" s="30">
        <v>1339</v>
      </c>
      <c r="X261" s="30">
        <v>1339</v>
      </c>
      <c r="Y261" s="30">
        <v>1295</v>
      </c>
      <c r="Z261" s="39">
        <v>0.22152777777777777</v>
      </c>
      <c r="AA261" s="39">
        <v>0.22152777777777777</v>
      </c>
      <c r="AB261" s="39">
        <v>0.19097222222222221</v>
      </c>
      <c r="AC2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62" spans="2:29" x14ac:dyDescent="0.25">
      <c r="B262" s="3">
        <v>3</v>
      </c>
      <c r="C262">
        <v>0</v>
      </c>
      <c r="D262">
        <v>5</v>
      </c>
      <c r="E262" s="29" t="s">
        <v>215</v>
      </c>
      <c r="F262" s="3">
        <v>376</v>
      </c>
      <c r="G262" s="3">
        <v>376</v>
      </c>
      <c r="H262" s="29" t="s">
        <v>44</v>
      </c>
      <c r="J262" s="7">
        <v>0.55277777777777781</v>
      </c>
      <c r="K262" s="7">
        <v>0.55277777777777781</v>
      </c>
      <c r="L262" s="3">
        <f t="shared" si="6"/>
        <v>1</v>
      </c>
      <c r="M262" s="3">
        <f t="shared" si="7"/>
        <v>1</v>
      </c>
      <c r="N262" s="29">
        <f>_xlfn.MAXIFS($G$7:G261,$E$7:E261,detalhe_carro1[[#This Row],[Nó]],$B$7:B261,detalhe_carro1[[#This Row],[Numero Voltas]],$L$7:L261,1)</f>
        <v>308</v>
      </c>
      <c r="O262" s="3">
        <f>IF(OR(detalhe_carro1[[#This Row],[Ultima Chegada]]=0,detalhe_carro1[[#This Row],[Chegada]]=0),"",detalhe_carro1[[#This Row],[Hora Inicio]]-detalhe_carro1[[#This Row],[Ultima Chegada]])</f>
        <v>68</v>
      </c>
      <c r="P262" s="3">
        <f>IF(detalhe_carro1[[#This Row],[Tipo]]="Visitar Nó",((detalhe_carro1[[#This Row],[Hora Fim]]-detalhe_carro1[[#This Row],[Hora Inicio]])/60*velocidade_nos),0)</f>
        <v>0</v>
      </c>
      <c r="Q262" s="29">
        <f>detalhe_carro1[[#This Row],[Kms Nós]]+detalhe_carro1[[#This Row],[kms]]</f>
        <v>0</v>
      </c>
      <c r="S262" s="20">
        <v>3</v>
      </c>
      <c r="T262" s="38">
        <v>2</v>
      </c>
      <c r="U262" s="38">
        <v>6</v>
      </c>
      <c r="V262" s="38" t="s">
        <v>300</v>
      </c>
      <c r="W262" s="30">
        <v>1342</v>
      </c>
      <c r="X262" s="30">
        <v>1342</v>
      </c>
      <c r="Y262" s="30">
        <v>1282</v>
      </c>
      <c r="Z262" s="39">
        <v>0.22361111111111112</v>
      </c>
      <c r="AA262" s="39">
        <v>0.22361111111111112</v>
      </c>
      <c r="AB262" s="39">
        <v>0.18194444444444444</v>
      </c>
      <c r="AC2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v>
      </c>
    </row>
    <row r="263" spans="2:29" x14ac:dyDescent="0.25">
      <c r="B263" s="3">
        <v>3</v>
      </c>
      <c r="C263">
        <v>0</v>
      </c>
      <c r="D263">
        <v>4</v>
      </c>
      <c r="E263" s="29" t="s">
        <v>2</v>
      </c>
      <c r="F263" s="3">
        <v>379</v>
      </c>
      <c r="G263" s="3">
        <v>379</v>
      </c>
      <c r="H263" s="29" t="s">
        <v>44</v>
      </c>
      <c r="J263" s="7">
        <v>0.55486111111111114</v>
      </c>
      <c r="K263" s="7">
        <v>0.55486111111111114</v>
      </c>
      <c r="L263" s="3">
        <f t="shared" ref="L263:L326" si="8">IF(E263&lt;&gt;E264,1,0)</f>
        <v>1</v>
      </c>
      <c r="M263" s="3">
        <f t="shared" ref="M263:M326" si="9">IF(E263&lt;&gt;E262,1,0)</f>
        <v>1</v>
      </c>
      <c r="N263" s="29">
        <f>_xlfn.MAXIFS($G$7:G262,$E$7:E262,detalhe_carro1[[#This Row],[Nó]],$B$7:B262,detalhe_carro1[[#This Row],[Numero Voltas]],$L$7:L262,1)</f>
        <v>305</v>
      </c>
      <c r="O263" s="3">
        <f>IF(OR(detalhe_carro1[[#This Row],[Ultima Chegada]]=0,detalhe_carro1[[#This Row],[Chegada]]=0),"",detalhe_carro1[[#This Row],[Hora Inicio]]-detalhe_carro1[[#This Row],[Ultima Chegada]])</f>
        <v>74</v>
      </c>
      <c r="P263" s="3">
        <f>IF(detalhe_carro1[[#This Row],[Tipo]]="Visitar Nó",((detalhe_carro1[[#This Row],[Hora Fim]]-detalhe_carro1[[#This Row],[Hora Inicio]])/60*velocidade_nos),0)</f>
        <v>0</v>
      </c>
      <c r="Q263" s="29">
        <f>detalhe_carro1[[#This Row],[Kms Nós]]+detalhe_carro1[[#This Row],[kms]]</f>
        <v>0</v>
      </c>
      <c r="S263" s="20">
        <v>3</v>
      </c>
      <c r="T263" s="38">
        <v>2</v>
      </c>
      <c r="U263" s="38">
        <v>5</v>
      </c>
      <c r="V263" s="38" t="s">
        <v>215</v>
      </c>
      <c r="W263" s="30">
        <v>1346</v>
      </c>
      <c r="X263" s="30">
        <v>1346</v>
      </c>
      <c r="Y263" s="30">
        <v>1278</v>
      </c>
      <c r="Z263" s="39">
        <v>0.22638888888888889</v>
      </c>
      <c r="AA263" s="39">
        <v>0.22638888888888889</v>
      </c>
      <c r="AB263" s="39">
        <v>0.17916666666666667</v>
      </c>
      <c r="AC2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row>
    <row r="264" spans="2:29" x14ac:dyDescent="0.25">
      <c r="B264" s="3">
        <v>3</v>
      </c>
      <c r="C264">
        <v>0</v>
      </c>
      <c r="D264">
        <v>3</v>
      </c>
      <c r="E264" s="29" t="s">
        <v>208</v>
      </c>
      <c r="F264" s="3">
        <v>384</v>
      </c>
      <c r="G264" s="3">
        <v>384</v>
      </c>
      <c r="H264" s="29" t="s">
        <v>44</v>
      </c>
      <c r="J264" s="7">
        <v>0.55833333333333335</v>
      </c>
      <c r="K264" s="7">
        <v>0.55833333333333335</v>
      </c>
      <c r="L264" s="3">
        <f t="shared" si="8"/>
        <v>0</v>
      </c>
      <c r="M264" s="3">
        <f t="shared" si="9"/>
        <v>1</v>
      </c>
      <c r="N264" s="29">
        <f>_xlfn.MAXIFS($G$7:G263,$E$7:E263,detalhe_carro1[[#This Row],[Nó]],$B$7:B263,detalhe_carro1[[#This Row],[Numero Voltas]],$L$7:L263,1)</f>
        <v>287</v>
      </c>
      <c r="O264" s="3">
        <f>IF(OR(detalhe_carro1[[#This Row],[Ultima Chegada]]=0,detalhe_carro1[[#This Row],[Chegada]]=0),"",detalhe_carro1[[#This Row],[Hora Inicio]]-detalhe_carro1[[#This Row],[Ultima Chegada]])</f>
        <v>97</v>
      </c>
      <c r="P264" s="3">
        <f>IF(detalhe_carro1[[#This Row],[Tipo]]="Visitar Nó",((detalhe_carro1[[#This Row],[Hora Fim]]-detalhe_carro1[[#This Row],[Hora Inicio]])/60*velocidade_nos),0)</f>
        <v>0</v>
      </c>
      <c r="Q264" s="29">
        <f>detalhe_carro1[[#This Row],[Kms Nós]]+detalhe_carro1[[#This Row],[kms]]</f>
        <v>0</v>
      </c>
      <c r="S264" s="20">
        <v>3</v>
      </c>
      <c r="T264" s="38">
        <v>2</v>
      </c>
      <c r="U264" s="38">
        <v>4</v>
      </c>
      <c r="V264" s="38" t="s">
        <v>2</v>
      </c>
      <c r="W264" s="30">
        <v>1349</v>
      </c>
      <c r="X264" s="30">
        <v>1349</v>
      </c>
      <c r="Y264" s="30">
        <v>1275</v>
      </c>
      <c r="Z264" s="39">
        <v>0.22847222222222222</v>
      </c>
      <c r="AA264" s="39">
        <v>0.22847222222222222</v>
      </c>
      <c r="AB264" s="39">
        <v>0.17708333333333334</v>
      </c>
      <c r="AC2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265" spans="2:29" x14ac:dyDescent="0.25">
      <c r="B265" s="3">
        <v>3</v>
      </c>
      <c r="C265">
        <v>0</v>
      </c>
      <c r="D265">
        <v>3</v>
      </c>
      <c r="E265" s="29" t="s">
        <v>208</v>
      </c>
      <c r="F265" s="3">
        <v>384</v>
      </c>
      <c r="G265" s="3">
        <v>397</v>
      </c>
      <c r="H265" s="29" t="s">
        <v>43</v>
      </c>
      <c r="J265" s="7">
        <v>0.55833333333333335</v>
      </c>
      <c r="K265" s="7">
        <v>0.56736111111111109</v>
      </c>
      <c r="L265" s="3">
        <f t="shared" si="8"/>
        <v>1</v>
      </c>
      <c r="M265" s="3">
        <f t="shared" si="9"/>
        <v>0</v>
      </c>
      <c r="N265" s="29">
        <f>_xlfn.MAXIFS($G$7:G264,$E$7:E264,detalhe_carro1[[#This Row],[Nó]],$B$7:B264,detalhe_carro1[[#This Row],[Numero Voltas]],$L$7:L264,1)</f>
        <v>287</v>
      </c>
      <c r="O265" s="3" t="str">
        <f>IF(OR(detalhe_carro1[[#This Row],[Ultima Chegada]]=0,detalhe_carro1[[#This Row],[Chegada]]=0),"",detalhe_carro1[[#This Row],[Hora Inicio]]-detalhe_carro1[[#This Row],[Ultima Chegada]])</f>
        <v/>
      </c>
      <c r="P265" s="3">
        <f>IF(detalhe_carro1[[#This Row],[Tipo]]="Visitar Nó",((detalhe_carro1[[#This Row],[Hora Fim]]-detalhe_carro1[[#This Row],[Hora Inicio]])/60*velocidade_nos),0)</f>
        <v>6.5</v>
      </c>
      <c r="Q265" s="29">
        <f>detalhe_carro1[[#This Row],[Kms Nós]]+detalhe_carro1[[#This Row],[kms]]</f>
        <v>6.5</v>
      </c>
      <c r="S265" s="20">
        <v>3</v>
      </c>
      <c r="T265" s="38">
        <v>2</v>
      </c>
      <c r="U265" s="38">
        <v>3</v>
      </c>
      <c r="V265" s="38" t="s">
        <v>208</v>
      </c>
      <c r="W265" s="30">
        <v>1354</v>
      </c>
      <c r="X265" s="30">
        <v>1367</v>
      </c>
      <c r="Y265" s="30">
        <v>1257</v>
      </c>
      <c r="Z265" s="39">
        <v>0.23194444444444445</v>
      </c>
      <c r="AA265" s="39">
        <v>0.24097222222222223</v>
      </c>
      <c r="AB265" s="39">
        <v>0.16458333333333333</v>
      </c>
      <c r="AC2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266" spans="2:29" x14ac:dyDescent="0.25">
      <c r="B266" s="3">
        <v>3</v>
      </c>
      <c r="C266">
        <v>0</v>
      </c>
      <c r="D266">
        <v>2</v>
      </c>
      <c r="E266" s="29" t="s">
        <v>228</v>
      </c>
      <c r="F266" s="3">
        <v>400</v>
      </c>
      <c r="G266" s="3">
        <v>400</v>
      </c>
      <c r="H266" s="29" t="s">
        <v>44</v>
      </c>
      <c r="J266" s="7">
        <v>0.56944444444444442</v>
      </c>
      <c r="K266" s="7">
        <v>0.56944444444444442</v>
      </c>
      <c r="L266" s="3">
        <f t="shared" si="8"/>
        <v>1</v>
      </c>
      <c r="M266" s="3">
        <f t="shared" si="9"/>
        <v>1</v>
      </c>
      <c r="N266" s="29">
        <f>_xlfn.MAXIFS($G$7:G265,$E$7:E265,detalhe_carro1[[#This Row],[Nó]],$B$7:B265,detalhe_carro1[[#This Row],[Numero Voltas]],$L$7:L265,1)</f>
        <v>211</v>
      </c>
      <c r="O266" s="3">
        <f>IF(OR(detalhe_carro1[[#This Row],[Ultima Chegada]]=0,detalhe_carro1[[#This Row],[Chegada]]=0),"",detalhe_carro1[[#This Row],[Hora Inicio]]-detalhe_carro1[[#This Row],[Ultima Chegada]])</f>
        <v>189</v>
      </c>
      <c r="P266" s="3">
        <f>IF(detalhe_carro1[[#This Row],[Tipo]]="Visitar Nó",((detalhe_carro1[[#This Row],[Hora Fim]]-detalhe_carro1[[#This Row],[Hora Inicio]])/60*velocidade_nos),0)</f>
        <v>0</v>
      </c>
      <c r="Q266" s="29">
        <f>detalhe_carro1[[#This Row],[Kms Nós]]+detalhe_carro1[[#This Row],[kms]]</f>
        <v>0</v>
      </c>
      <c r="S266" s="20">
        <v>3</v>
      </c>
      <c r="T266" s="38">
        <v>2</v>
      </c>
      <c r="U266" s="38">
        <v>2</v>
      </c>
      <c r="V266" s="38" t="s">
        <v>228</v>
      </c>
      <c r="W266" s="30">
        <v>1370</v>
      </c>
      <c r="X266" s="30">
        <v>1370</v>
      </c>
      <c r="Y266" s="30">
        <v>1241</v>
      </c>
      <c r="Z266" s="39">
        <v>0.24305555555555555</v>
      </c>
      <c r="AA266" s="39">
        <v>0.24305555555555555</v>
      </c>
      <c r="AB266" s="39">
        <v>0.15347222222222223</v>
      </c>
      <c r="AC2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row>
    <row r="267" spans="2:29" x14ac:dyDescent="0.25">
      <c r="B267" s="3">
        <v>3</v>
      </c>
      <c r="C267">
        <v>0</v>
      </c>
      <c r="D267">
        <v>1</v>
      </c>
      <c r="E267" s="29" t="s">
        <v>200</v>
      </c>
      <c r="F267" s="3">
        <v>401</v>
      </c>
      <c r="G267" s="3">
        <v>401</v>
      </c>
      <c r="H267" s="29" t="s">
        <v>44</v>
      </c>
      <c r="J267" s="7">
        <v>0.57013888888888886</v>
      </c>
      <c r="K267" s="7">
        <v>0.57013888888888886</v>
      </c>
      <c r="L267" s="3">
        <f t="shared" si="8"/>
        <v>0</v>
      </c>
      <c r="M267" s="3">
        <f t="shared" si="9"/>
        <v>1</v>
      </c>
      <c r="N267" s="29">
        <f>_xlfn.MAXIFS($G$7:G266,$E$7:E266,detalhe_carro1[[#This Row],[Nó]],$B$7:B266,detalhe_carro1[[#This Row],[Numero Voltas]],$L$7:L266,1)</f>
        <v>192</v>
      </c>
      <c r="O267" s="3">
        <f>IF(OR(detalhe_carro1[[#This Row],[Ultima Chegada]]=0,detalhe_carro1[[#This Row],[Chegada]]=0),"",detalhe_carro1[[#This Row],[Hora Inicio]]-detalhe_carro1[[#This Row],[Ultima Chegada]])</f>
        <v>209</v>
      </c>
      <c r="P267" s="3">
        <f>IF(detalhe_carro1[[#This Row],[Tipo]]="Visitar Nó",((detalhe_carro1[[#This Row],[Hora Fim]]-detalhe_carro1[[#This Row],[Hora Inicio]])/60*velocidade_nos),0)</f>
        <v>0</v>
      </c>
      <c r="Q267" s="29">
        <f>detalhe_carro1[[#This Row],[Kms Nós]]+detalhe_carro1[[#This Row],[kms]]</f>
        <v>0</v>
      </c>
      <c r="S267" s="20">
        <v>3</v>
      </c>
      <c r="T267" s="38">
        <v>2</v>
      </c>
      <c r="U267" s="38">
        <v>1</v>
      </c>
      <c r="V267" s="38" t="s">
        <v>200</v>
      </c>
      <c r="W267" s="30">
        <v>1371</v>
      </c>
      <c r="X267" s="30">
        <v>1375</v>
      </c>
      <c r="Y267" s="30">
        <v>1222</v>
      </c>
      <c r="Z267" s="39">
        <v>0.24374999999999999</v>
      </c>
      <c r="AA267" s="39">
        <v>0.24652777777777779</v>
      </c>
      <c r="AB267" s="39">
        <v>0.14027777777777778</v>
      </c>
      <c r="AC2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2.4833333333333334</v>
      </c>
    </row>
    <row r="268" spans="2:29" x14ac:dyDescent="0.25">
      <c r="B268" s="3">
        <v>3</v>
      </c>
      <c r="C268">
        <v>0</v>
      </c>
      <c r="D268">
        <v>1</v>
      </c>
      <c r="E268" s="29" t="s">
        <v>200</v>
      </c>
      <c r="F268" s="3">
        <v>401</v>
      </c>
      <c r="G268" s="3">
        <v>405</v>
      </c>
      <c r="H268" s="29" t="s">
        <v>43</v>
      </c>
      <c r="J268" s="7">
        <v>0.57013888888888886</v>
      </c>
      <c r="K268" s="7">
        <v>0.57291666666666663</v>
      </c>
      <c r="L268" s="3">
        <f t="shared" si="8"/>
        <v>1</v>
      </c>
      <c r="M268" s="3">
        <f t="shared" si="9"/>
        <v>0</v>
      </c>
      <c r="N268" s="29">
        <f>_xlfn.MAXIFS($G$7:G267,$E$7:E267,detalhe_carro1[[#This Row],[Nó]],$B$7:B267,detalhe_carro1[[#This Row],[Numero Voltas]],$L$7:L267,1)</f>
        <v>192</v>
      </c>
      <c r="O268" s="3" t="str">
        <f>IF(OR(detalhe_carro1[[#This Row],[Ultima Chegada]]=0,detalhe_carro1[[#This Row],[Chegada]]=0),"",detalhe_carro1[[#This Row],[Hora Inicio]]-detalhe_carro1[[#This Row],[Ultima Chegada]])</f>
        <v/>
      </c>
      <c r="P268" s="3">
        <f>IF(detalhe_carro1[[#This Row],[Tipo]]="Visitar Nó",((detalhe_carro1[[#This Row],[Hora Fim]]-detalhe_carro1[[#This Row],[Hora Inicio]])/60*velocidade_nos),0)</f>
        <v>2</v>
      </c>
      <c r="Q268" s="29">
        <f>detalhe_carro1[[#This Row],[Kms Nós]]+detalhe_carro1[[#This Row],[kms]]</f>
        <v>2</v>
      </c>
      <c r="S268" s="20">
        <v>3</v>
      </c>
      <c r="T268" s="38">
        <v>2</v>
      </c>
      <c r="U268" s="38">
        <v>0</v>
      </c>
      <c r="V268" s="38" t="s">
        <v>203</v>
      </c>
      <c r="W268" s="30">
        <v>1377</v>
      </c>
      <c r="X268" s="30">
        <v>1385</v>
      </c>
      <c r="Y268" s="30">
        <v>1216</v>
      </c>
      <c r="Z268" s="39">
        <v>0.24791666666666667</v>
      </c>
      <c r="AA268" s="39">
        <v>0.25347222222222221</v>
      </c>
      <c r="AB268" s="39">
        <v>0.1361111111111111</v>
      </c>
      <c r="AC2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row>
    <row r="269" spans="2:29" x14ac:dyDescent="0.25">
      <c r="B269" s="3">
        <v>3</v>
      </c>
      <c r="C269">
        <v>0</v>
      </c>
      <c r="D269">
        <v>0</v>
      </c>
      <c r="E269" s="29" t="s">
        <v>203</v>
      </c>
      <c r="F269" s="3">
        <v>407</v>
      </c>
      <c r="G269" s="3">
        <v>407</v>
      </c>
      <c r="H269" s="29" t="s">
        <v>44</v>
      </c>
      <c r="J269" s="7">
        <v>0.57430555555555551</v>
      </c>
      <c r="K269" s="7">
        <v>0.57430555555555551</v>
      </c>
      <c r="L269" s="3">
        <f t="shared" si="8"/>
        <v>0</v>
      </c>
      <c r="M269" s="3">
        <f t="shared" si="9"/>
        <v>1</v>
      </c>
      <c r="N269" s="29">
        <f>_xlfn.MAXIFS($G$7:G268,$E$7:E268,detalhe_carro1[[#This Row],[Nó]],$B$7:B268,detalhe_carro1[[#This Row],[Numero Voltas]],$L$7:L268,1)</f>
        <v>186</v>
      </c>
      <c r="O269" s="3">
        <f>IF(OR(detalhe_carro1[[#This Row],[Ultima Chegada]]=0,detalhe_carro1[[#This Row],[Chegada]]=0),"",detalhe_carro1[[#This Row],[Hora Inicio]]-detalhe_carro1[[#This Row],[Ultima Chegada]])</f>
        <v>221</v>
      </c>
      <c r="P269" s="3">
        <f>IF(detalhe_carro1[[#This Row],[Tipo]]="Visitar Nó",((detalhe_carro1[[#This Row],[Hora Fim]]-detalhe_carro1[[#This Row],[Hora Inicio]])/60*velocidade_nos),0)</f>
        <v>0</v>
      </c>
      <c r="Q269" s="29">
        <f>detalhe_carro1[[#This Row],[Kms Nós]]+detalhe_carro1[[#This Row],[kms]]</f>
        <v>0</v>
      </c>
      <c r="S269" s="20">
        <v>3</v>
      </c>
      <c r="T269" s="38">
        <v>2</v>
      </c>
      <c r="U269" s="38">
        <v>1</v>
      </c>
      <c r="V269" s="38" t="s">
        <v>200</v>
      </c>
      <c r="W269" s="30">
        <v>1387</v>
      </c>
      <c r="X269" s="30">
        <v>1387</v>
      </c>
      <c r="Y269" s="30">
        <v>1375</v>
      </c>
      <c r="Z269" s="39">
        <v>0.25486111111111109</v>
      </c>
      <c r="AA269" s="39">
        <v>0.25486111111111109</v>
      </c>
      <c r="AB269" s="39">
        <v>0.24652777777777779</v>
      </c>
      <c r="AC2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70" spans="2:29" x14ac:dyDescent="0.25">
      <c r="B270" s="3">
        <v>3</v>
      </c>
      <c r="C270">
        <v>0</v>
      </c>
      <c r="D270">
        <v>0</v>
      </c>
      <c r="E270" s="29" t="s">
        <v>203</v>
      </c>
      <c r="F270" s="3">
        <v>407</v>
      </c>
      <c r="G270" s="3">
        <v>407</v>
      </c>
      <c r="H270" s="29" t="s">
        <v>44</v>
      </c>
      <c r="J270" s="7">
        <v>0.57430555555555551</v>
      </c>
      <c r="K270" s="7">
        <v>0.57430555555555551</v>
      </c>
      <c r="L270" s="3">
        <f t="shared" si="8"/>
        <v>0</v>
      </c>
      <c r="M270" s="3">
        <f t="shared" si="9"/>
        <v>0</v>
      </c>
      <c r="N270" s="29">
        <f>_xlfn.MAXIFS($G$7:G269,$E$7:E269,detalhe_carro1[[#This Row],[Nó]],$B$7:B269,detalhe_carro1[[#This Row],[Numero Voltas]],$L$7:L269,1)</f>
        <v>186</v>
      </c>
      <c r="O270" s="3" t="str">
        <f>IF(OR(detalhe_carro1[[#This Row],[Ultima Chegada]]=0,detalhe_carro1[[#This Row],[Chegada]]=0),"",detalhe_carro1[[#This Row],[Hora Inicio]]-detalhe_carro1[[#This Row],[Ultima Chegada]])</f>
        <v/>
      </c>
      <c r="P270" s="3">
        <f>IF(detalhe_carro1[[#This Row],[Tipo]]="Visitar Nó",((detalhe_carro1[[#This Row],[Hora Fim]]-detalhe_carro1[[#This Row],[Hora Inicio]])/60*velocidade_nos),0)</f>
        <v>0</v>
      </c>
      <c r="Q270" s="29">
        <f>detalhe_carro1[[#This Row],[Kms Nós]]+detalhe_carro1[[#This Row],[kms]]</f>
        <v>0</v>
      </c>
      <c r="S270" s="20">
        <v>3</v>
      </c>
      <c r="T270" s="38">
        <v>2</v>
      </c>
      <c r="U270" s="38">
        <v>2</v>
      </c>
      <c r="V270" s="38" t="s">
        <v>228</v>
      </c>
      <c r="W270" s="30">
        <v>1388</v>
      </c>
      <c r="X270" s="30">
        <v>1388</v>
      </c>
      <c r="Y270" s="30">
        <v>1370</v>
      </c>
      <c r="Z270" s="39">
        <v>0.25555555555555554</v>
      </c>
      <c r="AA270" s="39">
        <v>0.25555555555555554</v>
      </c>
      <c r="AB270" s="39">
        <v>0.24305555555555555</v>
      </c>
      <c r="AC2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271" spans="2:29" x14ac:dyDescent="0.25">
      <c r="B271" s="3">
        <v>3</v>
      </c>
      <c r="C271">
        <v>0</v>
      </c>
      <c r="D271">
        <v>0</v>
      </c>
      <c r="E271" s="29" t="s">
        <v>203</v>
      </c>
      <c r="F271" s="3">
        <v>407</v>
      </c>
      <c r="G271" s="3">
        <v>415</v>
      </c>
      <c r="H271" s="29" t="s">
        <v>43</v>
      </c>
      <c r="J271" s="7">
        <v>0.57430555555555551</v>
      </c>
      <c r="K271" s="7">
        <v>0.57986111111111116</v>
      </c>
      <c r="L271" s="3">
        <f t="shared" si="8"/>
        <v>1</v>
      </c>
      <c r="M271" s="3">
        <f t="shared" si="9"/>
        <v>0</v>
      </c>
      <c r="N271" s="29">
        <f>_xlfn.MAXIFS($G$7:G270,$E$7:E270,detalhe_carro1[[#This Row],[Nó]],$B$7:B270,detalhe_carro1[[#This Row],[Numero Voltas]],$L$7:L270,1)</f>
        <v>186</v>
      </c>
      <c r="O271" s="3" t="str">
        <f>IF(OR(detalhe_carro1[[#This Row],[Ultima Chegada]]=0,detalhe_carro1[[#This Row],[Chegada]]=0),"",detalhe_carro1[[#This Row],[Hora Inicio]]-detalhe_carro1[[#This Row],[Ultima Chegada]])</f>
        <v/>
      </c>
      <c r="P271" s="3">
        <f>IF(detalhe_carro1[[#This Row],[Tipo]]="Visitar Nó",((detalhe_carro1[[#This Row],[Hora Fim]]-detalhe_carro1[[#This Row],[Hora Inicio]])/60*velocidade_nos),0)</f>
        <v>4</v>
      </c>
      <c r="Q271" s="29">
        <f>detalhe_carro1[[#This Row],[Kms Nós]]+detalhe_carro1[[#This Row],[kms]]</f>
        <v>4</v>
      </c>
      <c r="S271" s="20">
        <v>3</v>
      </c>
      <c r="T271" s="38">
        <v>2</v>
      </c>
      <c r="U271" s="38">
        <v>3</v>
      </c>
      <c r="V271" s="38" t="s">
        <v>208</v>
      </c>
      <c r="W271" s="30">
        <v>1391</v>
      </c>
      <c r="X271" s="30">
        <v>1391</v>
      </c>
      <c r="Y271" s="30">
        <v>1367</v>
      </c>
      <c r="Z271" s="39">
        <v>0.25763888888888886</v>
      </c>
      <c r="AA271" s="39">
        <v>0.25763888888888886</v>
      </c>
      <c r="AB271" s="39">
        <v>0.24097222222222223</v>
      </c>
      <c r="AC2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72" spans="2:29" x14ac:dyDescent="0.25">
      <c r="B272" s="3">
        <v>3</v>
      </c>
      <c r="C272">
        <v>0</v>
      </c>
      <c r="D272">
        <v>1</v>
      </c>
      <c r="E272" s="29" t="s">
        <v>200</v>
      </c>
      <c r="F272" s="3">
        <v>417</v>
      </c>
      <c r="G272" s="3">
        <v>417</v>
      </c>
      <c r="H272" s="29" t="s">
        <v>44</v>
      </c>
      <c r="J272" s="7">
        <v>0.58125000000000004</v>
      </c>
      <c r="K272" s="7">
        <v>0.58125000000000004</v>
      </c>
      <c r="L272" s="3">
        <f t="shared" si="8"/>
        <v>1</v>
      </c>
      <c r="M272" s="3">
        <f t="shared" si="9"/>
        <v>1</v>
      </c>
      <c r="N272" s="29">
        <f>_xlfn.MAXIFS($G$7:G271,$E$7:E271,detalhe_carro1[[#This Row],[Nó]],$B$7:B271,detalhe_carro1[[#This Row],[Numero Voltas]],$L$7:L271,1)</f>
        <v>405</v>
      </c>
      <c r="O272" s="3">
        <f>IF(OR(detalhe_carro1[[#This Row],[Ultima Chegada]]=0,detalhe_carro1[[#This Row],[Chegada]]=0),"",detalhe_carro1[[#This Row],[Hora Inicio]]-detalhe_carro1[[#This Row],[Ultima Chegada]])</f>
        <v>12</v>
      </c>
      <c r="P272" s="3">
        <f>IF(detalhe_carro1[[#This Row],[Tipo]]="Visitar Nó",((detalhe_carro1[[#This Row],[Hora Fim]]-detalhe_carro1[[#This Row],[Hora Inicio]])/60*velocidade_nos),0)</f>
        <v>0</v>
      </c>
      <c r="Q272" s="29">
        <f>detalhe_carro1[[#This Row],[Kms Nós]]+detalhe_carro1[[#This Row],[kms]]</f>
        <v>0</v>
      </c>
      <c r="S272" s="20">
        <v>3</v>
      </c>
      <c r="T272" s="38">
        <v>2</v>
      </c>
      <c r="U272" s="38">
        <v>4</v>
      </c>
      <c r="V272" s="38" t="s">
        <v>2</v>
      </c>
      <c r="W272" s="30">
        <v>1396</v>
      </c>
      <c r="X272" s="30">
        <v>1396</v>
      </c>
      <c r="Y272" s="30">
        <v>1349</v>
      </c>
      <c r="Z272" s="39">
        <v>0.26111111111111113</v>
      </c>
      <c r="AA272" s="39">
        <v>0.26111111111111113</v>
      </c>
      <c r="AB272" s="39">
        <v>0.22847222222222222</v>
      </c>
      <c r="AC2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273" spans="2:29" x14ac:dyDescent="0.25">
      <c r="B273" s="3">
        <v>3</v>
      </c>
      <c r="C273">
        <v>0</v>
      </c>
      <c r="D273">
        <v>2</v>
      </c>
      <c r="E273" s="29" t="s">
        <v>228</v>
      </c>
      <c r="F273" s="3">
        <v>418</v>
      </c>
      <c r="G273" s="3">
        <v>418</v>
      </c>
      <c r="H273" s="29" t="s">
        <v>44</v>
      </c>
      <c r="J273" s="7">
        <v>0.58194444444444449</v>
      </c>
      <c r="K273" s="7">
        <v>0.58194444444444449</v>
      </c>
      <c r="L273" s="3">
        <f t="shared" si="8"/>
        <v>1</v>
      </c>
      <c r="M273" s="3">
        <f t="shared" si="9"/>
        <v>1</v>
      </c>
      <c r="N273" s="29">
        <f>_xlfn.MAXIFS($G$7:G272,$E$7:E272,detalhe_carro1[[#This Row],[Nó]],$B$7:B272,detalhe_carro1[[#This Row],[Numero Voltas]],$L$7:L272,1)</f>
        <v>400</v>
      </c>
      <c r="O273" s="3">
        <f>IF(OR(detalhe_carro1[[#This Row],[Ultima Chegada]]=0,detalhe_carro1[[#This Row],[Chegada]]=0),"",detalhe_carro1[[#This Row],[Hora Inicio]]-detalhe_carro1[[#This Row],[Ultima Chegada]])</f>
        <v>18</v>
      </c>
      <c r="P273" s="3">
        <f>IF(detalhe_carro1[[#This Row],[Tipo]]="Visitar Nó",((detalhe_carro1[[#This Row],[Hora Fim]]-detalhe_carro1[[#This Row],[Hora Inicio]])/60*velocidade_nos),0)</f>
        <v>0</v>
      </c>
      <c r="Q273" s="29">
        <f>detalhe_carro1[[#This Row],[Kms Nós]]+detalhe_carro1[[#This Row],[kms]]</f>
        <v>0</v>
      </c>
      <c r="S273" s="20">
        <v>3</v>
      </c>
      <c r="T273" s="38">
        <v>2</v>
      </c>
      <c r="U273" s="38">
        <v>5</v>
      </c>
      <c r="V273" s="38" t="s">
        <v>215</v>
      </c>
      <c r="W273" s="30">
        <v>1399</v>
      </c>
      <c r="X273" s="30">
        <v>1399</v>
      </c>
      <c r="Y273" s="30">
        <v>1346</v>
      </c>
      <c r="Z273" s="39">
        <v>0.26319444444444445</v>
      </c>
      <c r="AA273" s="39">
        <v>0.26319444444444445</v>
      </c>
      <c r="AB273" s="39">
        <v>0.22638888888888889</v>
      </c>
      <c r="AC2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0.8833333333333333</v>
      </c>
    </row>
    <row r="274" spans="2:29" x14ac:dyDescent="0.25">
      <c r="B274" s="3">
        <v>3</v>
      </c>
      <c r="C274">
        <v>0</v>
      </c>
      <c r="D274">
        <v>3</v>
      </c>
      <c r="E274" s="29" t="s">
        <v>208</v>
      </c>
      <c r="F274" s="3">
        <v>421</v>
      </c>
      <c r="G274" s="3">
        <v>421</v>
      </c>
      <c r="H274" s="29" t="s">
        <v>44</v>
      </c>
      <c r="J274" s="7">
        <v>0.58402777777777781</v>
      </c>
      <c r="K274" s="7">
        <v>0.58402777777777781</v>
      </c>
      <c r="L274" s="3">
        <f t="shared" si="8"/>
        <v>1</v>
      </c>
      <c r="M274" s="3">
        <f t="shared" si="9"/>
        <v>1</v>
      </c>
      <c r="N274" s="29">
        <f>_xlfn.MAXIFS($G$7:G273,$E$7:E273,detalhe_carro1[[#This Row],[Nó]],$B$7:B273,detalhe_carro1[[#This Row],[Numero Voltas]],$L$7:L273,1)</f>
        <v>397</v>
      </c>
      <c r="O274" s="3">
        <f>IF(OR(detalhe_carro1[[#This Row],[Ultima Chegada]]=0,detalhe_carro1[[#This Row],[Chegada]]=0),"",detalhe_carro1[[#This Row],[Hora Inicio]]-detalhe_carro1[[#This Row],[Ultima Chegada]])</f>
        <v>24</v>
      </c>
      <c r="P274" s="3">
        <f>IF(detalhe_carro1[[#This Row],[Tipo]]="Visitar Nó",((detalhe_carro1[[#This Row],[Hora Fim]]-detalhe_carro1[[#This Row],[Hora Inicio]])/60*velocidade_nos),0)</f>
        <v>0</v>
      </c>
      <c r="Q274" s="29">
        <f>detalhe_carro1[[#This Row],[Kms Nós]]+detalhe_carro1[[#This Row],[kms]]</f>
        <v>0</v>
      </c>
      <c r="S274" s="20">
        <v>3</v>
      </c>
      <c r="T274" s="38">
        <v>2</v>
      </c>
      <c r="U274" s="38">
        <v>6</v>
      </c>
      <c r="V274" s="38" t="s">
        <v>300</v>
      </c>
      <c r="W274" s="30">
        <v>1403</v>
      </c>
      <c r="X274" s="30">
        <v>1403</v>
      </c>
      <c r="Y274" s="30">
        <v>1342</v>
      </c>
      <c r="Z274" s="39">
        <v>0.26597222222222222</v>
      </c>
      <c r="AA274" s="39">
        <v>0.26597222222222222</v>
      </c>
      <c r="AB274" s="39">
        <v>0.22361111111111112</v>
      </c>
      <c r="AC2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1.0166666666666666</v>
      </c>
    </row>
    <row r="275" spans="2:29" x14ac:dyDescent="0.25">
      <c r="B275" s="3">
        <v>3</v>
      </c>
      <c r="C275">
        <v>0</v>
      </c>
      <c r="D275">
        <v>4</v>
      </c>
      <c r="E275" s="29" t="s">
        <v>2</v>
      </c>
      <c r="F275" s="3">
        <v>426</v>
      </c>
      <c r="G275" s="3">
        <v>426</v>
      </c>
      <c r="H275" s="29" t="s">
        <v>44</v>
      </c>
      <c r="J275" s="7">
        <v>0.58750000000000002</v>
      </c>
      <c r="K275" s="7">
        <v>0.58750000000000002</v>
      </c>
      <c r="L275" s="3">
        <f t="shared" si="8"/>
        <v>1</v>
      </c>
      <c r="M275" s="3">
        <f t="shared" si="9"/>
        <v>1</v>
      </c>
      <c r="N275" s="29">
        <f>_xlfn.MAXIFS($G$7:G274,$E$7:E274,detalhe_carro1[[#This Row],[Nó]],$B$7:B274,detalhe_carro1[[#This Row],[Numero Voltas]],$L$7:L274,1)</f>
        <v>379</v>
      </c>
      <c r="O275" s="3">
        <f>IF(OR(detalhe_carro1[[#This Row],[Ultima Chegada]]=0,detalhe_carro1[[#This Row],[Chegada]]=0),"",detalhe_carro1[[#This Row],[Hora Inicio]]-detalhe_carro1[[#This Row],[Ultima Chegada]])</f>
        <v>47</v>
      </c>
      <c r="P275" s="3">
        <f>IF(detalhe_carro1[[#This Row],[Tipo]]="Visitar Nó",((detalhe_carro1[[#This Row],[Hora Fim]]-detalhe_carro1[[#This Row],[Hora Inicio]])/60*velocidade_nos),0)</f>
        <v>0</v>
      </c>
      <c r="Q275" s="29">
        <f>detalhe_carro1[[#This Row],[Kms Nós]]+detalhe_carro1[[#This Row],[kms]]</f>
        <v>0</v>
      </c>
      <c r="S275" s="20">
        <v>3</v>
      </c>
      <c r="T275" s="38">
        <v>2</v>
      </c>
      <c r="U275" s="38">
        <v>7</v>
      </c>
      <c r="V275" s="38" t="s">
        <v>301</v>
      </c>
      <c r="W275" s="30">
        <v>1406</v>
      </c>
      <c r="X275" s="30">
        <v>1406</v>
      </c>
      <c r="Y275" s="30">
        <v>1339</v>
      </c>
      <c r="Z275" s="39">
        <v>0.26805555555555555</v>
      </c>
      <c r="AA275" s="39">
        <v>0.26805555555555555</v>
      </c>
      <c r="AB275" s="39">
        <v>0.22152777777777777</v>
      </c>
      <c r="AC2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276" spans="2:29" x14ac:dyDescent="0.25">
      <c r="B276" s="3">
        <v>3</v>
      </c>
      <c r="C276">
        <v>0</v>
      </c>
      <c r="D276">
        <v>5</v>
      </c>
      <c r="E276" s="29" t="s">
        <v>215</v>
      </c>
      <c r="F276" s="3">
        <v>429</v>
      </c>
      <c r="G276" s="3">
        <v>429</v>
      </c>
      <c r="H276" s="29" t="s">
        <v>44</v>
      </c>
      <c r="J276" s="7">
        <v>0.58958333333333335</v>
      </c>
      <c r="K276" s="7">
        <v>0.58958333333333335</v>
      </c>
      <c r="L276" s="3">
        <f t="shared" si="8"/>
        <v>0</v>
      </c>
      <c r="M276" s="3">
        <f t="shared" si="9"/>
        <v>1</v>
      </c>
      <c r="N276" s="29">
        <f>_xlfn.MAXIFS($G$7:G275,$E$7:E275,detalhe_carro1[[#This Row],[Nó]],$B$7:B275,detalhe_carro1[[#This Row],[Numero Voltas]],$L$7:L275,1)</f>
        <v>376</v>
      </c>
      <c r="O276" s="3">
        <f>IF(OR(detalhe_carro1[[#This Row],[Ultima Chegada]]=0,detalhe_carro1[[#This Row],[Chegada]]=0),"",detalhe_carro1[[#This Row],[Hora Inicio]]-detalhe_carro1[[#This Row],[Ultima Chegada]])</f>
        <v>53</v>
      </c>
      <c r="P276" s="3">
        <f>IF(detalhe_carro1[[#This Row],[Tipo]]="Visitar Nó",((detalhe_carro1[[#This Row],[Hora Fim]]-detalhe_carro1[[#This Row],[Hora Inicio]])/60*velocidade_nos),0)</f>
        <v>0</v>
      </c>
      <c r="Q276" s="29">
        <f>detalhe_carro1[[#This Row],[Kms Nós]]+detalhe_carro1[[#This Row],[kms]]</f>
        <v>0</v>
      </c>
      <c r="S276" s="20">
        <v>3</v>
      </c>
      <c r="T276" s="38">
        <v>2</v>
      </c>
      <c r="U276" s="38">
        <v>8</v>
      </c>
      <c r="V276" s="38" t="s">
        <v>302</v>
      </c>
      <c r="W276" s="30">
        <v>1412</v>
      </c>
      <c r="X276" s="30">
        <v>1412</v>
      </c>
      <c r="Y276" s="30">
        <v>1333</v>
      </c>
      <c r="Z276" s="39">
        <v>0.2722222222222222</v>
      </c>
      <c r="AA276" s="39">
        <v>0.2722222222222222</v>
      </c>
      <c r="AB276" s="39">
        <v>0.21736111111111112</v>
      </c>
      <c r="AC2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row>
    <row r="277" spans="2:29" x14ac:dyDescent="0.25">
      <c r="B277" s="3">
        <v>3</v>
      </c>
      <c r="C277">
        <v>0</v>
      </c>
      <c r="D277">
        <v>5</v>
      </c>
      <c r="E277" s="29" t="s">
        <v>215</v>
      </c>
      <c r="F277" s="3">
        <v>429</v>
      </c>
      <c r="G277" s="3">
        <v>429</v>
      </c>
      <c r="H277" s="29" t="s">
        <v>43</v>
      </c>
      <c r="J277" s="7">
        <v>0.58958333333333335</v>
      </c>
      <c r="K277" s="7">
        <v>0.58958333333333335</v>
      </c>
      <c r="L277" s="3">
        <f t="shared" si="8"/>
        <v>1</v>
      </c>
      <c r="M277" s="3">
        <f t="shared" si="9"/>
        <v>0</v>
      </c>
      <c r="N277" s="29">
        <f>_xlfn.MAXIFS($G$7:G276,$E$7:E276,detalhe_carro1[[#This Row],[Nó]],$B$7:B276,detalhe_carro1[[#This Row],[Numero Voltas]],$L$7:L276,1)</f>
        <v>376</v>
      </c>
      <c r="O277" s="3" t="str">
        <f>IF(OR(detalhe_carro1[[#This Row],[Ultima Chegada]]=0,detalhe_carro1[[#This Row],[Chegada]]=0),"",detalhe_carro1[[#This Row],[Hora Inicio]]-detalhe_carro1[[#This Row],[Ultima Chegada]])</f>
        <v/>
      </c>
      <c r="P277" s="3">
        <f>IF(detalhe_carro1[[#This Row],[Tipo]]="Visitar Nó",((detalhe_carro1[[#This Row],[Hora Fim]]-detalhe_carro1[[#This Row],[Hora Inicio]])/60*velocidade_nos),0)</f>
        <v>0</v>
      </c>
      <c r="Q277" s="29">
        <f>detalhe_carro1[[#This Row],[Kms Nós]]+detalhe_carro1[[#This Row],[kms]]</f>
        <v>0</v>
      </c>
      <c r="S277" s="20">
        <v>3</v>
      </c>
      <c r="T277" s="38">
        <v>2</v>
      </c>
      <c r="U277" s="38">
        <v>9</v>
      </c>
      <c r="V277" s="38" t="s">
        <v>303</v>
      </c>
      <c r="W277" s="30">
        <v>1418</v>
      </c>
      <c r="X277" s="30">
        <v>1418</v>
      </c>
      <c r="Y277" s="30">
        <v>1317</v>
      </c>
      <c r="Z277" s="39">
        <v>0.27638888888888891</v>
      </c>
      <c r="AA277" s="39">
        <v>0.27638888888888891</v>
      </c>
      <c r="AB277" s="39">
        <v>0.20624999999999999</v>
      </c>
      <c r="AC2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278" spans="2:29" x14ac:dyDescent="0.25">
      <c r="B278" s="3">
        <v>3</v>
      </c>
      <c r="C278">
        <v>0</v>
      </c>
      <c r="D278">
        <v>6</v>
      </c>
      <c r="E278" s="29" t="s">
        <v>300</v>
      </c>
      <c r="F278" s="3">
        <v>433</v>
      </c>
      <c r="G278" s="3">
        <v>433</v>
      </c>
      <c r="H278" s="29" t="s">
        <v>44</v>
      </c>
      <c r="J278" s="7">
        <v>0.59236111111111112</v>
      </c>
      <c r="K278" s="7">
        <v>0.59236111111111112</v>
      </c>
      <c r="L278" s="3">
        <f t="shared" si="8"/>
        <v>0</v>
      </c>
      <c r="M278" s="3">
        <f t="shared" si="9"/>
        <v>1</v>
      </c>
      <c r="N278" s="29">
        <f>_xlfn.MAXIFS($G$7:G277,$E$7:E277,detalhe_carro1[[#This Row],[Nó]],$B$7:B277,detalhe_carro1[[#This Row],[Numero Voltas]],$L$7:L277,1)</f>
        <v>372</v>
      </c>
      <c r="O278" s="3">
        <f>IF(OR(detalhe_carro1[[#This Row],[Ultima Chegada]]=0,detalhe_carro1[[#This Row],[Chegada]]=0),"",detalhe_carro1[[#This Row],[Hora Inicio]]-detalhe_carro1[[#This Row],[Ultima Chegada]])</f>
        <v>61</v>
      </c>
      <c r="P278" s="3">
        <f>IF(detalhe_carro1[[#This Row],[Tipo]]="Visitar Nó",((detalhe_carro1[[#This Row],[Hora Fim]]-detalhe_carro1[[#This Row],[Hora Inicio]])/60*velocidade_nos),0)</f>
        <v>0</v>
      </c>
      <c r="Q278" s="29">
        <f>detalhe_carro1[[#This Row],[Kms Nós]]+detalhe_carro1[[#This Row],[kms]]</f>
        <v>0</v>
      </c>
      <c r="S278" s="20">
        <v>3</v>
      </c>
      <c r="T278" s="38">
        <v>2</v>
      </c>
      <c r="U278" s="38">
        <v>8</v>
      </c>
      <c r="V278" s="38" t="s">
        <v>302</v>
      </c>
      <c r="W278" s="30">
        <v>1424</v>
      </c>
      <c r="X278" s="30">
        <v>1424</v>
      </c>
      <c r="Y278" s="30">
        <v>1412</v>
      </c>
      <c r="Z278" s="39">
        <v>0.28055555555555556</v>
      </c>
      <c r="AA278" s="39">
        <v>0.28055555555555556</v>
      </c>
      <c r="AB278" s="39">
        <v>0.2722222222222222</v>
      </c>
      <c r="AC2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v>
      </c>
    </row>
    <row r="279" spans="2:29" x14ac:dyDescent="0.25">
      <c r="B279" s="3">
        <v>3</v>
      </c>
      <c r="C279">
        <v>0</v>
      </c>
      <c r="D279">
        <v>6</v>
      </c>
      <c r="E279" s="29" t="s">
        <v>300</v>
      </c>
      <c r="F279" s="3">
        <v>433</v>
      </c>
      <c r="G279" s="3">
        <v>433</v>
      </c>
      <c r="H279" s="29" t="s">
        <v>43</v>
      </c>
      <c r="J279" s="7">
        <v>0.59236111111111112</v>
      </c>
      <c r="K279" s="7">
        <v>0.59236111111111112</v>
      </c>
      <c r="L279" s="3">
        <f t="shared" si="8"/>
        <v>1</v>
      </c>
      <c r="M279" s="3">
        <f t="shared" si="9"/>
        <v>0</v>
      </c>
      <c r="N279" s="29">
        <f>_xlfn.MAXIFS($G$7:G278,$E$7:E278,detalhe_carro1[[#This Row],[Nó]],$B$7:B278,detalhe_carro1[[#This Row],[Numero Voltas]],$L$7:L278,1)</f>
        <v>372</v>
      </c>
      <c r="O279" s="3" t="str">
        <f>IF(OR(detalhe_carro1[[#This Row],[Ultima Chegada]]=0,detalhe_carro1[[#This Row],[Chegada]]=0),"",detalhe_carro1[[#This Row],[Hora Inicio]]-detalhe_carro1[[#This Row],[Ultima Chegada]])</f>
        <v/>
      </c>
      <c r="P279" s="3">
        <f>IF(detalhe_carro1[[#This Row],[Tipo]]="Visitar Nó",((detalhe_carro1[[#This Row],[Hora Fim]]-detalhe_carro1[[#This Row],[Hora Inicio]])/60*velocidade_nos),0)</f>
        <v>0</v>
      </c>
      <c r="Q279" s="29">
        <f>detalhe_carro1[[#This Row],[Kms Nós]]+detalhe_carro1[[#This Row],[kms]]</f>
        <v>0</v>
      </c>
      <c r="S279" s="20">
        <v>3</v>
      </c>
      <c r="T279" s="38">
        <v>2</v>
      </c>
      <c r="U279" s="38">
        <v>7</v>
      </c>
      <c r="V279" s="38" t="s">
        <v>301</v>
      </c>
      <c r="W279" s="30">
        <v>1430</v>
      </c>
      <c r="X279" s="30">
        <v>1430</v>
      </c>
      <c r="Y279" s="30">
        <v>1406</v>
      </c>
      <c r="Z279" s="39">
        <v>0.28472222222222221</v>
      </c>
      <c r="AA279" s="39">
        <v>0.28472222222222221</v>
      </c>
      <c r="AB279" s="39">
        <v>0.26805555555555555</v>
      </c>
      <c r="AC2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80" spans="2:29" x14ac:dyDescent="0.25">
      <c r="B280" s="3">
        <v>3</v>
      </c>
      <c r="C280">
        <v>0</v>
      </c>
      <c r="D280">
        <v>7</v>
      </c>
      <c r="E280" s="29" t="s">
        <v>301</v>
      </c>
      <c r="F280" s="3">
        <v>436</v>
      </c>
      <c r="G280" s="3">
        <v>436</v>
      </c>
      <c r="H280" s="29" t="s">
        <v>44</v>
      </c>
      <c r="J280" s="7">
        <v>0.59444444444444444</v>
      </c>
      <c r="K280" s="7">
        <v>0.59444444444444444</v>
      </c>
      <c r="L280" s="3">
        <f t="shared" si="8"/>
        <v>1</v>
      </c>
      <c r="M280" s="3">
        <f t="shared" si="9"/>
        <v>1</v>
      </c>
      <c r="N280" s="29">
        <f>_xlfn.MAXIFS($G$7:G279,$E$7:E279,detalhe_carro1[[#This Row],[Nó]],$B$7:B279,detalhe_carro1[[#This Row],[Numero Voltas]],$L$7:L279,1)</f>
        <v>369</v>
      </c>
      <c r="O280" s="3">
        <f>IF(OR(detalhe_carro1[[#This Row],[Ultima Chegada]]=0,detalhe_carro1[[#This Row],[Chegada]]=0),"",detalhe_carro1[[#This Row],[Hora Inicio]]-detalhe_carro1[[#This Row],[Ultima Chegada]])</f>
        <v>67</v>
      </c>
      <c r="P280" s="3">
        <f>IF(detalhe_carro1[[#This Row],[Tipo]]="Visitar Nó",((detalhe_carro1[[#This Row],[Hora Fim]]-detalhe_carro1[[#This Row],[Hora Inicio]])/60*velocidade_nos),0)</f>
        <v>0</v>
      </c>
      <c r="Q280" s="29">
        <f>detalhe_carro1[[#This Row],[Kms Nós]]+detalhe_carro1[[#This Row],[kms]]</f>
        <v>0</v>
      </c>
      <c r="S280" s="20">
        <v>3</v>
      </c>
      <c r="T280" s="38">
        <v>2</v>
      </c>
      <c r="U280" s="38">
        <v>6</v>
      </c>
      <c r="V280" s="38" t="s">
        <v>300</v>
      </c>
      <c r="W280" s="30">
        <v>1433</v>
      </c>
      <c r="X280" s="30">
        <v>1433</v>
      </c>
      <c r="Y280" s="30">
        <v>1403</v>
      </c>
      <c r="Z280" s="39">
        <v>0.28680555555555554</v>
      </c>
      <c r="AA280" s="39">
        <v>0.28680555555555554</v>
      </c>
      <c r="AB280" s="39">
        <v>0.26597222222222222</v>
      </c>
      <c r="AC2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v>
      </c>
    </row>
    <row r="281" spans="2:29" x14ac:dyDescent="0.25">
      <c r="B281" s="3">
        <v>3</v>
      </c>
      <c r="C281">
        <v>0</v>
      </c>
      <c r="D281">
        <v>8</v>
      </c>
      <c r="E281" s="29" t="s">
        <v>302</v>
      </c>
      <c r="F281" s="3">
        <v>442</v>
      </c>
      <c r="G281" s="3">
        <v>442</v>
      </c>
      <c r="H281" s="29" t="s">
        <v>44</v>
      </c>
      <c r="J281" s="7">
        <v>0.59861111111111109</v>
      </c>
      <c r="K281" s="7">
        <v>0.59861111111111109</v>
      </c>
      <c r="L281" s="3">
        <f t="shared" si="8"/>
        <v>1</v>
      </c>
      <c r="M281" s="3">
        <f t="shared" si="9"/>
        <v>1</v>
      </c>
      <c r="N281" s="29">
        <f>_xlfn.MAXIFS($G$7:G280,$E$7:E280,detalhe_carro1[[#This Row],[Nó]],$B$7:B280,detalhe_carro1[[#This Row],[Numero Voltas]],$L$7:L280,1)</f>
        <v>363</v>
      </c>
      <c r="O281" s="3">
        <f>IF(OR(detalhe_carro1[[#This Row],[Ultima Chegada]]=0,detalhe_carro1[[#This Row],[Chegada]]=0),"",detalhe_carro1[[#This Row],[Hora Inicio]]-detalhe_carro1[[#This Row],[Ultima Chegada]])</f>
        <v>79</v>
      </c>
      <c r="P281" s="3">
        <f>IF(detalhe_carro1[[#This Row],[Tipo]]="Visitar Nó",((detalhe_carro1[[#This Row],[Hora Fim]]-detalhe_carro1[[#This Row],[Hora Inicio]])/60*velocidade_nos),0)</f>
        <v>0</v>
      </c>
      <c r="Q281" s="29">
        <f>detalhe_carro1[[#This Row],[Kms Nós]]+detalhe_carro1[[#This Row],[kms]]</f>
        <v>0</v>
      </c>
      <c r="S281" s="20">
        <v>3</v>
      </c>
      <c r="T281" s="38">
        <v>2</v>
      </c>
      <c r="U281" s="38">
        <v>5</v>
      </c>
      <c r="V281" s="38" t="s">
        <v>215</v>
      </c>
      <c r="W281" s="30">
        <v>1437</v>
      </c>
      <c r="X281" s="30">
        <v>1437</v>
      </c>
      <c r="Y281" s="30">
        <v>1399</v>
      </c>
      <c r="Z281" s="39">
        <v>0.28958333333333336</v>
      </c>
      <c r="AA281" s="39">
        <v>0.28958333333333336</v>
      </c>
      <c r="AB281" s="39">
        <v>0.26319444444444445</v>
      </c>
      <c r="AC2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282" spans="2:29" x14ac:dyDescent="0.25">
      <c r="B282" s="3">
        <v>3</v>
      </c>
      <c r="C282">
        <v>0</v>
      </c>
      <c r="D282">
        <v>9</v>
      </c>
      <c r="E282" s="29" t="s">
        <v>303</v>
      </c>
      <c r="F282" s="3">
        <v>448</v>
      </c>
      <c r="G282" s="3">
        <v>448</v>
      </c>
      <c r="H282" s="29" t="s">
        <v>44</v>
      </c>
      <c r="J282" s="7">
        <v>0.60277777777777775</v>
      </c>
      <c r="K282" s="7">
        <v>0.60277777777777775</v>
      </c>
      <c r="L282" s="3">
        <f t="shared" si="8"/>
        <v>0</v>
      </c>
      <c r="M282" s="3">
        <f t="shared" si="9"/>
        <v>1</v>
      </c>
      <c r="N282" s="29">
        <f>_xlfn.MAXIFS($G$7:G281,$E$7:E281,detalhe_carro1[[#This Row],[Nó]],$B$7:B281,detalhe_carro1[[#This Row],[Numero Voltas]],$L$7:L281,1)</f>
        <v>347</v>
      </c>
      <c r="O282" s="3">
        <f>IF(OR(detalhe_carro1[[#This Row],[Ultima Chegada]]=0,detalhe_carro1[[#This Row],[Chegada]]=0),"",detalhe_carro1[[#This Row],[Hora Inicio]]-detalhe_carro1[[#This Row],[Ultima Chegada]])</f>
        <v>101</v>
      </c>
      <c r="P282" s="3">
        <f>IF(detalhe_carro1[[#This Row],[Tipo]]="Visitar Nó",((detalhe_carro1[[#This Row],[Hora Fim]]-detalhe_carro1[[#This Row],[Hora Inicio]])/60*velocidade_nos),0)</f>
        <v>0</v>
      </c>
      <c r="Q282" s="29">
        <f>detalhe_carro1[[#This Row],[Kms Nós]]+detalhe_carro1[[#This Row],[kms]]</f>
        <v>0</v>
      </c>
      <c r="S282" s="20">
        <v>3</v>
      </c>
      <c r="T282" s="38">
        <v>2</v>
      </c>
      <c r="U282" s="38">
        <v>4</v>
      </c>
      <c r="V282" s="38" t="s">
        <v>2</v>
      </c>
      <c r="W282" s="30">
        <v>1440</v>
      </c>
      <c r="X282" s="30">
        <v>1440</v>
      </c>
      <c r="Y282" s="30">
        <v>1396</v>
      </c>
      <c r="Z282" s="39">
        <v>0.29166666666666669</v>
      </c>
      <c r="AA282" s="39">
        <v>0.29166666666666669</v>
      </c>
      <c r="AB282" s="39">
        <v>0.26111111111111113</v>
      </c>
      <c r="AC2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83" spans="2:29" hidden="1" x14ac:dyDescent="0.25">
      <c r="B283" s="3">
        <v>3</v>
      </c>
      <c r="C283">
        <v>0</v>
      </c>
      <c r="D283">
        <v>9</v>
      </c>
      <c r="E283" s="29" t="s">
        <v>303</v>
      </c>
      <c r="F283" s="3">
        <v>448</v>
      </c>
      <c r="G283" s="3">
        <v>448</v>
      </c>
      <c r="H283" s="29" t="s">
        <v>44</v>
      </c>
      <c r="J283" s="7">
        <v>0.60277777777777775</v>
      </c>
      <c r="K283" s="7">
        <v>0.60277777777777775</v>
      </c>
      <c r="L283" s="3">
        <f t="shared" si="8"/>
        <v>0</v>
      </c>
      <c r="M283" s="3">
        <f t="shared" si="9"/>
        <v>0</v>
      </c>
      <c r="N283" s="29">
        <f>_xlfn.MAXIFS($G$7:G282,$E$7:E282,detalhe_carro1[[#This Row],[Nó]],$B$7:B282,detalhe_carro1[[#This Row],[Numero Voltas]],$L$7:L282,1)</f>
        <v>347</v>
      </c>
      <c r="O283" s="3" t="str">
        <f>IF(OR(detalhe_carro1[[#This Row],[Ultima Chegada]]=0,detalhe_carro1[[#This Row],[Chegada]]=0),"",detalhe_carro1[[#This Row],[Hora Inicio]]-detalhe_carro1[[#This Row],[Ultima Chegada]])</f>
        <v/>
      </c>
      <c r="P283" s="3">
        <f>IF(detalhe_carro1[[#This Row],[Tipo]]="Visitar Nó",((detalhe_carro1[[#This Row],[Hora Fim]]-detalhe_carro1[[#This Row],[Hora Inicio]])/60*velocidade_nos),0)</f>
        <v>0</v>
      </c>
      <c r="Q283" s="29">
        <f>detalhe_carro1[[#This Row],[Kms Nós]]+detalhe_carro1[[#This Row],[kms]]</f>
        <v>0</v>
      </c>
    </row>
    <row r="284" spans="2:29" hidden="1" x14ac:dyDescent="0.25">
      <c r="B284" s="3">
        <v>3</v>
      </c>
      <c r="C284">
        <v>0</v>
      </c>
      <c r="D284">
        <v>9</v>
      </c>
      <c r="E284" s="29" t="s">
        <v>303</v>
      </c>
      <c r="F284" s="3">
        <v>448</v>
      </c>
      <c r="G284" s="3">
        <v>458</v>
      </c>
      <c r="H284" s="29" t="s">
        <v>43</v>
      </c>
      <c r="J284" s="7">
        <v>0.60277777777777775</v>
      </c>
      <c r="K284" s="7">
        <v>0.60972222222222228</v>
      </c>
      <c r="L284" s="3">
        <f t="shared" si="8"/>
        <v>1</v>
      </c>
      <c r="M284" s="3">
        <f t="shared" si="9"/>
        <v>0</v>
      </c>
      <c r="N284" s="29">
        <f>_xlfn.MAXIFS($G$7:G283,$E$7:E283,detalhe_carro1[[#This Row],[Nó]],$B$7:B283,detalhe_carro1[[#This Row],[Numero Voltas]],$L$7:L283,1)</f>
        <v>347</v>
      </c>
      <c r="O284" s="3" t="str">
        <f>IF(OR(detalhe_carro1[[#This Row],[Ultima Chegada]]=0,detalhe_carro1[[#This Row],[Chegada]]=0),"",detalhe_carro1[[#This Row],[Hora Inicio]]-detalhe_carro1[[#This Row],[Ultima Chegada]])</f>
        <v/>
      </c>
      <c r="P284" s="3">
        <f>IF(detalhe_carro1[[#This Row],[Tipo]]="Visitar Nó",((detalhe_carro1[[#This Row],[Hora Fim]]-detalhe_carro1[[#This Row],[Hora Inicio]])/60*velocidade_nos),0)</f>
        <v>5</v>
      </c>
      <c r="Q284" s="29">
        <f>detalhe_carro1[[#This Row],[Kms Nós]]+detalhe_carro1[[#This Row],[kms]]</f>
        <v>5</v>
      </c>
    </row>
    <row r="285" spans="2:29" hidden="1" x14ac:dyDescent="0.25">
      <c r="B285" s="3">
        <v>3</v>
      </c>
      <c r="C285">
        <v>0</v>
      </c>
      <c r="D285">
        <v>8</v>
      </c>
      <c r="E285" s="29" t="s">
        <v>302</v>
      </c>
      <c r="F285" s="3">
        <v>464</v>
      </c>
      <c r="G285" s="3">
        <v>464</v>
      </c>
      <c r="H285" s="29" t="s">
        <v>44</v>
      </c>
      <c r="J285" s="7">
        <v>0.61388888888888893</v>
      </c>
      <c r="K285" s="7">
        <v>0.61388888888888893</v>
      </c>
      <c r="L285" s="3">
        <f t="shared" si="8"/>
        <v>1</v>
      </c>
      <c r="M285" s="3">
        <f t="shared" si="9"/>
        <v>1</v>
      </c>
      <c r="N285" s="29">
        <f>_xlfn.MAXIFS($G$7:G284,$E$7:E284,detalhe_carro1[[#This Row],[Nó]],$B$7:B284,detalhe_carro1[[#This Row],[Numero Voltas]],$L$7:L284,1)</f>
        <v>442</v>
      </c>
      <c r="O285" s="3">
        <f>IF(OR(detalhe_carro1[[#This Row],[Ultima Chegada]]=0,detalhe_carro1[[#This Row],[Chegada]]=0),"",detalhe_carro1[[#This Row],[Hora Inicio]]-detalhe_carro1[[#This Row],[Ultima Chegada]])</f>
        <v>22</v>
      </c>
      <c r="P285" s="3">
        <f>IF(detalhe_carro1[[#This Row],[Tipo]]="Visitar Nó",((detalhe_carro1[[#This Row],[Hora Fim]]-detalhe_carro1[[#This Row],[Hora Inicio]])/60*velocidade_nos),0)</f>
        <v>0</v>
      </c>
      <c r="Q285" s="29">
        <f>detalhe_carro1[[#This Row],[Kms Nós]]+detalhe_carro1[[#This Row],[kms]]</f>
        <v>0</v>
      </c>
    </row>
    <row r="286" spans="2:29" hidden="1" x14ac:dyDescent="0.25">
      <c r="B286" s="3">
        <v>3</v>
      </c>
      <c r="C286">
        <v>0</v>
      </c>
      <c r="D286">
        <v>7</v>
      </c>
      <c r="E286" s="29" t="s">
        <v>301</v>
      </c>
      <c r="F286" s="3">
        <v>470</v>
      </c>
      <c r="G286" s="3">
        <v>470</v>
      </c>
      <c r="H286" s="29" t="s">
        <v>44</v>
      </c>
      <c r="J286" s="7">
        <v>0.61805555555555558</v>
      </c>
      <c r="K286" s="7">
        <v>0.61805555555555558</v>
      </c>
      <c r="L286" s="3">
        <f t="shared" si="8"/>
        <v>1</v>
      </c>
      <c r="M286" s="3">
        <f t="shared" si="9"/>
        <v>1</v>
      </c>
      <c r="N286" s="29">
        <f>_xlfn.MAXIFS($G$7:G285,$E$7:E285,detalhe_carro1[[#This Row],[Nó]],$B$7:B285,detalhe_carro1[[#This Row],[Numero Voltas]],$L$7:L285,1)</f>
        <v>436</v>
      </c>
      <c r="O286" s="3">
        <f>IF(OR(detalhe_carro1[[#This Row],[Ultima Chegada]]=0,detalhe_carro1[[#This Row],[Chegada]]=0),"",detalhe_carro1[[#This Row],[Hora Inicio]]-detalhe_carro1[[#This Row],[Ultima Chegada]])</f>
        <v>34</v>
      </c>
      <c r="P286" s="3">
        <f>IF(detalhe_carro1[[#This Row],[Tipo]]="Visitar Nó",((detalhe_carro1[[#This Row],[Hora Fim]]-detalhe_carro1[[#This Row],[Hora Inicio]])/60*velocidade_nos),0)</f>
        <v>0</v>
      </c>
      <c r="Q286" s="29">
        <f>detalhe_carro1[[#This Row],[Kms Nós]]+detalhe_carro1[[#This Row],[kms]]</f>
        <v>0</v>
      </c>
    </row>
    <row r="287" spans="2:29" hidden="1" x14ac:dyDescent="0.25">
      <c r="B287" s="3">
        <v>3</v>
      </c>
      <c r="C287">
        <v>0</v>
      </c>
      <c r="D287">
        <v>6</v>
      </c>
      <c r="E287" s="29" t="s">
        <v>300</v>
      </c>
      <c r="F287" s="3">
        <v>473</v>
      </c>
      <c r="G287" s="3">
        <v>473</v>
      </c>
      <c r="H287" s="29" t="s">
        <v>44</v>
      </c>
      <c r="J287" s="7">
        <v>0.62013888888888891</v>
      </c>
      <c r="K287" s="7">
        <v>0.62013888888888891</v>
      </c>
      <c r="L287" s="3">
        <f t="shared" si="8"/>
        <v>0</v>
      </c>
      <c r="M287" s="3">
        <f t="shared" si="9"/>
        <v>1</v>
      </c>
      <c r="N287" s="29">
        <f>_xlfn.MAXIFS($G$7:G286,$E$7:E286,detalhe_carro1[[#This Row],[Nó]],$B$7:B286,detalhe_carro1[[#This Row],[Numero Voltas]],$L$7:L286,1)</f>
        <v>433</v>
      </c>
      <c r="O287" s="3">
        <f>IF(OR(detalhe_carro1[[#This Row],[Ultima Chegada]]=0,detalhe_carro1[[#This Row],[Chegada]]=0),"",detalhe_carro1[[#This Row],[Hora Inicio]]-detalhe_carro1[[#This Row],[Ultima Chegada]])</f>
        <v>40</v>
      </c>
      <c r="P287" s="3">
        <f>IF(detalhe_carro1[[#This Row],[Tipo]]="Visitar Nó",((detalhe_carro1[[#This Row],[Hora Fim]]-detalhe_carro1[[#This Row],[Hora Inicio]])/60*velocidade_nos),0)</f>
        <v>0</v>
      </c>
      <c r="Q287" s="29">
        <f>detalhe_carro1[[#This Row],[Kms Nós]]+detalhe_carro1[[#This Row],[kms]]</f>
        <v>0</v>
      </c>
    </row>
    <row r="288" spans="2:29" hidden="1" x14ac:dyDescent="0.25">
      <c r="B288" s="3">
        <v>3</v>
      </c>
      <c r="C288">
        <v>0</v>
      </c>
      <c r="D288">
        <v>6</v>
      </c>
      <c r="E288" s="29" t="s">
        <v>300</v>
      </c>
      <c r="F288" s="3">
        <v>473</v>
      </c>
      <c r="G288" s="3">
        <v>473</v>
      </c>
      <c r="H288" s="29" t="s">
        <v>43</v>
      </c>
      <c r="J288" s="7">
        <v>0.62013888888888891</v>
      </c>
      <c r="K288" s="7">
        <v>0.62013888888888891</v>
      </c>
      <c r="L288" s="3">
        <f t="shared" si="8"/>
        <v>1</v>
      </c>
      <c r="M288" s="3">
        <f t="shared" si="9"/>
        <v>0</v>
      </c>
      <c r="N288" s="29">
        <f>_xlfn.MAXIFS($G$7:G287,$E$7:E287,detalhe_carro1[[#This Row],[Nó]],$B$7:B287,detalhe_carro1[[#This Row],[Numero Voltas]],$L$7:L287,1)</f>
        <v>433</v>
      </c>
      <c r="O288" s="3" t="str">
        <f>IF(OR(detalhe_carro1[[#This Row],[Ultima Chegada]]=0,detalhe_carro1[[#This Row],[Chegada]]=0),"",detalhe_carro1[[#This Row],[Hora Inicio]]-detalhe_carro1[[#This Row],[Ultima Chegada]])</f>
        <v/>
      </c>
      <c r="P288" s="3">
        <f>IF(detalhe_carro1[[#This Row],[Tipo]]="Visitar Nó",((detalhe_carro1[[#This Row],[Hora Fim]]-detalhe_carro1[[#This Row],[Hora Inicio]])/60*velocidade_nos),0)</f>
        <v>0</v>
      </c>
      <c r="Q288" s="29">
        <f>detalhe_carro1[[#This Row],[Kms Nós]]+detalhe_carro1[[#This Row],[kms]]</f>
        <v>0</v>
      </c>
    </row>
    <row r="289" spans="2:17" hidden="1" x14ac:dyDescent="0.25">
      <c r="B289" s="3">
        <v>3</v>
      </c>
      <c r="C289">
        <v>0</v>
      </c>
      <c r="D289">
        <v>5</v>
      </c>
      <c r="E289" s="29" t="s">
        <v>215</v>
      </c>
      <c r="F289" s="3">
        <v>477</v>
      </c>
      <c r="G289" s="3">
        <v>477</v>
      </c>
      <c r="H289" s="29" t="s">
        <v>44</v>
      </c>
      <c r="J289" s="7">
        <v>0.62291666666666667</v>
      </c>
      <c r="K289" s="7">
        <v>0.62291666666666667</v>
      </c>
      <c r="L289" s="3">
        <f t="shared" si="8"/>
        <v>0</v>
      </c>
      <c r="M289" s="3">
        <f t="shared" si="9"/>
        <v>1</v>
      </c>
      <c r="N289" s="29">
        <f>_xlfn.MAXIFS($G$7:G288,$E$7:E288,detalhe_carro1[[#This Row],[Nó]],$B$7:B288,detalhe_carro1[[#This Row],[Numero Voltas]],$L$7:L288,1)</f>
        <v>429</v>
      </c>
      <c r="O289" s="3">
        <f>IF(OR(detalhe_carro1[[#This Row],[Ultima Chegada]]=0,detalhe_carro1[[#This Row],[Chegada]]=0),"",detalhe_carro1[[#This Row],[Hora Inicio]]-detalhe_carro1[[#This Row],[Ultima Chegada]])</f>
        <v>48</v>
      </c>
      <c r="P289" s="3">
        <f>IF(detalhe_carro1[[#This Row],[Tipo]]="Visitar Nó",((detalhe_carro1[[#This Row],[Hora Fim]]-detalhe_carro1[[#This Row],[Hora Inicio]])/60*velocidade_nos),0)</f>
        <v>0</v>
      </c>
      <c r="Q289" s="29">
        <f>detalhe_carro1[[#This Row],[Kms Nós]]+detalhe_carro1[[#This Row],[kms]]</f>
        <v>0</v>
      </c>
    </row>
    <row r="290" spans="2:17" hidden="1" x14ac:dyDescent="0.25">
      <c r="B290" s="3">
        <v>3</v>
      </c>
      <c r="C290">
        <v>0</v>
      </c>
      <c r="D290">
        <v>5</v>
      </c>
      <c r="E290" s="29" t="s">
        <v>215</v>
      </c>
      <c r="F290" s="3">
        <v>477</v>
      </c>
      <c r="G290" s="3">
        <v>477</v>
      </c>
      <c r="H290" s="29" t="s">
        <v>43</v>
      </c>
      <c r="J290" s="7">
        <v>0.62291666666666667</v>
      </c>
      <c r="K290" s="7">
        <v>0.62291666666666667</v>
      </c>
      <c r="L290" s="3">
        <f t="shared" si="8"/>
        <v>1</v>
      </c>
      <c r="M290" s="3">
        <f t="shared" si="9"/>
        <v>0</v>
      </c>
      <c r="N290" s="29">
        <f>_xlfn.MAXIFS($G$7:G289,$E$7:E289,detalhe_carro1[[#This Row],[Nó]],$B$7:B289,detalhe_carro1[[#This Row],[Numero Voltas]],$L$7:L289,1)</f>
        <v>429</v>
      </c>
      <c r="O290" s="3" t="str">
        <f>IF(OR(detalhe_carro1[[#This Row],[Ultima Chegada]]=0,detalhe_carro1[[#This Row],[Chegada]]=0),"",detalhe_carro1[[#This Row],[Hora Inicio]]-detalhe_carro1[[#This Row],[Ultima Chegada]])</f>
        <v/>
      </c>
      <c r="P290" s="3">
        <f>IF(detalhe_carro1[[#This Row],[Tipo]]="Visitar Nó",((detalhe_carro1[[#This Row],[Hora Fim]]-detalhe_carro1[[#This Row],[Hora Inicio]])/60*velocidade_nos),0)</f>
        <v>0</v>
      </c>
      <c r="Q290" s="29">
        <f>detalhe_carro1[[#This Row],[Kms Nós]]+detalhe_carro1[[#This Row],[kms]]</f>
        <v>0</v>
      </c>
    </row>
    <row r="291" spans="2:17" hidden="1" x14ac:dyDescent="0.25">
      <c r="B291" s="3">
        <v>3</v>
      </c>
      <c r="C291">
        <v>0</v>
      </c>
      <c r="D291">
        <v>4</v>
      </c>
      <c r="E291" s="29" t="s">
        <v>2</v>
      </c>
      <c r="F291" s="3">
        <v>480</v>
      </c>
      <c r="G291" s="3">
        <v>480</v>
      </c>
      <c r="H291" s="29" t="s">
        <v>44</v>
      </c>
      <c r="J291" s="7">
        <v>0.625</v>
      </c>
      <c r="K291" s="7">
        <v>0.625</v>
      </c>
      <c r="L291" s="3">
        <f t="shared" si="8"/>
        <v>0</v>
      </c>
      <c r="M291" s="3">
        <f t="shared" si="9"/>
        <v>1</v>
      </c>
      <c r="N291" s="29">
        <f>_xlfn.MAXIFS($G$7:G290,$E$7:E290,detalhe_carro1[[#This Row],[Nó]],$B$7:B290,detalhe_carro1[[#This Row],[Numero Voltas]],$L$7:L290,1)</f>
        <v>426</v>
      </c>
      <c r="O291" s="3">
        <f>IF(OR(detalhe_carro1[[#This Row],[Ultima Chegada]]=0,detalhe_carro1[[#This Row],[Chegada]]=0),"",detalhe_carro1[[#This Row],[Hora Inicio]]-detalhe_carro1[[#This Row],[Ultima Chegada]])</f>
        <v>54</v>
      </c>
      <c r="P291" s="3">
        <f>IF(detalhe_carro1[[#This Row],[Tipo]]="Visitar Nó",((detalhe_carro1[[#This Row],[Hora Fim]]-detalhe_carro1[[#This Row],[Hora Inicio]])/60*velocidade_nos),0)</f>
        <v>0</v>
      </c>
      <c r="Q291" s="29">
        <f>detalhe_carro1[[#This Row],[Kms Nós]]+detalhe_carro1[[#This Row],[kms]]</f>
        <v>0</v>
      </c>
    </row>
    <row r="292" spans="2:17" hidden="1" x14ac:dyDescent="0.25">
      <c r="B292" s="3">
        <v>3</v>
      </c>
      <c r="C292">
        <v>0</v>
      </c>
      <c r="D292">
        <v>4</v>
      </c>
      <c r="E292" s="29" t="s">
        <v>2</v>
      </c>
      <c r="F292" s="3">
        <v>480</v>
      </c>
      <c r="G292" s="3">
        <v>480</v>
      </c>
      <c r="H292" s="29" t="s">
        <v>44</v>
      </c>
      <c r="J292" s="7">
        <v>0.625</v>
      </c>
      <c r="K292" s="7">
        <v>0.625</v>
      </c>
      <c r="L292" s="3">
        <f t="shared" si="8"/>
        <v>0</v>
      </c>
      <c r="M292" s="3">
        <f t="shared" si="9"/>
        <v>0</v>
      </c>
      <c r="N292" s="29">
        <f>_xlfn.MAXIFS($G$7:G291,$E$7:E291,detalhe_carro1[[#This Row],[Nó]],$B$7:B291,detalhe_carro1[[#This Row],[Numero Voltas]],$L$7:L291,1)</f>
        <v>426</v>
      </c>
      <c r="O292" s="3" t="str">
        <f>IF(OR(detalhe_carro1[[#This Row],[Ultima Chegada]]=0,detalhe_carro1[[#This Row],[Chegada]]=0),"",detalhe_carro1[[#This Row],[Hora Inicio]]-detalhe_carro1[[#This Row],[Ultima Chegada]])</f>
        <v/>
      </c>
      <c r="P292" s="3">
        <f>IF(detalhe_carro1[[#This Row],[Tipo]]="Visitar Nó",((detalhe_carro1[[#This Row],[Hora Fim]]-detalhe_carro1[[#This Row],[Hora Inicio]])/60*velocidade_nos),0)</f>
        <v>0</v>
      </c>
      <c r="Q292" s="29">
        <f>detalhe_carro1[[#This Row],[Kms Nós]]+detalhe_carro1[[#This Row],[kms]]</f>
        <v>0</v>
      </c>
    </row>
    <row r="293" spans="2:17" hidden="1" x14ac:dyDescent="0.25">
      <c r="B293" s="3">
        <v>3</v>
      </c>
      <c r="C293">
        <v>1</v>
      </c>
      <c r="D293">
        <v>4</v>
      </c>
      <c r="E293" s="29" t="s">
        <v>2</v>
      </c>
      <c r="F293" s="3">
        <v>480</v>
      </c>
      <c r="G293" s="3">
        <v>480</v>
      </c>
      <c r="H293" s="29" t="s">
        <v>42</v>
      </c>
      <c r="J293" s="7">
        <v>0.625</v>
      </c>
      <c r="K293" s="7">
        <v>0.625</v>
      </c>
      <c r="L293" s="3">
        <f t="shared" si="8"/>
        <v>0</v>
      </c>
      <c r="M293" s="3">
        <f t="shared" si="9"/>
        <v>0</v>
      </c>
      <c r="N293" s="29">
        <f>_xlfn.MAXIFS($G$7:G292,$E$7:E292,detalhe_carro1[[#This Row],[Nó]],$B$7:B292,detalhe_carro1[[#This Row],[Numero Voltas]],$L$7:L292,1)</f>
        <v>426</v>
      </c>
      <c r="O293" s="3" t="str">
        <f>IF(OR(detalhe_carro1[[#This Row],[Ultima Chegada]]=0,detalhe_carro1[[#This Row],[Chegada]]=0),"",detalhe_carro1[[#This Row],[Hora Inicio]]-detalhe_carro1[[#This Row],[Ultima Chegada]])</f>
        <v/>
      </c>
      <c r="P293" s="3">
        <f>IF(detalhe_carro1[[#This Row],[Tipo]]="Visitar Nó",((detalhe_carro1[[#This Row],[Hora Fim]]-detalhe_carro1[[#This Row],[Hora Inicio]])/60*velocidade_nos),0)</f>
        <v>0</v>
      </c>
      <c r="Q293" s="29">
        <f>detalhe_carro1[[#This Row],[Kms Nós]]+detalhe_carro1[[#This Row],[kms]]</f>
        <v>0</v>
      </c>
    </row>
    <row r="294" spans="2:17" hidden="1" x14ac:dyDescent="0.25">
      <c r="B294" s="3">
        <v>3</v>
      </c>
      <c r="C294">
        <v>1</v>
      </c>
      <c r="D294">
        <v>4</v>
      </c>
      <c r="E294" s="29" t="s">
        <v>2</v>
      </c>
      <c r="F294" s="3">
        <v>480</v>
      </c>
      <c r="G294" s="3">
        <v>480</v>
      </c>
      <c r="H294" s="29" t="s">
        <v>44</v>
      </c>
      <c r="J294" s="7">
        <v>0.625</v>
      </c>
      <c r="K294" s="7">
        <v>0.625</v>
      </c>
      <c r="L294" s="3">
        <f t="shared" si="8"/>
        <v>0</v>
      </c>
      <c r="M294" s="3">
        <f t="shared" si="9"/>
        <v>0</v>
      </c>
      <c r="N294" s="29">
        <f>_xlfn.MAXIFS($G$7:G293,$E$7:E293,detalhe_carro1[[#This Row],[Nó]],$B$7:B293,detalhe_carro1[[#This Row],[Numero Voltas]],$L$7:L293,1)</f>
        <v>426</v>
      </c>
      <c r="O294" s="3" t="str">
        <f>IF(OR(detalhe_carro1[[#This Row],[Ultima Chegada]]=0,detalhe_carro1[[#This Row],[Chegada]]=0),"",detalhe_carro1[[#This Row],[Hora Inicio]]-detalhe_carro1[[#This Row],[Ultima Chegada]])</f>
        <v/>
      </c>
      <c r="P294" s="3">
        <f>IF(detalhe_carro1[[#This Row],[Tipo]]="Visitar Nó",((detalhe_carro1[[#This Row],[Hora Fim]]-detalhe_carro1[[#This Row],[Hora Inicio]])/60*velocidade_nos),0)</f>
        <v>0</v>
      </c>
      <c r="Q294" s="29">
        <f>detalhe_carro1[[#This Row],[Kms Nós]]+detalhe_carro1[[#This Row],[kms]]</f>
        <v>0</v>
      </c>
    </row>
    <row r="295" spans="2:17" hidden="1" x14ac:dyDescent="0.25">
      <c r="B295" s="3">
        <v>3</v>
      </c>
      <c r="C295">
        <v>1</v>
      </c>
      <c r="D295">
        <v>4</v>
      </c>
      <c r="E295" s="29" t="s">
        <v>2</v>
      </c>
      <c r="F295" s="3">
        <v>480</v>
      </c>
      <c r="G295" s="3">
        <v>495</v>
      </c>
      <c r="H295" s="29" t="s">
        <v>47</v>
      </c>
      <c r="J295" s="7">
        <v>0.625</v>
      </c>
      <c r="K295" s="7">
        <v>0.63541666666666663</v>
      </c>
      <c r="L295" s="3">
        <f t="shared" si="8"/>
        <v>0</v>
      </c>
      <c r="M295" s="3">
        <f t="shared" si="9"/>
        <v>0</v>
      </c>
      <c r="N295" s="29">
        <f>_xlfn.MAXIFS($G$7:G294,$E$7:E294,detalhe_carro1[[#This Row],[Nó]],$B$7:B294,detalhe_carro1[[#This Row],[Numero Voltas]],$L$7:L294,1)</f>
        <v>426</v>
      </c>
      <c r="O295" s="3" t="str">
        <f>IF(OR(detalhe_carro1[[#This Row],[Ultima Chegada]]=0,detalhe_carro1[[#This Row],[Chegada]]=0),"",detalhe_carro1[[#This Row],[Hora Inicio]]-detalhe_carro1[[#This Row],[Ultima Chegada]])</f>
        <v/>
      </c>
      <c r="P295" s="3">
        <f>IF(detalhe_carro1[[#This Row],[Tipo]]="Visitar Nó",((detalhe_carro1[[#This Row],[Hora Fim]]-detalhe_carro1[[#This Row],[Hora Inicio]])/60*velocidade_nos),0)</f>
        <v>0</v>
      </c>
      <c r="Q295" s="29">
        <f>detalhe_carro1[[#This Row],[Kms Nós]]+detalhe_carro1[[#This Row],[kms]]</f>
        <v>0</v>
      </c>
    </row>
    <row r="296" spans="2:17" hidden="1" x14ac:dyDescent="0.25">
      <c r="B296" s="3">
        <v>3</v>
      </c>
      <c r="C296">
        <v>1</v>
      </c>
      <c r="D296">
        <v>4</v>
      </c>
      <c r="E296" s="29" t="s">
        <v>2</v>
      </c>
      <c r="F296" s="3">
        <v>495</v>
      </c>
      <c r="G296" s="3">
        <v>508</v>
      </c>
      <c r="H296" s="29" t="s">
        <v>43</v>
      </c>
      <c r="J296" s="7">
        <v>0.63541666666666663</v>
      </c>
      <c r="K296" s="7">
        <v>0.64444444444444449</v>
      </c>
      <c r="L296" s="3">
        <f t="shared" si="8"/>
        <v>1</v>
      </c>
      <c r="M296" s="3">
        <f t="shared" si="9"/>
        <v>0</v>
      </c>
      <c r="N296" s="29">
        <f>_xlfn.MAXIFS($G$7:G295,$E$7:E295,detalhe_carro1[[#This Row],[Nó]],$B$7:B295,detalhe_carro1[[#This Row],[Numero Voltas]],$L$7:L295,1)</f>
        <v>426</v>
      </c>
      <c r="O296" s="3" t="str">
        <f>IF(OR(detalhe_carro1[[#This Row],[Ultima Chegada]]=0,detalhe_carro1[[#This Row],[Chegada]]=0),"",detalhe_carro1[[#This Row],[Hora Inicio]]-detalhe_carro1[[#This Row],[Ultima Chegada]])</f>
        <v/>
      </c>
      <c r="P296" s="3">
        <f>IF(detalhe_carro1[[#This Row],[Tipo]]="Visitar Nó",((detalhe_carro1[[#This Row],[Hora Fim]]-detalhe_carro1[[#This Row],[Hora Inicio]])/60*velocidade_nos),0)</f>
        <v>6.5</v>
      </c>
      <c r="Q296" s="29">
        <f>detalhe_carro1[[#This Row],[Kms Nós]]+detalhe_carro1[[#This Row],[kms]]</f>
        <v>6.5</v>
      </c>
    </row>
    <row r="297" spans="2:17" hidden="1" x14ac:dyDescent="0.25">
      <c r="B297" s="3">
        <v>3</v>
      </c>
      <c r="C297">
        <v>1</v>
      </c>
      <c r="D297">
        <v>3</v>
      </c>
      <c r="E297" s="29" t="s">
        <v>208</v>
      </c>
      <c r="F297" s="3">
        <v>513</v>
      </c>
      <c r="G297" s="3">
        <v>513</v>
      </c>
      <c r="H297" s="29" t="s">
        <v>44</v>
      </c>
      <c r="J297" s="7">
        <v>0.6479166666666667</v>
      </c>
      <c r="K297" s="7">
        <v>0.6479166666666667</v>
      </c>
      <c r="L297" s="3">
        <f t="shared" si="8"/>
        <v>1</v>
      </c>
      <c r="M297" s="3">
        <f t="shared" si="9"/>
        <v>1</v>
      </c>
      <c r="N297" s="29">
        <f>_xlfn.MAXIFS($G$7:G296,$E$7:E296,detalhe_carro1[[#This Row],[Nó]],$B$7:B296,detalhe_carro1[[#This Row],[Numero Voltas]],$L$7:L296,1)</f>
        <v>421</v>
      </c>
      <c r="O297" s="3">
        <f>IF(OR(detalhe_carro1[[#This Row],[Ultima Chegada]]=0,detalhe_carro1[[#This Row],[Chegada]]=0),"",detalhe_carro1[[#This Row],[Hora Inicio]]-detalhe_carro1[[#This Row],[Ultima Chegada]])</f>
        <v>92</v>
      </c>
      <c r="P297" s="3">
        <f>IF(detalhe_carro1[[#This Row],[Tipo]]="Visitar Nó",((detalhe_carro1[[#This Row],[Hora Fim]]-detalhe_carro1[[#This Row],[Hora Inicio]])/60*velocidade_nos),0)</f>
        <v>0</v>
      </c>
      <c r="Q297" s="29">
        <f>detalhe_carro1[[#This Row],[Kms Nós]]+detalhe_carro1[[#This Row],[kms]]</f>
        <v>0</v>
      </c>
    </row>
    <row r="298" spans="2:17" hidden="1" x14ac:dyDescent="0.25">
      <c r="B298" s="3">
        <v>3</v>
      </c>
      <c r="C298">
        <v>1</v>
      </c>
      <c r="D298">
        <v>2</v>
      </c>
      <c r="E298" s="29" t="s">
        <v>228</v>
      </c>
      <c r="F298" s="3">
        <v>516</v>
      </c>
      <c r="G298" s="3">
        <v>516</v>
      </c>
      <c r="H298" s="29" t="s">
        <v>44</v>
      </c>
      <c r="J298" s="7">
        <v>0.65</v>
      </c>
      <c r="K298" s="7">
        <v>0.65</v>
      </c>
      <c r="L298" s="3">
        <f t="shared" si="8"/>
        <v>1</v>
      </c>
      <c r="M298" s="3">
        <f t="shared" si="9"/>
        <v>1</v>
      </c>
      <c r="N298" s="29">
        <f>_xlfn.MAXIFS($G$7:G297,$E$7:E297,detalhe_carro1[[#This Row],[Nó]],$B$7:B297,detalhe_carro1[[#This Row],[Numero Voltas]],$L$7:L297,1)</f>
        <v>418</v>
      </c>
      <c r="O298" s="3">
        <f>IF(OR(detalhe_carro1[[#This Row],[Ultima Chegada]]=0,detalhe_carro1[[#This Row],[Chegada]]=0),"",detalhe_carro1[[#This Row],[Hora Inicio]]-detalhe_carro1[[#This Row],[Ultima Chegada]])</f>
        <v>98</v>
      </c>
      <c r="P298" s="3">
        <f>IF(detalhe_carro1[[#This Row],[Tipo]]="Visitar Nó",((detalhe_carro1[[#This Row],[Hora Fim]]-detalhe_carro1[[#This Row],[Hora Inicio]])/60*velocidade_nos),0)</f>
        <v>0</v>
      </c>
      <c r="Q298" s="29">
        <f>detalhe_carro1[[#This Row],[Kms Nós]]+detalhe_carro1[[#This Row],[kms]]</f>
        <v>0</v>
      </c>
    </row>
    <row r="299" spans="2:17" hidden="1" x14ac:dyDescent="0.25">
      <c r="B299" s="3">
        <v>3</v>
      </c>
      <c r="C299">
        <v>1</v>
      </c>
      <c r="D299">
        <v>1</v>
      </c>
      <c r="E299" s="29" t="s">
        <v>200</v>
      </c>
      <c r="F299" s="3">
        <v>517</v>
      </c>
      <c r="G299" s="3">
        <v>517</v>
      </c>
      <c r="H299" s="29" t="s">
        <v>44</v>
      </c>
      <c r="J299" s="7">
        <v>0.65069444444444446</v>
      </c>
      <c r="K299" s="7">
        <v>0.65069444444444446</v>
      </c>
      <c r="L299" s="3">
        <f t="shared" si="8"/>
        <v>1</v>
      </c>
      <c r="M299" s="3">
        <f t="shared" si="9"/>
        <v>1</v>
      </c>
      <c r="N299" s="29">
        <f>_xlfn.MAXIFS($G$7:G298,$E$7:E298,detalhe_carro1[[#This Row],[Nó]],$B$7:B298,detalhe_carro1[[#This Row],[Numero Voltas]],$L$7:L298,1)</f>
        <v>417</v>
      </c>
      <c r="O299" s="3">
        <f>IF(OR(detalhe_carro1[[#This Row],[Ultima Chegada]]=0,detalhe_carro1[[#This Row],[Chegada]]=0),"",detalhe_carro1[[#This Row],[Hora Inicio]]-detalhe_carro1[[#This Row],[Ultima Chegada]])</f>
        <v>100</v>
      </c>
      <c r="P299" s="3">
        <f>IF(detalhe_carro1[[#This Row],[Tipo]]="Visitar Nó",((detalhe_carro1[[#This Row],[Hora Fim]]-detalhe_carro1[[#This Row],[Hora Inicio]])/60*velocidade_nos),0)</f>
        <v>0</v>
      </c>
      <c r="Q299" s="29">
        <f>detalhe_carro1[[#This Row],[Kms Nós]]+detalhe_carro1[[#This Row],[kms]]</f>
        <v>0</v>
      </c>
    </row>
    <row r="300" spans="2:17" hidden="1" x14ac:dyDescent="0.25">
      <c r="B300" s="3">
        <v>3</v>
      </c>
      <c r="C300">
        <v>1</v>
      </c>
      <c r="D300">
        <v>0</v>
      </c>
      <c r="E300" s="29" t="s">
        <v>203</v>
      </c>
      <c r="F300" s="3">
        <v>519</v>
      </c>
      <c r="G300" s="3">
        <v>519</v>
      </c>
      <c r="H300" s="29" t="s">
        <v>44</v>
      </c>
      <c r="J300" s="7">
        <v>0.65208333333333335</v>
      </c>
      <c r="K300" s="7">
        <v>0.65208333333333335</v>
      </c>
      <c r="L300" s="3">
        <f t="shared" si="8"/>
        <v>0</v>
      </c>
      <c r="M300" s="3">
        <f t="shared" si="9"/>
        <v>1</v>
      </c>
      <c r="N300" s="29">
        <f>_xlfn.MAXIFS($G$7:G299,$E$7:E299,detalhe_carro1[[#This Row],[Nó]],$B$7:B299,detalhe_carro1[[#This Row],[Numero Voltas]],$L$7:L299,1)</f>
        <v>415</v>
      </c>
      <c r="O300" s="3">
        <f>IF(OR(detalhe_carro1[[#This Row],[Ultima Chegada]]=0,detalhe_carro1[[#This Row],[Chegada]]=0),"",detalhe_carro1[[#This Row],[Hora Inicio]]-detalhe_carro1[[#This Row],[Ultima Chegada]])</f>
        <v>104</v>
      </c>
      <c r="P300" s="3">
        <f>IF(detalhe_carro1[[#This Row],[Tipo]]="Visitar Nó",((detalhe_carro1[[#This Row],[Hora Fim]]-detalhe_carro1[[#This Row],[Hora Inicio]])/60*velocidade_nos),0)</f>
        <v>0</v>
      </c>
      <c r="Q300" s="29">
        <f>detalhe_carro1[[#This Row],[Kms Nós]]+detalhe_carro1[[#This Row],[kms]]</f>
        <v>0</v>
      </c>
    </row>
    <row r="301" spans="2:17" hidden="1" x14ac:dyDescent="0.25">
      <c r="B301" s="3">
        <v>3</v>
      </c>
      <c r="C301">
        <v>1</v>
      </c>
      <c r="D301">
        <v>0</v>
      </c>
      <c r="E301" s="29" t="s">
        <v>203</v>
      </c>
      <c r="F301" s="3">
        <v>519</v>
      </c>
      <c r="G301" s="3">
        <v>519</v>
      </c>
      <c r="H301" s="29" t="s">
        <v>44</v>
      </c>
      <c r="J301" s="7">
        <v>0.65208333333333335</v>
      </c>
      <c r="K301" s="7">
        <v>0.65208333333333335</v>
      </c>
      <c r="L301" s="3">
        <f t="shared" si="8"/>
        <v>1</v>
      </c>
      <c r="M301" s="3">
        <f t="shared" si="9"/>
        <v>0</v>
      </c>
      <c r="N301" s="29">
        <f>_xlfn.MAXIFS($G$7:G300,$E$7:E300,detalhe_carro1[[#This Row],[Nó]],$B$7:B300,detalhe_carro1[[#This Row],[Numero Voltas]],$L$7:L300,1)</f>
        <v>415</v>
      </c>
      <c r="O301" s="3" t="str">
        <f>IF(OR(detalhe_carro1[[#This Row],[Ultima Chegada]]=0,detalhe_carro1[[#This Row],[Chegada]]=0),"",detalhe_carro1[[#This Row],[Hora Inicio]]-detalhe_carro1[[#This Row],[Ultima Chegada]])</f>
        <v/>
      </c>
      <c r="P301" s="3">
        <f>IF(detalhe_carro1[[#This Row],[Tipo]]="Visitar Nó",((detalhe_carro1[[#This Row],[Hora Fim]]-detalhe_carro1[[#This Row],[Hora Inicio]])/60*velocidade_nos),0)</f>
        <v>0</v>
      </c>
      <c r="Q301" s="29">
        <f>detalhe_carro1[[#This Row],[Kms Nós]]+detalhe_carro1[[#This Row],[kms]]</f>
        <v>0</v>
      </c>
    </row>
    <row r="302" spans="2:17" hidden="1" x14ac:dyDescent="0.25">
      <c r="B302" s="3">
        <v>3</v>
      </c>
      <c r="C302">
        <v>1</v>
      </c>
      <c r="D302">
        <v>1</v>
      </c>
      <c r="E302" s="29" t="s">
        <v>200</v>
      </c>
      <c r="F302" s="3">
        <v>521</v>
      </c>
      <c r="G302" s="3">
        <v>521</v>
      </c>
      <c r="H302" s="29" t="s">
        <v>44</v>
      </c>
      <c r="J302" s="7">
        <v>0.65347222222222223</v>
      </c>
      <c r="K302" s="7">
        <v>0.65347222222222223</v>
      </c>
      <c r="L302" s="3">
        <f t="shared" si="8"/>
        <v>1</v>
      </c>
      <c r="M302" s="3">
        <f t="shared" si="9"/>
        <v>1</v>
      </c>
      <c r="N302" s="29">
        <f>_xlfn.MAXIFS($G$7:G301,$E$7:E301,detalhe_carro1[[#This Row],[Nó]],$B$7:B301,detalhe_carro1[[#This Row],[Numero Voltas]],$L$7:L301,1)</f>
        <v>517</v>
      </c>
      <c r="O302" s="3">
        <f>IF(OR(detalhe_carro1[[#This Row],[Ultima Chegada]]=0,detalhe_carro1[[#This Row],[Chegada]]=0),"",detalhe_carro1[[#This Row],[Hora Inicio]]-detalhe_carro1[[#This Row],[Ultima Chegada]])</f>
        <v>4</v>
      </c>
      <c r="P302" s="3">
        <f>IF(detalhe_carro1[[#This Row],[Tipo]]="Visitar Nó",((detalhe_carro1[[#This Row],[Hora Fim]]-detalhe_carro1[[#This Row],[Hora Inicio]])/60*velocidade_nos),0)</f>
        <v>0</v>
      </c>
      <c r="Q302" s="29">
        <f>detalhe_carro1[[#This Row],[Kms Nós]]+detalhe_carro1[[#This Row],[kms]]</f>
        <v>0</v>
      </c>
    </row>
    <row r="303" spans="2:17" hidden="1" x14ac:dyDescent="0.25">
      <c r="B303" s="3">
        <v>3</v>
      </c>
      <c r="C303">
        <v>1</v>
      </c>
      <c r="D303">
        <v>2</v>
      </c>
      <c r="E303" s="29" t="s">
        <v>228</v>
      </c>
      <c r="F303" s="3">
        <v>522</v>
      </c>
      <c r="G303" s="3">
        <v>522</v>
      </c>
      <c r="H303" s="29" t="s">
        <v>44</v>
      </c>
      <c r="J303" s="7">
        <v>0.65416666666666667</v>
      </c>
      <c r="K303" s="7">
        <v>0.65416666666666667</v>
      </c>
      <c r="L303" s="3">
        <f t="shared" si="8"/>
        <v>1</v>
      </c>
      <c r="M303" s="3">
        <f t="shared" si="9"/>
        <v>1</v>
      </c>
      <c r="N303" s="29">
        <f>_xlfn.MAXIFS($G$7:G302,$E$7:E302,detalhe_carro1[[#This Row],[Nó]],$B$7:B302,detalhe_carro1[[#This Row],[Numero Voltas]],$L$7:L302,1)</f>
        <v>516</v>
      </c>
      <c r="O303" s="3">
        <f>IF(OR(detalhe_carro1[[#This Row],[Ultima Chegada]]=0,detalhe_carro1[[#This Row],[Chegada]]=0),"",detalhe_carro1[[#This Row],[Hora Inicio]]-detalhe_carro1[[#This Row],[Ultima Chegada]])</f>
        <v>6</v>
      </c>
      <c r="P303" s="3">
        <f>IF(detalhe_carro1[[#This Row],[Tipo]]="Visitar Nó",((detalhe_carro1[[#This Row],[Hora Fim]]-detalhe_carro1[[#This Row],[Hora Inicio]])/60*velocidade_nos),0)</f>
        <v>0</v>
      </c>
      <c r="Q303" s="29">
        <f>detalhe_carro1[[#This Row],[Kms Nós]]+detalhe_carro1[[#This Row],[kms]]</f>
        <v>0</v>
      </c>
    </row>
    <row r="304" spans="2:17" hidden="1" x14ac:dyDescent="0.25">
      <c r="B304" s="3">
        <v>3</v>
      </c>
      <c r="C304">
        <v>1</v>
      </c>
      <c r="D304">
        <v>3</v>
      </c>
      <c r="E304" s="29" t="s">
        <v>208</v>
      </c>
      <c r="F304" s="3">
        <v>525</v>
      </c>
      <c r="G304" s="3">
        <v>525</v>
      </c>
      <c r="H304" s="29" t="s">
        <v>44</v>
      </c>
      <c r="J304" s="7">
        <v>0.65625</v>
      </c>
      <c r="K304" s="7">
        <v>0.65625</v>
      </c>
      <c r="L304" s="3">
        <f t="shared" si="8"/>
        <v>1</v>
      </c>
      <c r="M304" s="3">
        <f t="shared" si="9"/>
        <v>1</v>
      </c>
      <c r="N304" s="29">
        <f>_xlfn.MAXIFS($G$7:G303,$E$7:E303,detalhe_carro1[[#This Row],[Nó]],$B$7:B303,detalhe_carro1[[#This Row],[Numero Voltas]],$L$7:L303,1)</f>
        <v>513</v>
      </c>
      <c r="O304" s="3">
        <f>IF(OR(detalhe_carro1[[#This Row],[Ultima Chegada]]=0,detalhe_carro1[[#This Row],[Chegada]]=0),"",detalhe_carro1[[#This Row],[Hora Inicio]]-detalhe_carro1[[#This Row],[Ultima Chegada]])</f>
        <v>12</v>
      </c>
      <c r="P304" s="3">
        <f>IF(detalhe_carro1[[#This Row],[Tipo]]="Visitar Nó",((detalhe_carro1[[#This Row],[Hora Fim]]-detalhe_carro1[[#This Row],[Hora Inicio]])/60*velocidade_nos),0)</f>
        <v>0</v>
      </c>
      <c r="Q304" s="29">
        <f>detalhe_carro1[[#This Row],[Kms Nós]]+detalhe_carro1[[#This Row],[kms]]</f>
        <v>0</v>
      </c>
    </row>
    <row r="305" spans="2:17" hidden="1" x14ac:dyDescent="0.25">
      <c r="B305" s="3">
        <v>3</v>
      </c>
      <c r="C305">
        <v>1</v>
      </c>
      <c r="D305">
        <v>4</v>
      </c>
      <c r="E305" s="29" t="s">
        <v>2</v>
      </c>
      <c r="F305" s="3">
        <v>530</v>
      </c>
      <c r="G305" s="3">
        <v>530</v>
      </c>
      <c r="H305" s="29" t="s">
        <v>44</v>
      </c>
      <c r="J305" s="7">
        <v>0.65972222222222221</v>
      </c>
      <c r="K305" s="7">
        <v>0.65972222222222221</v>
      </c>
      <c r="L305" s="3">
        <f t="shared" si="8"/>
        <v>0</v>
      </c>
      <c r="M305" s="3">
        <f t="shared" si="9"/>
        <v>1</v>
      </c>
      <c r="N305" s="29">
        <f>_xlfn.MAXIFS($G$7:G304,$E$7:E304,detalhe_carro1[[#This Row],[Nó]],$B$7:B304,detalhe_carro1[[#This Row],[Numero Voltas]],$L$7:L304,1)</f>
        <v>508</v>
      </c>
      <c r="O305" s="3">
        <f>IF(OR(detalhe_carro1[[#This Row],[Ultima Chegada]]=0,detalhe_carro1[[#This Row],[Chegada]]=0),"",detalhe_carro1[[#This Row],[Hora Inicio]]-detalhe_carro1[[#This Row],[Ultima Chegada]])</f>
        <v>22</v>
      </c>
      <c r="P305" s="3">
        <f>IF(detalhe_carro1[[#This Row],[Tipo]]="Visitar Nó",((detalhe_carro1[[#This Row],[Hora Fim]]-detalhe_carro1[[#This Row],[Hora Inicio]])/60*velocidade_nos),0)</f>
        <v>0</v>
      </c>
      <c r="Q305" s="29">
        <f>detalhe_carro1[[#This Row],[Kms Nós]]+detalhe_carro1[[#This Row],[kms]]</f>
        <v>0</v>
      </c>
    </row>
    <row r="306" spans="2:17" x14ac:dyDescent="0.25">
      <c r="B306" s="3">
        <v>3</v>
      </c>
      <c r="C306">
        <v>1</v>
      </c>
      <c r="D306">
        <v>4</v>
      </c>
      <c r="E306" s="29" t="s">
        <v>2</v>
      </c>
      <c r="F306" s="3">
        <v>530</v>
      </c>
      <c r="G306" s="3">
        <v>556</v>
      </c>
      <c r="H306" s="29" t="s">
        <v>45</v>
      </c>
      <c r="J306" s="7">
        <v>0.65972222222222221</v>
      </c>
      <c r="K306" s="7">
        <v>0.67777777777777781</v>
      </c>
      <c r="L306" s="3">
        <f t="shared" si="8"/>
        <v>0</v>
      </c>
      <c r="M306" s="3">
        <f t="shared" si="9"/>
        <v>0</v>
      </c>
      <c r="N306" s="29">
        <f>_xlfn.MAXIFS($G$7:G305,$E$7:E305,detalhe_carro1[[#This Row],[Nó]],$B$7:B305,detalhe_carro1[[#This Row],[Numero Voltas]],$L$7:L305,1)</f>
        <v>508</v>
      </c>
      <c r="O306" s="3" t="str">
        <f>IF(OR(detalhe_carro1[[#This Row],[Ultima Chegada]]=0,detalhe_carro1[[#This Row],[Chegada]]=0),"",detalhe_carro1[[#This Row],[Hora Inicio]]-detalhe_carro1[[#This Row],[Ultima Chegada]])</f>
        <v/>
      </c>
      <c r="P306" s="3">
        <f>IF(detalhe_carro1[[#This Row],[Tipo]]="Visitar Nó",((detalhe_carro1[[#This Row],[Hora Fim]]-detalhe_carro1[[#This Row],[Hora Inicio]])/60*velocidade_nos),0)</f>
        <v>0</v>
      </c>
      <c r="Q306" s="29">
        <f>detalhe_carro1[[#This Row],[Kms Nós]]+detalhe_carro1[[#This Row],[kms]]</f>
        <v>0</v>
      </c>
    </row>
    <row r="307" spans="2:17" x14ac:dyDescent="0.25">
      <c r="B307" s="3">
        <v>3</v>
      </c>
      <c r="C307">
        <v>1</v>
      </c>
      <c r="D307">
        <v>4</v>
      </c>
      <c r="E307" s="29" t="s">
        <v>2</v>
      </c>
      <c r="F307" s="3">
        <v>556</v>
      </c>
      <c r="G307" s="3">
        <v>583</v>
      </c>
      <c r="H307" s="29" t="s">
        <v>45</v>
      </c>
      <c r="J307" s="7">
        <v>0.67777777777777781</v>
      </c>
      <c r="K307" s="7">
        <v>0.69652777777777775</v>
      </c>
      <c r="L307" s="3">
        <f t="shared" si="8"/>
        <v>1</v>
      </c>
      <c r="M307" s="3">
        <f t="shared" si="9"/>
        <v>0</v>
      </c>
      <c r="N307" s="29">
        <f>_xlfn.MAXIFS($G$7:G306,$E$7:E306,detalhe_carro1[[#This Row],[Nó]],$B$7:B306,detalhe_carro1[[#This Row],[Numero Voltas]],$L$7:L306,1)</f>
        <v>508</v>
      </c>
      <c r="O307" s="3" t="str">
        <f>IF(OR(detalhe_carro1[[#This Row],[Ultima Chegada]]=0,detalhe_carro1[[#This Row],[Chegada]]=0),"",detalhe_carro1[[#This Row],[Hora Inicio]]-detalhe_carro1[[#This Row],[Ultima Chegada]])</f>
        <v/>
      </c>
      <c r="P307" s="3">
        <f>IF(detalhe_carro1[[#This Row],[Tipo]]="Visitar Nó",((detalhe_carro1[[#This Row],[Hora Fim]]-detalhe_carro1[[#This Row],[Hora Inicio]])/60*velocidade_nos),0)</f>
        <v>0</v>
      </c>
      <c r="Q307" s="29">
        <f>detalhe_carro1[[#This Row],[Kms Nós]]+detalhe_carro1[[#This Row],[kms]]</f>
        <v>0</v>
      </c>
    </row>
    <row r="308" spans="2:17" hidden="1" x14ac:dyDescent="0.25">
      <c r="B308" s="3">
        <v>3</v>
      </c>
      <c r="C308">
        <v>1</v>
      </c>
      <c r="D308">
        <v>5</v>
      </c>
      <c r="E308" s="29" t="s">
        <v>215</v>
      </c>
      <c r="F308" s="3">
        <v>586</v>
      </c>
      <c r="G308" s="3">
        <v>586</v>
      </c>
      <c r="H308" s="29" t="s">
        <v>44</v>
      </c>
      <c r="J308" s="7">
        <v>0.69861111111111107</v>
      </c>
      <c r="K308" s="7">
        <v>0.69861111111111107</v>
      </c>
      <c r="L308" s="3">
        <f t="shared" si="8"/>
        <v>1</v>
      </c>
      <c r="M308" s="3">
        <f t="shared" si="9"/>
        <v>1</v>
      </c>
      <c r="N308" s="29">
        <f>_xlfn.MAXIFS($G$7:G307,$E$7:E307,detalhe_carro1[[#This Row],[Nó]],$B$7:B307,detalhe_carro1[[#This Row],[Numero Voltas]],$L$7:L307,1)</f>
        <v>477</v>
      </c>
      <c r="O308" s="3">
        <f>IF(OR(detalhe_carro1[[#This Row],[Ultima Chegada]]=0,detalhe_carro1[[#This Row],[Chegada]]=0),"",detalhe_carro1[[#This Row],[Hora Inicio]]-detalhe_carro1[[#This Row],[Ultima Chegada]])</f>
        <v>109</v>
      </c>
      <c r="P308" s="3">
        <f>IF(detalhe_carro1[[#This Row],[Tipo]]="Visitar Nó",((detalhe_carro1[[#This Row],[Hora Fim]]-detalhe_carro1[[#This Row],[Hora Inicio]])/60*velocidade_nos),0)</f>
        <v>0</v>
      </c>
      <c r="Q308" s="29">
        <f>detalhe_carro1[[#This Row],[Kms Nós]]+detalhe_carro1[[#This Row],[kms]]</f>
        <v>0</v>
      </c>
    </row>
    <row r="309" spans="2:17" hidden="1" x14ac:dyDescent="0.25">
      <c r="B309" s="3">
        <v>3</v>
      </c>
      <c r="C309">
        <v>1</v>
      </c>
      <c r="D309">
        <v>6</v>
      </c>
      <c r="E309" s="29" t="s">
        <v>300</v>
      </c>
      <c r="F309" s="3">
        <v>590</v>
      </c>
      <c r="G309" s="3">
        <v>590</v>
      </c>
      <c r="H309" s="29" t="s">
        <v>44</v>
      </c>
      <c r="J309" s="7">
        <v>0.70138888888888884</v>
      </c>
      <c r="K309" s="7">
        <v>0.70138888888888884</v>
      </c>
      <c r="L309" s="3">
        <f t="shared" si="8"/>
        <v>1</v>
      </c>
      <c r="M309" s="3">
        <f t="shared" si="9"/>
        <v>1</v>
      </c>
      <c r="N309" s="29">
        <f>_xlfn.MAXIFS($G$7:G308,$E$7:E308,detalhe_carro1[[#This Row],[Nó]],$B$7:B308,detalhe_carro1[[#This Row],[Numero Voltas]],$L$7:L308,1)</f>
        <v>473</v>
      </c>
      <c r="O309" s="3">
        <f>IF(OR(detalhe_carro1[[#This Row],[Ultima Chegada]]=0,detalhe_carro1[[#This Row],[Chegada]]=0),"",detalhe_carro1[[#This Row],[Hora Inicio]]-detalhe_carro1[[#This Row],[Ultima Chegada]])</f>
        <v>117</v>
      </c>
      <c r="P309" s="3">
        <f>IF(detalhe_carro1[[#This Row],[Tipo]]="Visitar Nó",((detalhe_carro1[[#This Row],[Hora Fim]]-detalhe_carro1[[#This Row],[Hora Inicio]])/60*velocidade_nos),0)</f>
        <v>0</v>
      </c>
      <c r="Q309" s="29">
        <f>detalhe_carro1[[#This Row],[Kms Nós]]+detalhe_carro1[[#This Row],[kms]]</f>
        <v>0</v>
      </c>
    </row>
    <row r="310" spans="2:17" hidden="1" x14ac:dyDescent="0.25">
      <c r="B310" s="3">
        <v>3</v>
      </c>
      <c r="C310">
        <v>1</v>
      </c>
      <c r="D310">
        <v>7</v>
      </c>
      <c r="E310" s="29" t="s">
        <v>301</v>
      </c>
      <c r="F310" s="3">
        <v>593</v>
      </c>
      <c r="G310" s="3">
        <v>593</v>
      </c>
      <c r="H310" s="29" t="s">
        <v>44</v>
      </c>
      <c r="J310" s="7">
        <v>0.70347222222222228</v>
      </c>
      <c r="K310" s="7">
        <v>0.70347222222222228</v>
      </c>
      <c r="L310" s="3">
        <f t="shared" si="8"/>
        <v>1</v>
      </c>
      <c r="M310" s="3">
        <f t="shared" si="9"/>
        <v>1</v>
      </c>
      <c r="N310" s="29">
        <f>_xlfn.MAXIFS($G$7:G309,$E$7:E309,detalhe_carro1[[#This Row],[Nó]],$B$7:B309,detalhe_carro1[[#This Row],[Numero Voltas]],$L$7:L309,1)</f>
        <v>470</v>
      </c>
      <c r="O310" s="3">
        <f>IF(OR(detalhe_carro1[[#This Row],[Ultima Chegada]]=0,detalhe_carro1[[#This Row],[Chegada]]=0),"",detalhe_carro1[[#This Row],[Hora Inicio]]-detalhe_carro1[[#This Row],[Ultima Chegada]])</f>
        <v>123</v>
      </c>
      <c r="P310" s="3">
        <f>IF(detalhe_carro1[[#This Row],[Tipo]]="Visitar Nó",((detalhe_carro1[[#This Row],[Hora Fim]]-detalhe_carro1[[#This Row],[Hora Inicio]])/60*velocidade_nos),0)</f>
        <v>0</v>
      </c>
      <c r="Q310" s="29">
        <f>detalhe_carro1[[#This Row],[Kms Nós]]+detalhe_carro1[[#This Row],[kms]]</f>
        <v>0</v>
      </c>
    </row>
    <row r="311" spans="2:17" hidden="1" x14ac:dyDescent="0.25">
      <c r="B311" s="3">
        <v>3</v>
      </c>
      <c r="C311">
        <v>1</v>
      </c>
      <c r="D311">
        <v>8</v>
      </c>
      <c r="E311" s="29" t="s">
        <v>302</v>
      </c>
      <c r="F311" s="3">
        <v>599</v>
      </c>
      <c r="G311" s="3">
        <v>599</v>
      </c>
      <c r="H311" s="29" t="s">
        <v>44</v>
      </c>
      <c r="J311" s="7">
        <v>0.70763888888888893</v>
      </c>
      <c r="K311" s="7">
        <v>0.70763888888888893</v>
      </c>
      <c r="L311" s="3">
        <f t="shared" si="8"/>
        <v>1</v>
      </c>
      <c r="M311" s="3">
        <f t="shared" si="9"/>
        <v>1</v>
      </c>
      <c r="N311" s="29">
        <f>_xlfn.MAXIFS($G$7:G310,$E$7:E310,detalhe_carro1[[#This Row],[Nó]],$B$7:B310,detalhe_carro1[[#This Row],[Numero Voltas]],$L$7:L310,1)</f>
        <v>464</v>
      </c>
      <c r="O311" s="3">
        <f>IF(OR(detalhe_carro1[[#This Row],[Ultima Chegada]]=0,detalhe_carro1[[#This Row],[Chegada]]=0),"",detalhe_carro1[[#This Row],[Hora Inicio]]-detalhe_carro1[[#This Row],[Ultima Chegada]])</f>
        <v>135</v>
      </c>
      <c r="P311" s="3">
        <f>IF(detalhe_carro1[[#This Row],[Tipo]]="Visitar Nó",((detalhe_carro1[[#This Row],[Hora Fim]]-detalhe_carro1[[#This Row],[Hora Inicio]])/60*velocidade_nos),0)</f>
        <v>0</v>
      </c>
      <c r="Q311" s="29">
        <f>detalhe_carro1[[#This Row],[Kms Nós]]+detalhe_carro1[[#This Row],[kms]]</f>
        <v>0</v>
      </c>
    </row>
    <row r="312" spans="2:17" hidden="1" x14ac:dyDescent="0.25">
      <c r="B312" s="3">
        <v>3</v>
      </c>
      <c r="C312">
        <v>1</v>
      </c>
      <c r="D312">
        <v>9</v>
      </c>
      <c r="E312" s="29" t="s">
        <v>303</v>
      </c>
      <c r="F312" s="3">
        <v>605</v>
      </c>
      <c r="G312" s="3">
        <v>605</v>
      </c>
      <c r="H312" s="29" t="s">
        <v>44</v>
      </c>
      <c r="J312" s="7">
        <v>0.71180555555555558</v>
      </c>
      <c r="K312" s="7">
        <v>0.71180555555555558</v>
      </c>
      <c r="L312" s="3">
        <f t="shared" si="8"/>
        <v>0</v>
      </c>
      <c r="M312" s="3">
        <f t="shared" si="9"/>
        <v>1</v>
      </c>
      <c r="N312" s="29">
        <f>_xlfn.MAXIFS($G$7:G311,$E$7:E311,detalhe_carro1[[#This Row],[Nó]],$B$7:B311,detalhe_carro1[[#This Row],[Numero Voltas]],$L$7:L311,1)</f>
        <v>458</v>
      </c>
      <c r="O312" s="3">
        <f>IF(OR(detalhe_carro1[[#This Row],[Ultima Chegada]]=0,detalhe_carro1[[#This Row],[Chegada]]=0),"",detalhe_carro1[[#This Row],[Hora Inicio]]-detalhe_carro1[[#This Row],[Ultima Chegada]])</f>
        <v>147</v>
      </c>
      <c r="P312" s="3">
        <f>IF(detalhe_carro1[[#This Row],[Tipo]]="Visitar Nó",((detalhe_carro1[[#This Row],[Hora Fim]]-detalhe_carro1[[#This Row],[Hora Inicio]])/60*velocidade_nos),0)</f>
        <v>0</v>
      </c>
      <c r="Q312" s="29">
        <f>detalhe_carro1[[#This Row],[Kms Nós]]+detalhe_carro1[[#This Row],[kms]]</f>
        <v>0</v>
      </c>
    </row>
    <row r="313" spans="2:17" hidden="1" x14ac:dyDescent="0.25">
      <c r="B313" s="3">
        <v>3</v>
      </c>
      <c r="C313">
        <v>1</v>
      </c>
      <c r="D313">
        <v>9</v>
      </c>
      <c r="E313" s="29" t="s">
        <v>303</v>
      </c>
      <c r="F313" s="3">
        <v>605</v>
      </c>
      <c r="G313" s="3">
        <v>605</v>
      </c>
      <c r="H313" s="29" t="s">
        <v>44</v>
      </c>
      <c r="J313" s="7">
        <v>0.71180555555555558</v>
      </c>
      <c r="K313" s="7">
        <v>0.71180555555555558</v>
      </c>
      <c r="L313" s="3">
        <f t="shared" si="8"/>
        <v>0</v>
      </c>
      <c r="M313" s="3">
        <f t="shared" si="9"/>
        <v>0</v>
      </c>
      <c r="N313" s="29">
        <f>_xlfn.MAXIFS($G$7:G312,$E$7:E312,detalhe_carro1[[#This Row],[Nó]],$B$7:B312,detalhe_carro1[[#This Row],[Numero Voltas]],$L$7:L312,1)</f>
        <v>458</v>
      </c>
      <c r="O313" s="3" t="str">
        <f>IF(OR(detalhe_carro1[[#This Row],[Ultima Chegada]]=0,detalhe_carro1[[#This Row],[Chegada]]=0),"",detalhe_carro1[[#This Row],[Hora Inicio]]-detalhe_carro1[[#This Row],[Ultima Chegada]])</f>
        <v/>
      </c>
      <c r="P313" s="3">
        <f>IF(detalhe_carro1[[#This Row],[Tipo]]="Visitar Nó",((detalhe_carro1[[#This Row],[Hora Fim]]-detalhe_carro1[[#This Row],[Hora Inicio]])/60*velocidade_nos),0)</f>
        <v>0</v>
      </c>
      <c r="Q313" s="29">
        <f>detalhe_carro1[[#This Row],[Kms Nós]]+detalhe_carro1[[#This Row],[kms]]</f>
        <v>0</v>
      </c>
    </row>
    <row r="314" spans="2:17" hidden="1" x14ac:dyDescent="0.25">
      <c r="B314" s="3">
        <v>3</v>
      </c>
      <c r="C314">
        <v>1</v>
      </c>
      <c r="D314">
        <v>9</v>
      </c>
      <c r="E314" s="29" t="s">
        <v>303</v>
      </c>
      <c r="F314" s="3">
        <v>605</v>
      </c>
      <c r="G314" s="3">
        <v>615</v>
      </c>
      <c r="H314" s="29" t="s">
        <v>43</v>
      </c>
      <c r="J314" s="7">
        <v>0.71180555555555558</v>
      </c>
      <c r="K314" s="7">
        <v>0.71875</v>
      </c>
      <c r="L314" s="3">
        <f t="shared" si="8"/>
        <v>1</v>
      </c>
      <c r="M314" s="3">
        <f t="shared" si="9"/>
        <v>0</v>
      </c>
      <c r="N314" s="29">
        <f>_xlfn.MAXIFS($G$7:G313,$E$7:E313,detalhe_carro1[[#This Row],[Nó]],$B$7:B313,detalhe_carro1[[#This Row],[Numero Voltas]],$L$7:L313,1)</f>
        <v>458</v>
      </c>
      <c r="O314" s="3" t="str">
        <f>IF(OR(detalhe_carro1[[#This Row],[Ultima Chegada]]=0,detalhe_carro1[[#This Row],[Chegada]]=0),"",detalhe_carro1[[#This Row],[Hora Inicio]]-detalhe_carro1[[#This Row],[Ultima Chegada]])</f>
        <v/>
      </c>
      <c r="P314" s="3">
        <f>IF(detalhe_carro1[[#This Row],[Tipo]]="Visitar Nó",((detalhe_carro1[[#This Row],[Hora Fim]]-detalhe_carro1[[#This Row],[Hora Inicio]])/60*velocidade_nos),0)</f>
        <v>5</v>
      </c>
      <c r="Q314" s="29">
        <f>detalhe_carro1[[#This Row],[Kms Nós]]+detalhe_carro1[[#This Row],[kms]]</f>
        <v>5</v>
      </c>
    </row>
    <row r="315" spans="2:17" hidden="1" x14ac:dyDescent="0.25">
      <c r="B315" s="3">
        <v>3</v>
      </c>
      <c r="C315">
        <v>1</v>
      </c>
      <c r="D315">
        <v>8</v>
      </c>
      <c r="E315" s="29" t="s">
        <v>302</v>
      </c>
      <c r="F315" s="3">
        <v>621</v>
      </c>
      <c r="G315" s="3">
        <v>621</v>
      </c>
      <c r="H315" s="29" t="s">
        <v>44</v>
      </c>
      <c r="J315" s="7">
        <v>0.72291666666666665</v>
      </c>
      <c r="K315" s="7">
        <v>0.72291666666666665</v>
      </c>
      <c r="L315" s="3">
        <f t="shared" si="8"/>
        <v>0</v>
      </c>
      <c r="M315" s="3">
        <f t="shared" si="9"/>
        <v>1</v>
      </c>
      <c r="N315" s="29">
        <f>_xlfn.MAXIFS($G$7:G314,$E$7:E314,detalhe_carro1[[#This Row],[Nó]],$B$7:B314,detalhe_carro1[[#This Row],[Numero Voltas]],$L$7:L314,1)</f>
        <v>599</v>
      </c>
      <c r="O315" s="3">
        <f>IF(OR(detalhe_carro1[[#This Row],[Ultima Chegada]]=0,detalhe_carro1[[#This Row],[Chegada]]=0),"",detalhe_carro1[[#This Row],[Hora Inicio]]-detalhe_carro1[[#This Row],[Ultima Chegada]])</f>
        <v>22</v>
      </c>
      <c r="P315" s="3">
        <f>IF(detalhe_carro1[[#This Row],[Tipo]]="Visitar Nó",((detalhe_carro1[[#This Row],[Hora Fim]]-detalhe_carro1[[#This Row],[Hora Inicio]])/60*velocidade_nos),0)</f>
        <v>0</v>
      </c>
      <c r="Q315" s="29">
        <f>detalhe_carro1[[#This Row],[Kms Nós]]+detalhe_carro1[[#This Row],[kms]]</f>
        <v>0</v>
      </c>
    </row>
    <row r="316" spans="2:17" hidden="1" x14ac:dyDescent="0.25">
      <c r="B316" s="3">
        <v>3</v>
      </c>
      <c r="C316">
        <v>1</v>
      </c>
      <c r="D316">
        <v>8</v>
      </c>
      <c r="E316" s="29" t="s">
        <v>302</v>
      </c>
      <c r="F316" s="3">
        <v>621</v>
      </c>
      <c r="G316" s="3">
        <v>681</v>
      </c>
      <c r="H316" s="29" t="s">
        <v>47</v>
      </c>
      <c r="J316" s="7">
        <v>0.72291666666666665</v>
      </c>
      <c r="K316" s="7">
        <v>0.76458333333333328</v>
      </c>
      <c r="L316" s="3">
        <f t="shared" si="8"/>
        <v>1</v>
      </c>
      <c r="M316" s="3">
        <f t="shared" si="9"/>
        <v>0</v>
      </c>
      <c r="N316" s="29">
        <f>_xlfn.MAXIFS($G$7:G315,$E$7:E315,detalhe_carro1[[#This Row],[Nó]],$B$7:B315,detalhe_carro1[[#This Row],[Numero Voltas]],$L$7:L315,1)</f>
        <v>599</v>
      </c>
      <c r="O316" s="3" t="str">
        <f>IF(OR(detalhe_carro1[[#This Row],[Ultima Chegada]]=0,detalhe_carro1[[#This Row],[Chegada]]=0),"",detalhe_carro1[[#This Row],[Hora Inicio]]-detalhe_carro1[[#This Row],[Ultima Chegada]])</f>
        <v/>
      </c>
      <c r="P316" s="3">
        <f>IF(detalhe_carro1[[#This Row],[Tipo]]="Visitar Nó",((detalhe_carro1[[#This Row],[Hora Fim]]-detalhe_carro1[[#This Row],[Hora Inicio]])/60*velocidade_nos),0)</f>
        <v>0</v>
      </c>
      <c r="Q316" s="29">
        <f>detalhe_carro1[[#This Row],[Kms Nós]]+detalhe_carro1[[#This Row],[kms]]</f>
        <v>0</v>
      </c>
    </row>
    <row r="317" spans="2:17" hidden="1" x14ac:dyDescent="0.25">
      <c r="B317" s="3">
        <v>3</v>
      </c>
      <c r="C317">
        <v>1</v>
      </c>
      <c r="D317">
        <v>7</v>
      </c>
      <c r="E317" s="29" t="s">
        <v>301</v>
      </c>
      <c r="F317" s="3">
        <v>687</v>
      </c>
      <c r="G317" s="3">
        <v>687</v>
      </c>
      <c r="H317" s="29" t="s">
        <v>44</v>
      </c>
      <c r="J317" s="7">
        <v>0.76875000000000004</v>
      </c>
      <c r="K317" s="7">
        <v>0.76875000000000004</v>
      </c>
      <c r="L317" s="3">
        <f t="shared" si="8"/>
        <v>0</v>
      </c>
      <c r="M317" s="3">
        <f t="shared" si="9"/>
        <v>1</v>
      </c>
      <c r="N317" s="29">
        <f>_xlfn.MAXIFS($G$7:G316,$E$7:E316,detalhe_carro1[[#This Row],[Nó]],$B$7:B316,detalhe_carro1[[#This Row],[Numero Voltas]],$L$7:L316,1)</f>
        <v>593</v>
      </c>
      <c r="O317" s="3">
        <f>IF(OR(detalhe_carro1[[#This Row],[Ultima Chegada]]=0,detalhe_carro1[[#This Row],[Chegada]]=0),"",detalhe_carro1[[#This Row],[Hora Inicio]]-detalhe_carro1[[#This Row],[Ultima Chegada]])</f>
        <v>94</v>
      </c>
      <c r="P317" s="3">
        <f>IF(detalhe_carro1[[#This Row],[Tipo]]="Visitar Nó",((detalhe_carro1[[#This Row],[Hora Fim]]-detalhe_carro1[[#This Row],[Hora Inicio]])/60*velocidade_nos),0)</f>
        <v>0</v>
      </c>
      <c r="Q317" s="29">
        <f>detalhe_carro1[[#This Row],[Kms Nós]]+detalhe_carro1[[#This Row],[kms]]</f>
        <v>0</v>
      </c>
    </row>
    <row r="318" spans="2:17" hidden="1" x14ac:dyDescent="0.25">
      <c r="B318" s="3">
        <v>3</v>
      </c>
      <c r="C318">
        <v>1</v>
      </c>
      <c r="D318">
        <v>7</v>
      </c>
      <c r="E318" s="29" t="s">
        <v>301</v>
      </c>
      <c r="F318" s="3">
        <v>687</v>
      </c>
      <c r="G318" s="3">
        <v>697</v>
      </c>
      <c r="H318" s="29" t="s">
        <v>43</v>
      </c>
      <c r="J318" s="7">
        <v>0.76875000000000004</v>
      </c>
      <c r="K318" s="7">
        <v>0.77569444444444446</v>
      </c>
      <c r="L318" s="3">
        <f t="shared" si="8"/>
        <v>1</v>
      </c>
      <c r="M318" s="3">
        <f t="shared" si="9"/>
        <v>0</v>
      </c>
      <c r="N318" s="29">
        <f>_xlfn.MAXIFS($G$7:G317,$E$7:E317,detalhe_carro1[[#This Row],[Nó]],$B$7:B317,detalhe_carro1[[#This Row],[Numero Voltas]],$L$7:L317,1)</f>
        <v>593</v>
      </c>
      <c r="O318" s="3" t="str">
        <f>IF(OR(detalhe_carro1[[#This Row],[Ultima Chegada]]=0,detalhe_carro1[[#This Row],[Chegada]]=0),"",detalhe_carro1[[#This Row],[Hora Inicio]]-detalhe_carro1[[#This Row],[Ultima Chegada]])</f>
        <v/>
      </c>
      <c r="P318" s="3">
        <f>IF(detalhe_carro1[[#This Row],[Tipo]]="Visitar Nó",((detalhe_carro1[[#This Row],[Hora Fim]]-detalhe_carro1[[#This Row],[Hora Inicio]])/60*velocidade_nos),0)</f>
        <v>5</v>
      </c>
      <c r="Q318" s="29">
        <f>detalhe_carro1[[#This Row],[Kms Nós]]+detalhe_carro1[[#This Row],[kms]]</f>
        <v>5</v>
      </c>
    </row>
    <row r="319" spans="2:17" hidden="1" x14ac:dyDescent="0.25">
      <c r="B319" s="3">
        <v>3</v>
      </c>
      <c r="C319">
        <v>1</v>
      </c>
      <c r="D319">
        <v>6</v>
      </c>
      <c r="E319" s="29" t="s">
        <v>300</v>
      </c>
      <c r="F319" s="3">
        <v>700</v>
      </c>
      <c r="G319" s="3">
        <v>700</v>
      </c>
      <c r="H319" s="29" t="s">
        <v>44</v>
      </c>
      <c r="J319" s="7">
        <v>0.77777777777777779</v>
      </c>
      <c r="K319" s="7">
        <v>0.77777777777777779</v>
      </c>
      <c r="L319" s="3">
        <f t="shared" si="8"/>
        <v>1</v>
      </c>
      <c r="M319" s="3">
        <f t="shared" si="9"/>
        <v>1</v>
      </c>
      <c r="N319" s="29">
        <f>_xlfn.MAXIFS($G$7:G318,$E$7:E318,detalhe_carro1[[#This Row],[Nó]],$B$7:B318,detalhe_carro1[[#This Row],[Numero Voltas]],$L$7:L318,1)</f>
        <v>590</v>
      </c>
      <c r="O319" s="3">
        <f>IF(OR(detalhe_carro1[[#This Row],[Ultima Chegada]]=0,detalhe_carro1[[#This Row],[Chegada]]=0),"",detalhe_carro1[[#This Row],[Hora Inicio]]-detalhe_carro1[[#This Row],[Ultima Chegada]])</f>
        <v>110</v>
      </c>
      <c r="P319" s="3">
        <f>IF(detalhe_carro1[[#This Row],[Tipo]]="Visitar Nó",((detalhe_carro1[[#This Row],[Hora Fim]]-detalhe_carro1[[#This Row],[Hora Inicio]])/60*velocidade_nos),0)</f>
        <v>0</v>
      </c>
      <c r="Q319" s="29">
        <f>detalhe_carro1[[#This Row],[Kms Nós]]+detalhe_carro1[[#This Row],[kms]]</f>
        <v>0</v>
      </c>
    </row>
    <row r="320" spans="2:17" hidden="1" x14ac:dyDescent="0.25">
      <c r="B320" s="3">
        <v>3</v>
      </c>
      <c r="C320">
        <v>1</v>
      </c>
      <c r="D320">
        <v>5</v>
      </c>
      <c r="E320" s="29" t="s">
        <v>215</v>
      </c>
      <c r="F320" s="3">
        <v>704</v>
      </c>
      <c r="G320" s="3">
        <v>704</v>
      </c>
      <c r="H320" s="29" t="s">
        <v>44</v>
      </c>
      <c r="J320" s="7">
        <v>0.78055555555555556</v>
      </c>
      <c r="K320" s="7">
        <v>0.78055555555555556</v>
      </c>
      <c r="L320" s="3">
        <f t="shared" si="8"/>
        <v>1</v>
      </c>
      <c r="M320" s="3">
        <f t="shared" si="9"/>
        <v>1</v>
      </c>
      <c r="N320" s="29">
        <f>_xlfn.MAXIFS($G$7:G319,$E$7:E319,detalhe_carro1[[#This Row],[Nó]],$B$7:B319,detalhe_carro1[[#This Row],[Numero Voltas]],$L$7:L319,1)</f>
        <v>586</v>
      </c>
      <c r="O320" s="3">
        <f>IF(OR(detalhe_carro1[[#This Row],[Ultima Chegada]]=0,detalhe_carro1[[#This Row],[Chegada]]=0),"",detalhe_carro1[[#This Row],[Hora Inicio]]-detalhe_carro1[[#This Row],[Ultima Chegada]])</f>
        <v>118</v>
      </c>
      <c r="P320" s="3">
        <f>IF(detalhe_carro1[[#This Row],[Tipo]]="Visitar Nó",((detalhe_carro1[[#This Row],[Hora Fim]]-detalhe_carro1[[#This Row],[Hora Inicio]])/60*velocidade_nos),0)</f>
        <v>0</v>
      </c>
      <c r="Q320" s="29">
        <f>detalhe_carro1[[#This Row],[Kms Nós]]+detalhe_carro1[[#This Row],[kms]]</f>
        <v>0</v>
      </c>
    </row>
    <row r="321" spans="2:17" hidden="1" x14ac:dyDescent="0.25">
      <c r="B321" s="3">
        <v>3</v>
      </c>
      <c r="C321">
        <v>1</v>
      </c>
      <c r="D321">
        <v>4</v>
      </c>
      <c r="E321" s="29" t="s">
        <v>2</v>
      </c>
      <c r="F321" s="3">
        <v>707</v>
      </c>
      <c r="G321" s="3">
        <v>707</v>
      </c>
      <c r="H321" s="29" t="s">
        <v>44</v>
      </c>
      <c r="J321" s="7">
        <v>0.78263888888888888</v>
      </c>
      <c r="K321" s="7">
        <v>0.78263888888888888</v>
      </c>
      <c r="L321" s="3">
        <f t="shared" si="8"/>
        <v>1</v>
      </c>
      <c r="M321" s="3">
        <f t="shared" si="9"/>
        <v>1</v>
      </c>
      <c r="N321" s="29">
        <f>_xlfn.MAXIFS($G$7:G320,$E$7:E320,detalhe_carro1[[#This Row],[Nó]],$B$7:B320,detalhe_carro1[[#This Row],[Numero Voltas]],$L$7:L320,1)</f>
        <v>583</v>
      </c>
      <c r="O321" s="3">
        <f>IF(OR(detalhe_carro1[[#This Row],[Ultima Chegada]]=0,detalhe_carro1[[#This Row],[Chegada]]=0),"",detalhe_carro1[[#This Row],[Hora Inicio]]-detalhe_carro1[[#This Row],[Ultima Chegada]])</f>
        <v>124</v>
      </c>
      <c r="P321" s="3">
        <f>IF(detalhe_carro1[[#This Row],[Tipo]]="Visitar Nó",((detalhe_carro1[[#This Row],[Hora Fim]]-detalhe_carro1[[#This Row],[Hora Inicio]])/60*velocidade_nos),0)</f>
        <v>0</v>
      </c>
      <c r="Q321" s="29">
        <f>detalhe_carro1[[#This Row],[Kms Nós]]+detalhe_carro1[[#This Row],[kms]]</f>
        <v>0</v>
      </c>
    </row>
    <row r="322" spans="2:17" hidden="1" x14ac:dyDescent="0.25">
      <c r="B322" s="3">
        <v>3</v>
      </c>
      <c r="C322">
        <v>1</v>
      </c>
      <c r="D322">
        <v>3</v>
      </c>
      <c r="E322" s="29" t="s">
        <v>208</v>
      </c>
      <c r="F322" s="3">
        <v>712</v>
      </c>
      <c r="G322" s="3">
        <v>712</v>
      </c>
      <c r="H322" s="29" t="s">
        <v>44</v>
      </c>
      <c r="J322" s="7">
        <v>0.78611111111111109</v>
      </c>
      <c r="K322" s="7">
        <v>0.78611111111111109</v>
      </c>
      <c r="L322" s="3">
        <f t="shared" si="8"/>
        <v>1</v>
      </c>
      <c r="M322" s="3">
        <f t="shared" si="9"/>
        <v>1</v>
      </c>
      <c r="N322" s="29">
        <f>_xlfn.MAXIFS($G$7:G321,$E$7:E321,detalhe_carro1[[#This Row],[Nó]],$B$7:B321,detalhe_carro1[[#This Row],[Numero Voltas]],$L$7:L321,1)</f>
        <v>525</v>
      </c>
      <c r="O322" s="3">
        <f>IF(OR(detalhe_carro1[[#This Row],[Ultima Chegada]]=0,detalhe_carro1[[#This Row],[Chegada]]=0),"",detalhe_carro1[[#This Row],[Hora Inicio]]-detalhe_carro1[[#This Row],[Ultima Chegada]])</f>
        <v>187</v>
      </c>
      <c r="P322" s="3">
        <f>IF(detalhe_carro1[[#This Row],[Tipo]]="Visitar Nó",((detalhe_carro1[[#This Row],[Hora Fim]]-detalhe_carro1[[#This Row],[Hora Inicio]])/60*velocidade_nos),0)</f>
        <v>0</v>
      </c>
      <c r="Q322" s="29">
        <f>detalhe_carro1[[#This Row],[Kms Nós]]+detalhe_carro1[[#This Row],[kms]]</f>
        <v>0</v>
      </c>
    </row>
    <row r="323" spans="2:17" hidden="1" x14ac:dyDescent="0.25">
      <c r="B323" s="3">
        <v>3</v>
      </c>
      <c r="C323">
        <v>1</v>
      </c>
      <c r="D323">
        <v>2</v>
      </c>
      <c r="E323" s="29" t="s">
        <v>228</v>
      </c>
      <c r="F323" s="3">
        <v>715</v>
      </c>
      <c r="G323" s="3">
        <v>715</v>
      </c>
      <c r="H323" s="29" t="s">
        <v>44</v>
      </c>
      <c r="J323" s="7">
        <v>0.78819444444444442</v>
      </c>
      <c r="K323" s="7">
        <v>0.78819444444444442</v>
      </c>
      <c r="L323" s="3">
        <f t="shared" si="8"/>
        <v>0</v>
      </c>
      <c r="M323" s="3">
        <f t="shared" si="9"/>
        <v>1</v>
      </c>
      <c r="N323" s="29">
        <f>_xlfn.MAXIFS($G$7:G322,$E$7:E322,detalhe_carro1[[#This Row],[Nó]],$B$7:B322,detalhe_carro1[[#This Row],[Numero Voltas]],$L$7:L322,1)</f>
        <v>522</v>
      </c>
      <c r="O323" s="3">
        <f>IF(OR(detalhe_carro1[[#This Row],[Ultima Chegada]]=0,detalhe_carro1[[#This Row],[Chegada]]=0),"",detalhe_carro1[[#This Row],[Hora Inicio]]-detalhe_carro1[[#This Row],[Ultima Chegada]])</f>
        <v>193</v>
      </c>
      <c r="P323" s="3">
        <f>IF(detalhe_carro1[[#This Row],[Tipo]]="Visitar Nó",((detalhe_carro1[[#This Row],[Hora Fim]]-detalhe_carro1[[#This Row],[Hora Inicio]])/60*velocidade_nos),0)</f>
        <v>0</v>
      </c>
      <c r="Q323" s="29">
        <f>detalhe_carro1[[#This Row],[Kms Nós]]+detalhe_carro1[[#This Row],[kms]]</f>
        <v>0</v>
      </c>
    </row>
    <row r="324" spans="2:17" hidden="1" x14ac:dyDescent="0.25">
      <c r="B324" s="3">
        <v>3</v>
      </c>
      <c r="C324">
        <v>1</v>
      </c>
      <c r="D324">
        <v>2</v>
      </c>
      <c r="E324" s="29" t="s">
        <v>228</v>
      </c>
      <c r="F324" s="3">
        <v>715</v>
      </c>
      <c r="G324" s="3">
        <v>733</v>
      </c>
      <c r="H324" s="29" t="s">
        <v>43</v>
      </c>
      <c r="J324" s="7">
        <v>0.78819444444444442</v>
      </c>
      <c r="K324" s="7">
        <v>0.80069444444444449</v>
      </c>
      <c r="L324" s="3">
        <f t="shared" si="8"/>
        <v>1</v>
      </c>
      <c r="M324" s="3">
        <f t="shared" si="9"/>
        <v>0</v>
      </c>
      <c r="N324" s="29">
        <f>_xlfn.MAXIFS($G$7:G323,$E$7:E323,detalhe_carro1[[#This Row],[Nó]],$B$7:B323,detalhe_carro1[[#This Row],[Numero Voltas]],$L$7:L323,1)</f>
        <v>522</v>
      </c>
      <c r="O324" s="3" t="str">
        <f>IF(OR(detalhe_carro1[[#This Row],[Ultima Chegada]]=0,detalhe_carro1[[#This Row],[Chegada]]=0),"",detalhe_carro1[[#This Row],[Hora Inicio]]-detalhe_carro1[[#This Row],[Ultima Chegada]])</f>
        <v/>
      </c>
      <c r="P324" s="3">
        <f>IF(detalhe_carro1[[#This Row],[Tipo]]="Visitar Nó",((detalhe_carro1[[#This Row],[Hora Fim]]-detalhe_carro1[[#This Row],[Hora Inicio]])/60*velocidade_nos),0)</f>
        <v>9</v>
      </c>
      <c r="Q324" s="29">
        <f>detalhe_carro1[[#This Row],[Kms Nós]]+detalhe_carro1[[#This Row],[kms]]</f>
        <v>9</v>
      </c>
    </row>
    <row r="325" spans="2:17" hidden="1" x14ac:dyDescent="0.25">
      <c r="B325" s="3">
        <v>3</v>
      </c>
      <c r="C325">
        <v>1</v>
      </c>
      <c r="D325">
        <v>1</v>
      </c>
      <c r="E325" s="29" t="s">
        <v>200</v>
      </c>
      <c r="F325" s="3">
        <v>734</v>
      </c>
      <c r="G325" s="3">
        <v>734</v>
      </c>
      <c r="H325" s="29" t="s">
        <v>44</v>
      </c>
      <c r="J325" s="7">
        <v>0.80138888888888893</v>
      </c>
      <c r="K325" s="7">
        <v>0.80138888888888893</v>
      </c>
      <c r="L325" s="3">
        <f t="shared" si="8"/>
        <v>1</v>
      </c>
      <c r="M325" s="3">
        <f t="shared" si="9"/>
        <v>1</v>
      </c>
      <c r="N325" s="29">
        <f>_xlfn.MAXIFS($G$7:G324,$E$7:E324,detalhe_carro1[[#This Row],[Nó]],$B$7:B324,detalhe_carro1[[#This Row],[Numero Voltas]],$L$7:L324,1)</f>
        <v>521</v>
      </c>
      <c r="O325" s="3">
        <f>IF(OR(detalhe_carro1[[#This Row],[Ultima Chegada]]=0,detalhe_carro1[[#This Row],[Chegada]]=0),"",detalhe_carro1[[#This Row],[Hora Inicio]]-detalhe_carro1[[#This Row],[Ultima Chegada]])</f>
        <v>213</v>
      </c>
      <c r="P325" s="3">
        <f>IF(detalhe_carro1[[#This Row],[Tipo]]="Visitar Nó",((detalhe_carro1[[#This Row],[Hora Fim]]-detalhe_carro1[[#This Row],[Hora Inicio]])/60*velocidade_nos),0)</f>
        <v>0</v>
      </c>
      <c r="Q325" s="29">
        <f>detalhe_carro1[[#This Row],[Kms Nós]]+detalhe_carro1[[#This Row],[kms]]</f>
        <v>0</v>
      </c>
    </row>
    <row r="326" spans="2:17" hidden="1" x14ac:dyDescent="0.25">
      <c r="B326" s="3">
        <v>3</v>
      </c>
      <c r="C326">
        <v>1</v>
      </c>
      <c r="D326">
        <v>0</v>
      </c>
      <c r="E326" s="29" t="s">
        <v>203</v>
      </c>
      <c r="F326" s="3">
        <v>736</v>
      </c>
      <c r="G326" s="3">
        <v>736</v>
      </c>
      <c r="H326" s="29" t="s">
        <v>44</v>
      </c>
      <c r="J326" s="7">
        <v>0.80277777777777781</v>
      </c>
      <c r="K326" s="7">
        <v>0.80277777777777781</v>
      </c>
      <c r="L326" s="3">
        <f t="shared" si="8"/>
        <v>0</v>
      </c>
      <c r="M326" s="3">
        <f t="shared" si="9"/>
        <v>1</v>
      </c>
      <c r="N326" s="29">
        <f>_xlfn.MAXIFS($G$7:G325,$E$7:E325,detalhe_carro1[[#This Row],[Nó]],$B$7:B325,detalhe_carro1[[#This Row],[Numero Voltas]],$L$7:L325,1)</f>
        <v>519</v>
      </c>
      <c r="O326" s="3">
        <f>IF(OR(detalhe_carro1[[#This Row],[Ultima Chegada]]=0,detalhe_carro1[[#This Row],[Chegada]]=0),"",detalhe_carro1[[#This Row],[Hora Inicio]]-detalhe_carro1[[#This Row],[Ultima Chegada]])</f>
        <v>217</v>
      </c>
      <c r="P326" s="3">
        <f>IF(detalhe_carro1[[#This Row],[Tipo]]="Visitar Nó",((detalhe_carro1[[#This Row],[Hora Fim]]-detalhe_carro1[[#This Row],[Hora Inicio]])/60*velocidade_nos),0)</f>
        <v>0</v>
      </c>
      <c r="Q326" s="29">
        <f>detalhe_carro1[[#This Row],[Kms Nós]]+detalhe_carro1[[#This Row],[kms]]</f>
        <v>0</v>
      </c>
    </row>
    <row r="327" spans="2:17" hidden="1" x14ac:dyDescent="0.25">
      <c r="B327" s="3">
        <v>3</v>
      </c>
      <c r="C327">
        <v>1</v>
      </c>
      <c r="D327">
        <v>0</v>
      </c>
      <c r="E327" s="29" t="s">
        <v>203</v>
      </c>
      <c r="F327" s="3">
        <v>736</v>
      </c>
      <c r="G327" s="3">
        <v>736</v>
      </c>
      <c r="H327" s="29" t="s">
        <v>44</v>
      </c>
      <c r="J327" s="7">
        <v>0.80277777777777781</v>
      </c>
      <c r="K327" s="7">
        <v>0.80277777777777781</v>
      </c>
      <c r="L327" s="3">
        <f t="shared" ref="L327:L390" si="10">IF(E327&lt;&gt;E328,1,0)</f>
        <v>1</v>
      </c>
      <c r="M327" s="3">
        <f t="shared" ref="M327:M390" si="11">IF(E327&lt;&gt;E326,1,0)</f>
        <v>0</v>
      </c>
      <c r="N327" s="29">
        <f>_xlfn.MAXIFS($G$7:G326,$E$7:E326,detalhe_carro1[[#This Row],[Nó]],$B$7:B326,detalhe_carro1[[#This Row],[Numero Voltas]],$L$7:L326,1)</f>
        <v>519</v>
      </c>
      <c r="O327" s="3" t="str">
        <f>IF(OR(detalhe_carro1[[#This Row],[Ultima Chegada]]=0,detalhe_carro1[[#This Row],[Chegada]]=0),"",detalhe_carro1[[#This Row],[Hora Inicio]]-detalhe_carro1[[#This Row],[Ultima Chegada]])</f>
        <v/>
      </c>
      <c r="P327" s="3">
        <f>IF(detalhe_carro1[[#This Row],[Tipo]]="Visitar Nó",((detalhe_carro1[[#This Row],[Hora Fim]]-detalhe_carro1[[#This Row],[Hora Inicio]])/60*velocidade_nos),0)</f>
        <v>0</v>
      </c>
      <c r="Q327" s="29">
        <f>detalhe_carro1[[#This Row],[Kms Nós]]+detalhe_carro1[[#This Row],[kms]]</f>
        <v>0</v>
      </c>
    </row>
    <row r="328" spans="2:17" hidden="1" x14ac:dyDescent="0.25">
      <c r="B328" s="3">
        <v>3</v>
      </c>
      <c r="C328">
        <v>1</v>
      </c>
      <c r="D328">
        <v>1</v>
      </c>
      <c r="E328" s="29" t="s">
        <v>200</v>
      </c>
      <c r="F328" s="3">
        <v>738</v>
      </c>
      <c r="G328" s="3">
        <v>738</v>
      </c>
      <c r="H328" s="29" t="s">
        <v>44</v>
      </c>
      <c r="J328" s="7">
        <v>0.8041666666666667</v>
      </c>
      <c r="K328" s="7">
        <v>0.8041666666666667</v>
      </c>
      <c r="L328" s="3">
        <f t="shared" si="10"/>
        <v>0</v>
      </c>
      <c r="M328" s="3">
        <f t="shared" si="11"/>
        <v>1</v>
      </c>
      <c r="N328" s="29">
        <f>_xlfn.MAXIFS($G$7:G327,$E$7:E327,detalhe_carro1[[#This Row],[Nó]],$B$7:B327,detalhe_carro1[[#This Row],[Numero Voltas]],$L$7:L327,1)</f>
        <v>734</v>
      </c>
      <c r="O328" s="3">
        <f>IF(OR(detalhe_carro1[[#This Row],[Ultima Chegada]]=0,detalhe_carro1[[#This Row],[Chegada]]=0),"",detalhe_carro1[[#This Row],[Hora Inicio]]-detalhe_carro1[[#This Row],[Ultima Chegada]])</f>
        <v>4</v>
      </c>
      <c r="P328" s="3">
        <f>IF(detalhe_carro1[[#This Row],[Tipo]]="Visitar Nó",((detalhe_carro1[[#This Row],[Hora Fim]]-detalhe_carro1[[#This Row],[Hora Inicio]])/60*velocidade_nos),0)</f>
        <v>0</v>
      </c>
      <c r="Q328" s="29">
        <f>detalhe_carro1[[#This Row],[Kms Nós]]+detalhe_carro1[[#This Row],[kms]]</f>
        <v>0</v>
      </c>
    </row>
    <row r="329" spans="2:17" hidden="1" x14ac:dyDescent="0.25">
      <c r="B329" s="3">
        <v>3</v>
      </c>
      <c r="C329">
        <v>1</v>
      </c>
      <c r="D329">
        <v>1</v>
      </c>
      <c r="E329" s="29" t="s">
        <v>200</v>
      </c>
      <c r="F329" s="3">
        <v>738</v>
      </c>
      <c r="G329" s="3">
        <v>742</v>
      </c>
      <c r="H329" s="29" t="s">
        <v>43</v>
      </c>
      <c r="J329" s="7">
        <v>0.8041666666666667</v>
      </c>
      <c r="K329" s="7">
        <v>0.80694444444444446</v>
      </c>
      <c r="L329" s="3">
        <f t="shared" si="10"/>
        <v>1</v>
      </c>
      <c r="M329" s="3">
        <f t="shared" si="11"/>
        <v>0</v>
      </c>
      <c r="N329" s="29">
        <f>_xlfn.MAXIFS($G$7:G328,$E$7:E328,detalhe_carro1[[#This Row],[Nó]],$B$7:B328,detalhe_carro1[[#This Row],[Numero Voltas]],$L$7:L328,1)</f>
        <v>734</v>
      </c>
      <c r="O329" s="3" t="str">
        <f>IF(OR(detalhe_carro1[[#This Row],[Ultima Chegada]]=0,detalhe_carro1[[#This Row],[Chegada]]=0),"",detalhe_carro1[[#This Row],[Hora Inicio]]-detalhe_carro1[[#This Row],[Ultima Chegada]])</f>
        <v/>
      </c>
      <c r="P329" s="3">
        <f>IF(detalhe_carro1[[#This Row],[Tipo]]="Visitar Nó",((detalhe_carro1[[#This Row],[Hora Fim]]-detalhe_carro1[[#This Row],[Hora Inicio]])/60*velocidade_nos),0)</f>
        <v>2</v>
      </c>
      <c r="Q329" s="29">
        <f>detalhe_carro1[[#This Row],[Kms Nós]]+detalhe_carro1[[#This Row],[kms]]</f>
        <v>2</v>
      </c>
    </row>
    <row r="330" spans="2:17" hidden="1" x14ac:dyDescent="0.25">
      <c r="B330" s="3">
        <v>3</v>
      </c>
      <c r="C330">
        <v>1</v>
      </c>
      <c r="D330">
        <v>2</v>
      </c>
      <c r="E330" s="29" t="s">
        <v>228</v>
      </c>
      <c r="F330" s="3">
        <v>743</v>
      </c>
      <c r="G330" s="3">
        <v>743</v>
      </c>
      <c r="H330" s="29" t="s">
        <v>44</v>
      </c>
      <c r="J330" s="7">
        <v>0.80763888888888891</v>
      </c>
      <c r="K330" s="7">
        <v>0.80763888888888891</v>
      </c>
      <c r="L330" s="3">
        <f t="shared" si="10"/>
        <v>0</v>
      </c>
      <c r="M330" s="3">
        <f t="shared" si="11"/>
        <v>1</v>
      </c>
      <c r="N330" s="29">
        <f>_xlfn.MAXIFS($G$7:G329,$E$7:E329,detalhe_carro1[[#This Row],[Nó]],$B$7:B329,detalhe_carro1[[#This Row],[Numero Voltas]],$L$7:L329,1)</f>
        <v>733</v>
      </c>
      <c r="O330" s="3">
        <f>IF(OR(detalhe_carro1[[#This Row],[Ultima Chegada]]=0,detalhe_carro1[[#This Row],[Chegada]]=0),"",detalhe_carro1[[#This Row],[Hora Inicio]]-detalhe_carro1[[#This Row],[Ultima Chegada]])</f>
        <v>10</v>
      </c>
      <c r="P330" s="3">
        <f>IF(detalhe_carro1[[#This Row],[Tipo]]="Visitar Nó",((detalhe_carro1[[#This Row],[Hora Fim]]-detalhe_carro1[[#This Row],[Hora Inicio]])/60*velocidade_nos),0)</f>
        <v>0</v>
      </c>
      <c r="Q330" s="29">
        <f>detalhe_carro1[[#This Row],[Kms Nós]]+detalhe_carro1[[#This Row],[kms]]</f>
        <v>0</v>
      </c>
    </row>
    <row r="331" spans="2:17" hidden="1" x14ac:dyDescent="0.25">
      <c r="B331" s="3">
        <v>3</v>
      </c>
      <c r="C331">
        <v>1</v>
      </c>
      <c r="D331">
        <v>2</v>
      </c>
      <c r="E331" s="29" t="s">
        <v>228</v>
      </c>
      <c r="F331" s="3">
        <v>743</v>
      </c>
      <c r="G331" s="3">
        <v>761</v>
      </c>
      <c r="H331" s="29" t="s">
        <v>43</v>
      </c>
      <c r="J331" s="7">
        <v>0.80763888888888891</v>
      </c>
      <c r="K331" s="7">
        <v>0.82013888888888886</v>
      </c>
      <c r="L331" s="3">
        <f t="shared" si="10"/>
        <v>1</v>
      </c>
      <c r="M331" s="3">
        <f t="shared" si="11"/>
        <v>0</v>
      </c>
      <c r="N331" s="29">
        <f>_xlfn.MAXIFS($G$7:G330,$E$7:E330,detalhe_carro1[[#This Row],[Nó]],$B$7:B330,detalhe_carro1[[#This Row],[Numero Voltas]],$L$7:L330,1)</f>
        <v>733</v>
      </c>
      <c r="O331" s="3" t="str">
        <f>IF(OR(detalhe_carro1[[#This Row],[Ultima Chegada]]=0,detalhe_carro1[[#This Row],[Chegada]]=0),"",detalhe_carro1[[#This Row],[Hora Inicio]]-detalhe_carro1[[#This Row],[Ultima Chegada]])</f>
        <v/>
      </c>
      <c r="P331" s="3">
        <f>IF(detalhe_carro1[[#This Row],[Tipo]]="Visitar Nó",((detalhe_carro1[[#This Row],[Hora Fim]]-detalhe_carro1[[#This Row],[Hora Inicio]])/60*velocidade_nos),0)</f>
        <v>9</v>
      </c>
      <c r="Q331" s="29">
        <f>detalhe_carro1[[#This Row],[Kms Nós]]+detalhe_carro1[[#This Row],[kms]]</f>
        <v>9</v>
      </c>
    </row>
    <row r="332" spans="2:17" hidden="1" x14ac:dyDescent="0.25">
      <c r="B332" s="3">
        <v>3</v>
      </c>
      <c r="C332">
        <v>1</v>
      </c>
      <c r="D332">
        <v>3</v>
      </c>
      <c r="E332" s="29" t="s">
        <v>208</v>
      </c>
      <c r="F332" s="3">
        <v>764</v>
      </c>
      <c r="G332" s="3">
        <v>764</v>
      </c>
      <c r="H332" s="29" t="s">
        <v>44</v>
      </c>
      <c r="J332" s="7">
        <v>0.82222222222222219</v>
      </c>
      <c r="K332" s="7">
        <v>0.82222222222222219</v>
      </c>
      <c r="L332" s="3">
        <f t="shared" si="10"/>
        <v>0</v>
      </c>
      <c r="M332" s="3">
        <f t="shared" si="11"/>
        <v>1</v>
      </c>
      <c r="N332" s="29">
        <f>_xlfn.MAXIFS($G$7:G331,$E$7:E331,detalhe_carro1[[#This Row],[Nó]],$B$7:B331,detalhe_carro1[[#This Row],[Numero Voltas]],$L$7:L331,1)</f>
        <v>712</v>
      </c>
      <c r="O332" s="3">
        <f>IF(OR(detalhe_carro1[[#This Row],[Ultima Chegada]]=0,detalhe_carro1[[#This Row],[Chegada]]=0),"",detalhe_carro1[[#This Row],[Hora Inicio]]-detalhe_carro1[[#This Row],[Ultima Chegada]])</f>
        <v>52</v>
      </c>
      <c r="P332" s="3">
        <f>IF(detalhe_carro1[[#This Row],[Tipo]]="Visitar Nó",((detalhe_carro1[[#This Row],[Hora Fim]]-detalhe_carro1[[#This Row],[Hora Inicio]])/60*velocidade_nos),0)</f>
        <v>0</v>
      </c>
      <c r="Q332" s="29">
        <f>detalhe_carro1[[#This Row],[Kms Nós]]+detalhe_carro1[[#This Row],[kms]]</f>
        <v>0</v>
      </c>
    </row>
    <row r="333" spans="2:17" hidden="1" x14ac:dyDescent="0.25">
      <c r="B333" s="3">
        <v>3</v>
      </c>
      <c r="C333">
        <v>1</v>
      </c>
      <c r="D333">
        <v>3</v>
      </c>
      <c r="E333" s="29" t="s">
        <v>208</v>
      </c>
      <c r="F333" s="3">
        <v>764</v>
      </c>
      <c r="G333" s="3">
        <v>777</v>
      </c>
      <c r="H333" s="29" t="s">
        <v>43</v>
      </c>
      <c r="J333" s="7">
        <v>0.82222222222222219</v>
      </c>
      <c r="K333" s="7">
        <v>0.83125000000000004</v>
      </c>
      <c r="L333" s="3">
        <f t="shared" si="10"/>
        <v>1</v>
      </c>
      <c r="M333" s="3">
        <f t="shared" si="11"/>
        <v>0</v>
      </c>
      <c r="N333" s="29">
        <f>_xlfn.MAXIFS($G$7:G332,$E$7:E332,detalhe_carro1[[#This Row],[Nó]],$B$7:B332,detalhe_carro1[[#This Row],[Numero Voltas]],$L$7:L332,1)</f>
        <v>712</v>
      </c>
      <c r="O333" s="3" t="str">
        <f>IF(OR(detalhe_carro1[[#This Row],[Ultima Chegada]]=0,detalhe_carro1[[#This Row],[Chegada]]=0),"",detalhe_carro1[[#This Row],[Hora Inicio]]-detalhe_carro1[[#This Row],[Ultima Chegada]])</f>
        <v/>
      </c>
      <c r="P333" s="3">
        <f>IF(detalhe_carro1[[#This Row],[Tipo]]="Visitar Nó",((detalhe_carro1[[#This Row],[Hora Fim]]-detalhe_carro1[[#This Row],[Hora Inicio]])/60*velocidade_nos),0)</f>
        <v>6.5</v>
      </c>
      <c r="Q333" s="29">
        <f>detalhe_carro1[[#This Row],[Kms Nós]]+detalhe_carro1[[#This Row],[kms]]</f>
        <v>6.5</v>
      </c>
    </row>
    <row r="334" spans="2:17" hidden="1" x14ac:dyDescent="0.25">
      <c r="B334" s="3">
        <v>3</v>
      </c>
      <c r="C334">
        <v>1</v>
      </c>
      <c r="D334">
        <v>4</v>
      </c>
      <c r="E334" s="29" t="s">
        <v>2</v>
      </c>
      <c r="F334" s="3">
        <v>782</v>
      </c>
      <c r="G334" s="3">
        <v>782</v>
      </c>
      <c r="H334" s="29" t="s">
        <v>44</v>
      </c>
      <c r="J334" s="7">
        <v>0.83472222222222225</v>
      </c>
      <c r="K334" s="7">
        <v>0.83472222222222225</v>
      </c>
      <c r="L334" s="3">
        <f t="shared" si="10"/>
        <v>0</v>
      </c>
      <c r="M334" s="3">
        <f t="shared" si="11"/>
        <v>1</v>
      </c>
      <c r="N334" s="29">
        <f>_xlfn.MAXIFS($G$7:G333,$E$7:E333,detalhe_carro1[[#This Row],[Nó]],$B$7:B333,detalhe_carro1[[#This Row],[Numero Voltas]],$L$7:L333,1)</f>
        <v>707</v>
      </c>
      <c r="O334" s="3">
        <f>IF(OR(detalhe_carro1[[#This Row],[Ultima Chegada]]=0,detalhe_carro1[[#This Row],[Chegada]]=0),"",detalhe_carro1[[#This Row],[Hora Inicio]]-detalhe_carro1[[#This Row],[Ultima Chegada]])</f>
        <v>75</v>
      </c>
      <c r="P334" s="3">
        <f>IF(detalhe_carro1[[#This Row],[Tipo]]="Visitar Nó",((detalhe_carro1[[#This Row],[Hora Fim]]-detalhe_carro1[[#This Row],[Hora Inicio]])/60*velocidade_nos),0)</f>
        <v>0</v>
      </c>
      <c r="Q334" s="29">
        <f>detalhe_carro1[[#This Row],[Kms Nós]]+detalhe_carro1[[#This Row],[kms]]</f>
        <v>0</v>
      </c>
    </row>
    <row r="335" spans="2:17" hidden="1" x14ac:dyDescent="0.25">
      <c r="B335" s="3">
        <v>3</v>
      </c>
      <c r="C335">
        <v>1</v>
      </c>
      <c r="D335">
        <v>4</v>
      </c>
      <c r="E335" s="29" t="s">
        <v>2</v>
      </c>
      <c r="F335" s="3">
        <v>782</v>
      </c>
      <c r="G335" s="3">
        <v>795</v>
      </c>
      <c r="H335" s="29" t="s">
        <v>43</v>
      </c>
      <c r="J335" s="7">
        <v>0.83472222222222225</v>
      </c>
      <c r="K335" s="7">
        <v>0.84375</v>
      </c>
      <c r="L335" s="3">
        <f t="shared" si="10"/>
        <v>1</v>
      </c>
      <c r="M335" s="3">
        <f t="shared" si="11"/>
        <v>0</v>
      </c>
      <c r="N335" s="29">
        <f>_xlfn.MAXIFS($G$7:G334,$E$7:E334,detalhe_carro1[[#This Row],[Nó]],$B$7:B334,detalhe_carro1[[#This Row],[Numero Voltas]],$L$7:L334,1)</f>
        <v>707</v>
      </c>
      <c r="O335" s="3" t="str">
        <f>IF(OR(detalhe_carro1[[#This Row],[Ultima Chegada]]=0,detalhe_carro1[[#This Row],[Chegada]]=0),"",detalhe_carro1[[#This Row],[Hora Inicio]]-detalhe_carro1[[#This Row],[Ultima Chegada]])</f>
        <v/>
      </c>
      <c r="P335" s="3">
        <f>IF(detalhe_carro1[[#This Row],[Tipo]]="Visitar Nó",((detalhe_carro1[[#This Row],[Hora Fim]]-detalhe_carro1[[#This Row],[Hora Inicio]])/60*velocidade_nos),0)</f>
        <v>6.5</v>
      </c>
      <c r="Q335" s="29">
        <f>detalhe_carro1[[#This Row],[Kms Nós]]+detalhe_carro1[[#This Row],[kms]]</f>
        <v>6.5</v>
      </c>
    </row>
    <row r="336" spans="2:17" hidden="1" x14ac:dyDescent="0.25">
      <c r="B336" s="3">
        <v>3</v>
      </c>
      <c r="C336">
        <v>1</v>
      </c>
      <c r="D336">
        <v>5</v>
      </c>
      <c r="E336" s="29" t="s">
        <v>215</v>
      </c>
      <c r="F336" s="3">
        <v>798</v>
      </c>
      <c r="G336" s="3">
        <v>798</v>
      </c>
      <c r="H336" s="29" t="s">
        <v>44</v>
      </c>
      <c r="J336" s="7">
        <v>0.84583333333333333</v>
      </c>
      <c r="K336" s="7">
        <v>0.84583333333333333</v>
      </c>
      <c r="L336" s="3">
        <f t="shared" si="10"/>
        <v>1</v>
      </c>
      <c r="M336" s="3">
        <f t="shared" si="11"/>
        <v>1</v>
      </c>
      <c r="N336" s="29">
        <f>_xlfn.MAXIFS($G$7:G335,$E$7:E335,detalhe_carro1[[#This Row],[Nó]],$B$7:B335,detalhe_carro1[[#This Row],[Numero Voltas]],$L$7:L335,1)</f>
        <v>704</v>
      </c>
      <c r="O336" s="3">
        <f>IF(OR(detalhe_carro1[[#This Row],[Ultima Chegada]]=0,detalhe_carro1[[#This Row],[Chegada]]=0),"",detalhe_carro1[[#This Row],[Hora Inicio]]-detalhe_carro1[[#This Row],[Ultima Chegada]])</f>
        <v>94</v>
      </c>
      <c r="P336" s="3">
        <f>IF(detalhe_carro1[[#This Row],[Tipo]]="Visitar Nó",((detalhe_carro1[[#This Row],[Hora Fim]]-detalhe_carro1[[#This Row],[Hora Inicio]])/60*velocidade_nos),0)</f>
        <v>0</v>
      </c>
      <c r="Q336" s="29">
        <f>detalhe_carro1[[#This Row],[Kms Nós]]+detalhe_carro1[[#This Row],[kms]]</f>
        <v>0</v>
      </c>
    </row>
    <row r="337" spans="2:17" hidden="1" x14ac:dyDescent="0.25">
      <c r="B337" s="3">
        <v>3</v>
      </c>
      <c r="C337">
        <v>1</v>
      </c>
      <c r="D337">
        <v>6</v>
      </c>
      <c r="E337" s="29" t="s">
        <v>300</v>
      </c>
      <c r="F337" s="3">
        <v>802</v>
      </c>
      <c r="G337" s="3">
        <v>802</v>
      </c>
      <c r="H337" s="29" t="s">
        <v>44</v>
      </c>
      <c r="J337" s="7">
        <v>0.84861111111111109</v>
      </c>
      <c r="K337" s="7">
        <v>0.84861111111111109</v>
      </c>
      <c r="L337" s="3">
        <f t="shared" si="10"/>
        <v>1</v>
      </c>
      <c r="M337" s="3">
        <f t="shared" si="11"/>
        <v>1</v>
      </c>
      <c r="N337" s="29">
        <f>_xlfn.MAXIFS($G$7:G336,$E$7:E336,detalhe_carro1[[#This Row],[Nó]],$B$7:B336,detalhe_carro1[[#This Row],[Numero Voltas]],$L$7:L336,1)</f>
        <v>700</v>
      </c>
      <c r="O337" s="3">
        <f>IF(OR(detalhe_carro1[[#This Row],[Ultima Chegada]]=0,detalhe_carro1[[#This Row],[Chegada]]=0),"",detalhe_carro1[[#This Row],[Hora Inicio]]-detalhe_carro1[[#This Row],[Ultima Chegada]])</f>
        <v>102</v>
      </c>
      <c r="P337" s="3">
        <f>IF(detalhe_carro1[[#This Row],[Tipo]]="Visitar Nó",((detalhe_carro1[[#This Row],[Hora Fim]]-detalhe_carro1[[#This Row],[Hora Inicio]])/60*velocidade_nos),0)</f>
        <v>0</v>
      </c>
      <c r="Q337" s="29">
        <f>detalhe_carro1[[#This Row],[Kms Nós]]+detalhe_carro1[[#This Row],[kms]]</f>
        <v>0</v>
      </c>
    </row>
    <row r="338" spans="2:17" hidden="1" x14ac:dyDescent="0.25">
      <c r="B338" s="3">
        <v>3</v>
      </c>
      <c r="C338">
        <v>1</v>
      </c>
      <c r="D338">
        <v>7</v>
      </c>
      <c r="E338" s="29" t="s">
        <v>301</v>
      </c>
      <c r="F338" s="3">
        <v>805</v>
      </c>
      <c r="G338" s="3">
        <v>805</v>
      </c>
      <c r="H338" s="29" t="s">
        <v>44</v>
      </c>
      <c r="J338" s="7">
        <v>0.85069444444444442</v>
      </c>
      <c r="K338" s="7">
        <v>0.85069444444444442</v>
      </c>
      <c r="L338" s="3">
        <f t="shared" si="10"/>
        <v>0</v>
      </c>
      <c r="M338" s="3">
        <f t="shared" si="11"/>
        <v>1</v>
      </c>
      <c r="N338" s="29">
        <f>_xlfn.MAXIFS($G$7:G337,$E$7:E337,detalhe_carro1[[#This Row],[Nó]],$B$7:B337,detalhe_carro1[[#This Row],[Numero Voltas]],$L$7:L337,1)</f>
        <v>697</v>
      </c>
      <c r="O338" s="3">
        <f>IF(OR(detalhe_carro1[[#This Row],[Ultima Chegada]]=0,detalhe_carro1[[#This Row],[Chegada]]=0),"",detalhe_carro1[[#This Row],[Hora Inicio]]-detalhe_carro1[[#This Row],[Ultima Chegada]])</f>
        <v>108</v>
      </c>
      <c r="P338" s="3">
        <f>IF(detalhe_carro1[[#This Row],[Tipo]]="Visitar Nó",((detalhe_carro1[[#This Row],[Hora Fim]]-detalhe_carro1[[#This Row],[Hora Inicio]])/60*velocidade_nos),0)</f>
        <v>0</v>
      </c>
      <c r="Q338" s="29">
        <f>detalhe_carro1[[#This Row],[Kms Nós]]+detalhe_carro1[[#This Row],[kms]]</f>
        <v>0</v>
      </c>
    </row>
    <row r="339" spans="2:17" hidden="1" x14ac:dyDescent="0.25">
      <c r="B339" s="3">
        <v>3</v>
      </c>
      <c r="C339">
        <v>1</v>
      </c>
      <c r="D339">
        <v>7</v>
      </c>
      <c r="E339" s="29" t="s">
        <v>301</v>
      </c>
      <c r="F339" s="3">
        <v>805</v>
      </c>
      <c r="G339" s="3">
        <v>815</v>
      </c>
      <c r="H339" s="29" t="s">
        <v>43</v>
      </c>
      <c r="J339" s="7">
        <v>0.85069444444444442</v>
      </c>
      <c r="K339" s="7">
        <v>0.85763888888888884</v>
      </c>
      <c r="L339" s="3">
        <f t="shared" si="10"/>
        <v>1</v>
      </c>
      <c r="M339" s="3">
        <f t="shared" si="11"/>
        <v>0</v>
      </c>
      <c r="N339" s="29">
        <f>_xlfn.MAXIFS($G$7:G338,$E$7:E338,detalhe_carro1[[#This Row],[Nó]],$B$7:B338,detalhe_carro1[[#This Row],[Numero Voltas]],$L$7:L338,1)</f>
        <v>697</v>
      </c>
      <c r="O339" s="3" t="str">
        <f>IF(OR(detalhe_carro1[[#This Row],[Ultima Chegada]]=0,detalhe_carro1[[#This Row],[Chegada]]=0),"",detalhe_carro1[[#This Row],[Hora Inicio]]-detalhe_carro1[[#This Row],[Ultima Chegada]])</f>
        <v/>
      </c>
      <c r="P339" s="3">
        <f>IF(detalhe_carro1[[#This Row],[Tipo]]="Visitar Nó",((detalhe_carro1[[#This Row],[Hora Fim]]-detalhe_carro1[[#This Row],[Hora Inicio]])/60*velocidade_nos),0)</f>
        <v>5</v>
      </c>
      <c r="Q339" s="29">
        <f>detalhe_carro1[[#This Row],[Kms Nós]]+detalhe_carro1[[#This Row],[kms]]</f>
        <v>5</v>
      </c>
    </row>
    <row r="340" spans="2:17" hidden="1" x14ac:dyDescent="0.25">
      <c r="B340" s="3">
        <v>3</v>
      </c>
      <c r="C340">
        <v>1</v>
      </c>
      <c r="D340">
        <v>8</v>
      </c>
      <c r="E340" s="29" t="s">
        <v>302</v>
      </c>
      <c r="F340" s="3">
        <v>821</v>
      </c>
      <c r="G340" s="3">
        <v>821</v>
      </c>
      <c r="H340" s="29" t="s">
        <v>44</v>
      </c>
      <c r="J340" s="7">
        <v>0.8618055555555556</v>
      </c>
      <c r="K340" s="7">
        <v>0.8618055555555556</v>
      </c>
      <c r="L340" s="3">
        <f t="shared" si="10"/>
        <v>0</v>
      </c>
      <c r="M340" s="3">
        <f t="shared" si="11"/>
        <v>1</v>
      </c>
      <c r="N340" s="29">
        <f>_xlfn.MAXIFS($G$7:G339,$E$7:E339,detalhe_carro1[[#This Row],[Nó]],$B$7:B339,detalhe_carro1[[#This Row],[Numero Voltas]],$L$7:L339,1)</f>
        <v>681</v>
      </c>
      <c r="O340" s="3">
        <f>IF(OR(detalhe_carro1[[#This Row],[Ultima Chegada]]=0,detalhe_carro1[[#This Row],[Chegada]]=0),"",detalhe_carro1[[#This Row],[Hora Inicio]]-detalhe_carro1[[#This Row],[Ultima Chegada]])</f>
        <v>140</v>
      </c>
      <c r="P340" s="3">
        <f>IF(detalhe_carro1[[#This Row],[Tipo]]="Visitar Nó",((detalhe_carro1[[#This Row],[Hora Fim]]-detalhe_carro1[[#This Row],[Hora Inicio]])/60*velocidade_nos),0)</f>
        <v>0</v>
      </c>
      <c r="Q340" s="29">
        <f>detalhe_carro1[[#This Row],[Kms Nós]]+detalhe_carro1[[#This Row],[kms]]</f>
        <v>0</v>
      </c>
    </row>
    <row r="341" spans="2:17" hidden="1" x14ac:dyDescent="0.25">
      <c r="B341" s="3">
        <v>3</v>
      </c>
      <c r="C341">
        <v>1</v>
      </c>
      <c r="D341">
        <v>8</v>
      </c>
      <c r="E341" s="29" t="s">
        <v>302</v>
      </c>
      <c r="F341" s="3">
        <v>821</v>
      </c>
      <c r="G341" s="3">
        <v>831</v>
      </c>
      <c r="H341" s="29" t="s">
        <v>43</v>
      </c>
      <c r="J341" s="7">
        <v>0.8618055555555556</v>
      </c>
      <c r="K341" s="7">
        <v>0.86875000000000002</v>
      </c>
      <c r="L341" s="3">
        <f t="shared" si="10"/>
        <v>1</v>
      </c>
      <c r="M341" s="3">
        <f t="shared" si="11"/>
        <v>0</v>
      </c>
      <c r="N341" s="29">
        <f>_xlfn.MAXIFS($G$7:G340,$E$7:E340,detalhe_carro1[[#This Row],[Nó]],$B$7:B340,detalhe_carro1[[#This Row],[Numero Voltas]],$L$7:L340,1)</f>
        <v>681</v>
      </c>
      <c r="O341" s="3" t="str">
        <f>IF(OR(detalhe_carro1[[#This Row],[Ultima Chegada]]=0,detalhe_carro1[[#This Row],[Chegada]]=0),"",detalhe_carro1[[#This Row],[Hora Inicio]]-detalhe_carro1[[#This Row],[Ultima Chegada]])</f>
        <v/>
      </c>
      <c r="P341" s="3">
        <f>IF(detalhe_carro1[[#This Row],[Tipo]]="Visitar Nó",((detalhe_carro1[[#This Row],[Hora Fim]]-detalhe_carro1[[#This Row],[Hora Inicio]])/60*velocidade_nos),0)</f>
        <v>5</v>
      </c>
      <c r="Q341" s="29">
        <f>detalhe_carro1[[#This Row],[Kms Nós]]+detalhe_carro1[[#This Row],[kms]]</f>
        <v>5</v>
      </c>
    </row>
    <row r="342" spans="2:17" hidden="1" x14ac:dyDescent="0.25">
      <c r="B342" s="3">
        <v>3</v>
      </c>
      <c r="C342">
        <v>1</v>
      </c>
      <c r="D342">
        <v>9</v>
      </c>
      <c r="E342" s="29" t="s">
        <v>303</v>
      </c>
      <c r="F342" s="3">
        <v>837</v>
      </c>
      <c r="G342" s="3">
        <v>837</v>
      </c>
      <c r="H342" s="29" t="s">
        <v>44</v>
      </c>
      <c r="J342" s="7">
        <v>0.87291666666666667</v>
      </c>
      <c r="K342" s="7">
        <v>0.87291666666666667</v>
      </c>
      <c r="L342" s="3">
        <f t="shared" si="10"/>
        <v>0</v>
      </c>
      <c r="M342" s="3">
        <f t="shared" si="11"/>
        <v>1</v>
      </c>
      <c r="N342" s="29">
        <f>_xlfn.MAXIFS($G$7:G341,$E$7:E341,detalhe_carro1[[#This Row],[Nó]],$B$7:B341,detalhe_carro1[[#This Row],[Numero Voltas]],$L$7:L341,1)</f>
        <v>615</v>
      </c>
      <c r="O342" s="3">
        <f>IF(OR(detalhe_carro1[[#This Row],[Ultima Chegada]]=0,detalhe_carro1[[#This Row],[Chegada]]=0),"",detalhe_carro1[[#This Row],[Hora Inicio]]-detalhe_carro1[[#This Row],[Ultima Chegada]])</f>
        <v>222</v>
      </c>
      <c r="P342" s="3">
        <f>IF(detalhe_carro1[[#This Row],[Tipo]]="Visitar Nó",((detalhe_carro1[[#This Row],[Hora Fim]]-detalhe_carro1[[#This Row],[Hora Inicio]])/60*velocidade_nos),0)</f>
        <v>0</v>
      </c>
      <c r="Q342" s="29">
        <f>detalhe_carro1[[#This Row],[Kms Nós]]+detalhe_carro1[[#This Row],[kms]]</f>
        <v>0</v>
      </c>
    </row>
    <row r="343" spans="2:17" hidden="1" x14ac:dyDescent="0.25">
      <c r="B343" s="3">
        <v>3</v>
      </c>
      <c r="C343">
        <v>1</v>
      </c>
      <c r="D343">
        <v>9</v>
      </c>
      <c r="E343" s="29" t="s">
        <v>303</v>
      </c>
      <c r="F343" s="3">
        <v>837</v>
      </c>
      <c r="G343" s="3">
        <v>837</v>
      </c>
      <c r="H343" s="29" t="s">
        <v>44</v>
      </c>
      <c r="J343" s="7">
        <v>0.87291666666666667</v>
      </c>
      <c r="K343" s="7">
        <v>0.87291666666666667</v>
      </c>
      <c r="L343" s="3">
        <f t="shared" si="10"/>
        <v>1</v>
      </c>
      <c r="M343" s="3">
        <f t="shared" si="11"/>
        <v>0</v>
      </c>
      <c r="N343" s="29">
        <f>_xlfn.MAXIFS($G$7:G342,$E$7:E342,detalhe_carro1[[#This Row],[Nó]],$B$7:B342,detalhe_carro1[[#This Row],[Numero Voltas]],$L$7:L342,1)</f>
        <v>615</v>
      </c>
      <c r="O343" s="3" t="str">
        <f>IF(OR(detalhe_carro1[[#This Row],[Ultima Chegada]]=0,detalhe_carro1[[#This Row],[Chegada]]=0),"",detalhe_carro1[[#This Row],[Hora Inicio]]-detalhe_carro1[[#This Row],[Ultima Chegada]])</f>
        <v/>
      </c>
      <c r="P343" s="3">
        <f>IF(detalhe_carro1[[#This Row],[Tipo]]="Visitar Nó",((detalhe_carro1[[#This Row],[Hora Fim]]-detalhe_carro1[[#This Row],[Hora Inicio]])/60*velocidade_nos),0)</f>
        <v>0</v>
      </c>
      <c r="Q343" s="29">
        <f>detalhe_carro1[[#This Row],[Kms Nós]]+detalhe_carro1[[#This Row],[kms]]</f>
        <v>0</v>
      </c>
    </row>
    <row r="344" spans="2:17" hidden="1" x14ac:dyDescent="0.25">
      <c r="B344" s="3">
        <v>3</v>
      </c>
      <c r="C344">
        <v>1</v>
      </c>
      <c r="D344">
        <v>8</v>
      </c>
      <c r="E344" s="29" t="s">
        <v>302</v>
      </c>
      <c r="F344" s="3">
        <v>843</v>
      </c>
      <c r="G344" s="3">
        <v>843</v>
      </c>
      <c r="H344" s="29" t="s">
        <v>44</v>
      </c>
      <c r="J344" s="7">
        <v>0.87708333333333333</v>
      </c>
      <c r="K344" s="7">
        <v>0.87708333333333333</v>
      </c>
      <c r="L344" s="3">
        <f t="shared" si="10"/>
        <v>0</v>
      </c>
      <c r="M344" s="3">
        <f t="shared" si="11"/>
        <v>1</v>
      </c>
      <c r="N344" s="29">
        <f>_xlfn.MAXIFS($G$7:G343,$E$7:E343,detalhe_carro1[[#This Row],[Nó]],$B$7:B343,detalhe_carro1[[#This Row],[Numero Voltas]],$L$7:L343,1)</f>
        <v>831</v>
      </c>
      <c r="O344" s="3">
        <f>IF(OR(detalhe_carro1[[#This Row],[Ultima Chegada]]=0,detalhe_carro1[[#This Row],[Chegada]]=0),"",detalhe_carro1[[#This Row],[Hora Inicio]]-detalhe_carro1[[#This Row],[Ultima Chegada]])</f>
        <v>12</v>
      </c>
      <c r="P344" s="3">
        <f>IF(detalhe_carro1[[#This Row],[Tipo]]="Visitar Nó",((detalhe_carro1[[#This Row],[Hora Fim]]-detalhe_carro1[[#This Row],[Hora Inicio]])/60*velocidade_nos),0)</f>
        <v>0</v>
      </c>
      <c r="Q344" s="29">
        <f>detalhe_carro1[[#This Row],[Kms Nós]]+detalhe_carro1[[#This Row],[kms]]</f>
        <v>0</v>
      </c>
    </row>
    <row r="345" spans="2:17" hidden="1" x14ac:dyDescent="0.25">
      <c r="B345" s="3">
        <v>3</v>
      </c>
      <c r="C345">
        <v>1</v>
      </c>
      <c r="D345">
        <v>8</v>
      </c>
      <c r="E345" s="29" t="s">
        <v>302</v>
      </c>
      <c r="F345" s="3">
        <v>843</v>
      </c>
      <c r="G345" s="3">
        <v>853</v>
      </c>
      <c r="H345" s="29" t="s">
        <v>43</v>
      </c>
      <c r="J345" s="7">
        <v>0.87708333333333333</v>
      </c>
      <c r="K345" s="7">
        <v>0.88402777777777775</v>
      </c>
      <c r="L345" s="3">
        <f t="shared" si="10"/>
        <v>1</v>
      </c>
      <c r="M345" s="3">
        <f t="shared" si="11"/>
        <v>0</v>
      </c>
      <c r="N345" s="29">
        <f>_xlfn.MAXIFS($G$7:G344,$E$7:E344,detalhe_carro1[[#This Row],[Nó]],$B$7:B344,detalhe_carro1[[#This Row],[Numero Voltas]],$L$7:L344,1)</f>
        <v>831</v>
      </c>
      <c r="O345" s="3" t="str">
        <f>IF(OR(detalhe_carro1[[#This Row],[Ultima Chegada]]=0,detalhe_carro1[[#This Row],[Chegada]]=0),"",detalhe_carro1[[#This Row],[Hora Inicio]]-detalhe_carro1[[#This Row],[Ultima Chegada]])</f>
        <v/>
      </c>
      <c r="P345" s="3">
        <f>IF(detalhe_carro1[[#This Row],[Tipo]]="Visitar Nó",((detalhe_carro1[[#This Row],[Hora Fim]]-detalhe_carro1[[#This Row],[Hora Inicio]])/60*velocidade_nos),0)</f>
        <v>5</v>
      </c>
      <c r="Q345" s="29">
        <f>detalhe_carro1[[#This Row],[Kms Nós]]+detalhe_carro1[[#This Row],[kms]]</f>
        <v>5</v>
      </c>
    </row>
    <row r="346" spans="2:17" hidden="1" x14ac:dyDescent="0.25">
      <c r="B346" s="3">
        <v>3</v>
      </c>
      <c r="C346">
        <v>1</v>
      </c>
      <c r="D346">
        <v>7</v>
      </c>
      <c r="E346" s="29" t="s">
        <v>301</v>
      </c>
      <c r="F346" s="3">
        <v>859</v>
      </c>
      <c r="G346" s="3">
        <v>859</v>
      </c>
      <c r="H346" s="29" t="s">
        <v>44</v>
      </c>
      <c r="J346" s="7">
        <v>0.8881944444444444</v>
      </c>
      <c r="K346" s="7">
        <v>0.8881944444444444</v>
      </c>
      <c r="L346" s="3">
        <f t="shared" si="10"/>
        <v>1</v>
      </c>
      <c r="M346" s="3">
        <f t="shared" si="11"/>
        <v>1</v>
      </c>
      <c r="N346" s="29">
        <f>_xlfn.MAXIFS($G$7:G345,$E$7:E345,detalhe_carro1[[#This Row],[Nó]],$B$7:B345,detalhe_carro1[[#This Row],[Numero Voltas]],$L$7:L345,1)</f>
        <v>815</v>
      </c>
      <c r="O346" s="3">
        <f>IF(OR(detalhe_carro1[[#This Row],[Ultima Chegada]]=0,detalhe_carro1[[#This Row],[Chegada]]=0),"",detalhe_carro1[[#This Row],[Hora Inicio]]-detalhe_carro1[[#This Row],[Ultima Chegada]])</f>
        <v>44</v>
      </c>
      <c r="P346" s="3">
        <f>IF(detalhe_carro1[[#This Row],[Tipo]]="Visitar Nó",((detalhe_carro1[[#This Row],[Hora Fim]]-detalhe_carro1[[#This Row],[Hora Inicio]])/60*velocidade_nos),0)</f>
        <v>0</v>
      </c>
      <c r="Q346" s="29">
        <f>detalhe_carro1[[#This Row],[Kms Nós]]+detalhe_carro1[[#This Row],[kms]]</f>
        <v>0</v>
      </c>
    </row>
    <row r="347" spans="2:17" hidden="1" x14ac:dyDescent="0.25">
      <c r="B347" s="3">
        <v>3</v>
      </c>
      <c r="C347">
        <v>1</v>
      </c>
      <c r="D347">
        <v>6</v>
      </c>
      <c r="E347" s="29" t="s">
        <v>300</v>
      </c>
      <c r="F347" s="3">
        <v>862</v>
      </c>
      <c r="G347" s="3">
        <v>862</v>
      </c>
      <c r="H347" s="29" t="s">
        <v>44</v>
      </c>
      <c r="J347" s="7">
        <v>0.89027777777777772</v>
      </c>
      <c r="K347" s="7">
        <v>0.89027777777777772</v>
      </c>
      <c r="L347" s="3">
        <f t="shared" si="10"/>
        <v>1</v>
      </c>
      <c r="M347" s="3">
        <f t="shared" si="11"/>
        <v>1</v>
      </c>
      <c r="N347" s="29">
        <f>_xlfn.MAXIFS($G$7:G346,$E$7:E346,detalhe_carro1[[#This Row],[Nó]],$B$7:B346,detalhe_carro1[[#This Row],[Numero Voltas]],$L$7:L346,1)</f>
        <v>802</v>
      </c>
      <c r="O347" s="3">
        <f>IF(OR(detalhe_carro1[[#This Row],[Ultima Chegada]]=0,detalhe_carro1[[#This Row],[Chegada]]=0),"",detalhe_carro1[[#This Row],[Hora Inicio]]-detalhe_carro1[[#This Row],[Ultima Chegada]])</f>
        <v>60</v>
      </c>
      <c r="P347" s="3">
        <f>IF(detalhe_carro1[[#This Row],[Tipo]]="Visitar Nó",((detalhe_carro1[[#This Row],[Hora Fim]]-detalhe_carro1[[#This Row],[Hora Inicio]])/60*velocidade_nos),0)</f>
        <v>0</v>
      </c>
      <c r="Q347" s="29">
        <f>detalhe_carro1[[#This Row],[Kms Nós]]+detalhe_carro1[[#This Row],[kms]]</f>
        <v>0</v>
      </c>
    </row>
    <row r="348" spans="2:17" hidden="1" x14ac:dyDescent="0.25">
      <c r="B348" s="3">
        <v>3</v>
      </c>
      <c r="C348">
        <v>1</v>
      </c>
      <c r="D348">
        <v>5</v>
      </c>
      <c r="E348" s="29" t="s">
        <v>215</v>
      </c>
      <c r="F348" s="3">
        <v>866</v>
      </c>
      <c r="G348" s="3">
        <v>866</v>
      </c>
      <c r="H348" s="29" t="s">
        <v>44</v>
      </c>
      <c r="J348" s="7">
        <v>0.8930555555555556</v>
      </c>
      <c r="K348" s="7">
        <v>0.8930555555555556</v>
      </c>
      <c r="L348" s="3">
        <f t="shared" si="10"/>
        <v>1</v>
      </c>
      <c r="M348" s="3">
        <f t="shared" si="11"/>
        <v>1</v>
      </c>
      <c r="N348" s="29">
        <f>_xlfn.MAXIFS($G$7:G347,$E$7:E347,detalhe_carro1[[#This Row],[Nó]],$B$7:B347,detalhe_carro1[[#This Row],[Numero Voltas]],$L$7:L347,1)</f>
        <v>798</v>
      </c>
      <c r="O348" s="3">
        <f>IF(OR(detalhe_carro1[[#This Row],[Ultima Chegada]]=0,detalhe_carro1[[#This Row],[Chegada]]=0),"",detalhe_carro1[[#This Row],[Hora Inicio]]-detalhe_carro1[[#This Row],[Ultima Chegada]])</f>
        <v>68</v>
      </c>
      <c r="P348" s="3">
        <f>IF(detalhe_carro1[[#This Row],[Tipo]]="Visitar Nó",((detalhe_carro1[[#This Row],[Hora Fim]]-detalhe_carro1[[#This Row],[Hora Inicio]])/60*velocidade_nos),0)</f>
        <v>0</v>
      </c>
      <c r="Q348" s="29">
        <f>detalhe_carro1[[#This Row],[Kms Nós]]+detalhe_carro1[[#This Row],[kms]]</f>
        <v>0</v>
      </c>
    </row>
    <row r="349" spans="2:17" hidden="1" x14ac:dyDescent="0.25">
      <c r="B349" s="3">
        <v>3</v>
      </c>
      <c r="C349">
        <v>1</v>
      </c>
      <c r="D349">
        <v>4</v>
      </c>
      <c r="E349" s="29" t="s">
        <v>2</v>
      </c>
      <c r="F349" s="3">
        <v>869</v>
      </c>
      <c r="G349" s="3">
        <v>869</v>
      </c>
      <c r="H349" s="29" t="s">
        <v>44</v>
      </c>
      <c r="J349" s="7">
        <v>0.89513888888888893</v>
      </c>
      <c r="K349" s="7">
        <v>0.89513888888888893</v>
      </c>
      <c r="L349" s="3">
        <f t="shared" si="10"/>
        <v>1</v>
      </c>
      <c r="M349" s="3">
        <f t="shared" si="11"/>
        <v>1</v>
      </c>
      <c r="N349" s="29">
        <f>_xlfn.MAXIFS($G$7:G348,$E$7:E348,detalhe_carro1[[#This Row],[Nó]],$B$7:B348,detalhe_carro1[[#This Row],[Numero Voltas]],$L$7:L348,1)</f>
        <v>795</v>
      </c>
      <c r="O349" s="3">
        <f>IF(OR(detalhe_carro1[[#This Row],[Ultima Chegada]]=0,detalhe_carro1[[#This Row],[Chegada]]=0),"",detalhe_carro1[[#This Row],[Hora Inicio]]-detalhe_carro1[[#This Row],[Ultima Chegada]])</f>
        <v>74</v>
      </c>
      <c r="P349" s="3">
        <f>IF(detalhe_carro1[[#This Row],[Tipo]]="Visitar Nó",((detalhe_carro1[[#This Row],[Hora Fim]]-detalhe_carro1[[#This Row],[Hora Inicio]])/60*velocidade_nos),0)</f>
        <v>0</v>
      </c>
      <c r="Q349" s="29">
        <f>detalhe_carro1[[#This Row],[Kms Nós]]+detalhe_carro1[[#This Row],[kms]]</f>
        <v>0</v>
      </c>
    </row>
    <row r="350" spans="2:17" hidden="1" x14ac:dyDescent="0.25">
      <c r="B350" s="3">
        <v>3</v>
      </c>
      <c r="C350">
        <v>1</v>
      </c>
      <c r="D350">
        <v>3</v>
      </c>
      <c r="E350" s="29" t="s">
        <v>208</v>
      </c>
      <c r="F350" s="3">
        <v>874</v>
      </c>
      <c r="G350" s="3">
        <v>874</v>
      </c>
      <c r="H350" s="29" t="s">
        <v>44</v>
      </c>
      <c r="J350" s="7">
        <v>0.89861111111111114</v>
      </c>
      <c r="K350" s="7">
        <v>0.89861111111111114</v>
      </c>
      <c r="L350" s="3">
        <f t="shared" si="10"/>
        <v>0</v>
      </c>
      <c r="M350" s="3">
        <f t="shared" si="11"/>
        <v>1</v>
      </c>
      <c r="N350" s="29">
        <f>_xlfn.MAXIFS($G$7:G349,$E$7:E349,detalhe_carro1[[#This Row],[Nó]],$B$7:B349,detalhe_carro1[[#This Row],[Numero Voltas]],$L$7:L349,1)</f>
        <v>777</v>
      </c>
      <c r="O350" s="3">
        <f>IF(OR(detalhe_carro1[[#This Row],[Ultima Chegada]]=0,detalhe_carro1[[#This Row],[Chegada]]=0),"",detalhe_carro1[[#This Row],[Hora Inicio]]-detalhe_carro1[[#This Row],[Ultima Chegada]])</f>
        <v>97</v>
      </c>
      <c r="P350" s="3">
        <f>IF(detalhe_carro1[[#This Row],[Tipo]]="Visitar Nó",((detalhe_carro1[[#This Row],[Hora Fim]]-detalhe_carro1[[#This Row],[Hora Inicio]])/60*velocidade_nos),0)</f>
        <v>0</v>
      </c>
      <c r="Q350" s="29">
        <f>detalhe_carro1[[#This Row],[Kms Nós]]+detalhe_carro1[[#This Row],[kms]]</f>
        <v>0</v>
      </c>
    </row>
    <row r="351" spans="2:17" hidden="1" x14ac:dyDescent="0.25">
      <c r="B351" s="3">
        <v>3</v>
      </c>
      <c r="C351">
        <v>1</v>
      </c>
      <c r="D351">
        <v>3</v>
      </c>
      <c r="E351" s="29" t="s">
        <v>208</v>
      </c>
      <c r="F351" s="3">
        <v>874</v>
      </c>
      <c r="G351" s="3">
        <v>887</v>
      </c>
      <c r="H351" s="29" t="s">
        <v>43</v>
      </c>
      <c r="J351" s="7">
        <v>0.89861111111111114</v>
      </c>
      <c r="K351" s="7">
        <v>0.90763888888888888</v>
      </c>
      <c r="L351" s="3">
        <f t="shared" si="10"/>
        <v>1</v>
      </c>
      <c r="M351" s="3">
        <f t="shared" si="11"/>
        <v>0</v>
      </c>
      <c r="N351" s="29">
        <f>_xlfn.MAXIFS($G$7:G350,$E$7:E350,detalhe_carro1[[#This Row],[Nó]],$B$7:B350,detalhe_carro1[[#This Row],[Numero Voltas]],$L$7:L350,1)</f>
        <v>777</v>
      </c>
      <c r="O351" s="3" t="str">
        <f>IF(OR(detalhe_carro1[[#This Row],[Ultima Chegada]]=0,detalhe_carro1[[#This Row],[Chegada]]=0),"",detalhe_carro1[[#This Row],[Hora Inicio]]-detalhe_carro1[[#This Row],[Ultima Chegada]])</f>
        <v/>
      </c>
      <c r="P351" s="3">
        <f>IF(detalhe_carro1[[#This Row],[Tipo]]="Visitar Nó",((detalhe_carro1[[#This Row],[Hora Fim]]-detalhe_carro1[[#This Row],[Hora Inicio]])/60*velocidade_nos),0)</f>
        <v>6.5</v>
      </c>
      <c r="Q351" s="29">
        <f>detalhe_carro1[[#This Row],[Kms Nós]]+detalhe_carro1[[#This Row],[kms]]</f>
        <v>6.5</v>
      </c>
    </row>
    <row r="352" spans="2:17" hidden="1" x14ac:dyDescent="0.25">
      <c r="B352" s="3">
        <v>3</v>
      </c>
      <c r="C352">
        <v>1</v>
      </c>
      <c r="D352">
        <v>2</v>
      </c>
      <c r="E352" s="29" t="s">
        <v>228</v>
      </c>
      <c r="F352" s="3">
        <v>890</v>
      </c>
      <c r="G352" s="3">
        <v>890</v>
      </c>
      <c r="H352" s="29" t="s">
        <v>44</v>
      </c>
      <c r="J352" s="7">
        <v>0.90972222222222221</v>
      </c>
      <c r="K352" s="7">
        <v>0.90972222222222221</v>
      </c>
      <c r="L352" s="3">
        <f t="shared" si="10"/>
        <v>1</v>
      </c>
      <c r="M352" s="3">
        <f t="shared" si="11"/>
        <v>1</v>
      </c>
      <c r="N352" s="29">
        <f>_xlfn.MAXIFS($G$7:G351,$E$7:E351,detalhe_carro1[[#This Row],[Nó]],$B$7:B351,detalhe_carro1[[#This Row],[Numero Voltas]],$L$7:L351,1)</f>
        <v>761</v>
      </c>
      <c r="O352" s="3">
        <f>IF(OR(detalhe_carro1[[#This Row],[Ultima Chegada]]=0,detalhe_carro1[[#This Row],[Chegada]]=0),"",detalhe_carro1[[#This Row],[Hora Inicio]]-detalhe_carro1[[#This Row],[Ultima Chegada]])</f>
        <v>129</v>
      </c>
      <c r="P352" s="3">
        <f>IF(detalhe_carro1[[#This Row],[Tipo]]="Visitar Nó",((detalhe_carro1[[#This Row],[Hora Fim]]-detalhe_carro1[[#This Row],[Hora Inicio]])/60*velocidade_nos),0)</f>
        <v>0</v>
      </c>
      <c r="Q352" s="29">
        <f>detalhe_carro1[[#This Row],[Kms Nós]]+detalhe_carro1[[#This Row],[kms]]</f>
        <v>0</v>
      </c>
    </row>
    <row r="353" spans="2:17" hidden="1" x14ac:dyDescent="0.25">
      <c r="B353" s="3">
        <v>3</v>
      </c>
      <c r="C353">
        <v>1</v>
      </c>
      <c r="D353">
        <v>1</v>
      </c>
      <c r="E353" s="29" t="s">
        <v>200</v>
      </c>
      <c r="F353" s="3">
        <v>891</v>
      </c>
      <c r="G353" s="3">
        <v>891</v>
      </c>
      <c r="H353" s="29" t="s">
        <v>44</v>
      </c>
      <c r="J353" s="7">
        <v>0.91041666666666665</v>
      </c>
      <c r="K353" s="7">
        <v>0.91041666666666665</v>
      </c>
      <c r="L353" s="3">
        <f t="shared" si="10"/>
        <v>0</v>
      </c>
      <c r="M353" s="3">
        <f t="shared" si="11"/>
        <v>1</v>
      </c>
      <c r="N353" s="29">
        <f>_xlfn.MAXIFS($G$7:G352,$E$7:E352,detalhe_carro1[[#This Row],[Nó]],$B$7:B352,detalhe_carro1[[#This Row],[Numero Voltas]],$L$7:L352,1)</f>
        <v>742</v>
      </c>
      <c r="O353" s="3">
        <f>IF(OR(detalhe_carro1[[#This Row],[Ultima Chegada]]=0,detalhe_carro1[[#This Row],[Chegada]]=0),"",detalhe_carro1[[#This Row],[Hora Inicio]]-detalhe_carro1[[#This Row],[Ultima Chegada]])</f>
        <v>149</v>
      </c>
      <c r="P353" s="3">
        <f>IF(detalhe_carro1[[#This Row],[Tipo]]="Visitar Nó",((detalhe_carro1[[#This Row],[Hora Fim]]-detalhe_carro1[[#This Row],[Hora Inicio]])/60*velocidade_nos),0)</f>
        <v>0</v>
      </c>
      <c r="Q353" s="29">
        <f>detalhe_carro1[[#This Row],[Kms Nós]]+detalhe_carro1[[#This Row],[kms]]</f>
        <v>0</v>
      </c>
    </row>
    <row r="354" spans="2:17" hidden="1" x14ac:dyDescent="0.25">
      <c r="B354" s="3">
        <v>3</v>
      </c>
      <c r="C354">
        <v>1</v>
      </c>
      <c r="D354">
        <v>1</v>
      </c>
      <c r="E354" s="29" t="s">
        <v>200</v>
      </c>
      <c r="F354" s="3">
        <v>891</v>
      </c>
      <c r="G354" s="3">
        <v>895</v>
      </c>
      <c r="H354" s="29" t="s">
        <v>43</v>
      </c>
      <c r="J354" s="7">
        <v>0.91041666666666665</v>
      </c>
      <c r="K354" s="7">
        <v>0.91319444444444442</v>
      </c>
      <c r="L354" s="3">
        <f t="shared" si="10"/>
        <v>1</v>
      </c>
      <c r="M354" s="3">
        <f t="shared" si="11"/>
        <v>0</v>
      </c>
      <c r="N354" s="29">
        <f>_xlfn.MAXIFS($G$7:G353,$E$7:E353,detalhe_carro1[[#This Row],[Nó]],$B$7:B353,detalhe_carro1[[#This Row],[Numero Voltas]],$L$7:L353,1)</f>
        <v>742</v>
      </c>
      <c r="O354" s="3" t="str">
        <f>IF(OR(detalhe_carro1[[#This Row],[Ultima Chegada]]=0,detalhe_carro1[[#This Row],[Chegada]]=0),"",detalhe_carro1[[#This Row],[Hora Inicio]]-detalhe_carro1[[#This Row],[Ultima Chegada]])</f>
        <v/>
      </c>
      <c r="P354" s="3">
        <f>IF(detalhe_carro1[[#This Row],[Tipo]]="Visitar Nó",((detalhe_carro1[[#This Row],[Hora Fim]]-detalhe_carro1[[#This Row],[Hora Inicio]])/60*velocidade_nos),0)</f>
        <v>2</v>
      </c>
      <c r="Q354" s="29">
        <f>detalhe_carro1[[#This Row],[Kms Nós]]+detalhe_carro1[[#This Row],[kms]]</f>
        <v>2</v>
      </c>
    </row>
    <row r="355" spans="2:17" hidden="1" x14ac:dyDescent="0.25">
      <c r="B355" s="3">
        <v>3</v>
      </c>
      <c r="C355">
        <v>1</v>
      </c>
      <c r="D355">
        <v>0</v>
      </c>
      <c r="E355" s="29" t="s">
        <v>203</v>
      </c>
      <c r="F355" s="3">
        <v>897</v>
      </c>
      <c r="G355" s="3">
        <v>897</v>
      </c>
      <c r="H355" s="29" t="s">
        <v>44</v>
      </c>
      <c r="J355" s="7">
        <v>0.9145833333333333</v>
      </c>
      <c r="K355" s="7">
        <v>0.9145833333333333</v>
      </c>
      <c r="L355" s="3">
        <f t="shared" si="10"/>
        <v>0</v>
      </c>
      <c r="M355" s="3">
        <f t="shared" si="11"/>
        <v>1</v>
      </c>
      <c r="N355" s="29">
        <f>_xlfn.MAXIFS($G$7:G354,$E$7:E354,detalhe_carro1[[#This Row],[Nó]],$B$7:B354,detalhe_carro1[[#This Row],[Numero Voltas]],$L$7:L354,1)</f>
        <v>736</v>
      </c>
      <c r="O355" s="3">
        <f>IF(OR(detalhe_carro1[[#This Row],[Ultima Chegada]]=0,detalhe_carro1[[#This Row],[Chegada]]=0),"",detalhe_carro1[[#This Row],[Hora Inicio]]-detalhe_carro1[[#This Row],[Ultima Chegada]])</f>
        <v>161</v>
      </c>
      <c r="P355" s="3">
        <f>IF(detalhe_carro1[[#This Row],[Tipo]]="Visitar Nó",((detalhe_carro1[[#This Row],[Hora Fim]]-detalhe_carro1[[#This Row],[Hora Inicio]])/60*velocidade_nos),0)</f>
        <v>0</v>
      </c>
      <c r="Q355" s="29">
        <f>detalhe_carro1[[#This Row],[Kms Nós]]+detalhe_carro1[[#This Row],[kms]]</f>
        <v>0</v>
      </c>
    </row>
    <row r="356" spans="2:17" hidden="1" x14ac:dyDescent="0.25">
      <c r="B356" s="3">
        <v>3</v>
      </c>
      <c r="C356">
        <v>1</v>
      </c>
      <c r="D356">
        <v>0</v>
      </c>
      <c r="E356" s="29" t="s">
        <v>203</v>
      </c>
      <c r="F356" s="3">
        <v>897</v>
      </c>
      <c r="G356" s="3">
        <v>897</v>
      </c>
      <c r="H356" s="29" t="s">
        <v>44</v>
      </c>
      <c r="J356" s="7">
        <v>0.9145833333333333</v>
      </c>
      <c r="K356" s="7">
        <v>0.9145833333333333</v>
      </c>
      <c r="L356" s="3">
        <f t="shared" si="10"/>
        <v>0</v>
      </c>
      <c r="M356" s="3">
        <f t="shared" si="11"/>
        <v>0</v>
      </c>
      <c r="N356" s="29">
        <f>_xlfn.MAXIFS($G$7:G355,$E$7:E355,detalhe_carro1[[#This Row],[Nó]],$B$7:B355,detalhe_carro1[[#This Row],[Numero Voltas]],$L$7:L355,1)</f>
        <v>736</v>
      </c>
      <c r="O356" s="3" t="str">
        <f>IF(OR(detalhe_carro1[[#This Row],[Ultima Chegada]]=0,detalhe_carro1[[#This Row],[Chegada]]=0),"",detalhe_carro1[[#This Row],[Hora Inicio]]-detalhe_carro1[[#This Row],[Ultima Chegada]])</f>
        <v/>
      </c>
      <c r="P356" s="3">
        <f>IF(detalhe_carro1[[#This Row],[Tipo]]="Visitar Nó",((detalhe_carro1[[#This Row],[Hora Fim]]-detalhe_carro1[[#This Row],[Hora Inicio]])/60*velocidade_nos),0)</f>
        <v>0</v>
      </c>
      <c r="Q356" s="29">
        <f>detalhe_carro1[[#This Row],[Kms Nós]]+detalhe_carro1[[#This Row],[kms]]</f>
        <v>0</v>
      </c>
    </row>
    <row r="357" spans="2:17" hidden="1" x14ac:dyDescent="0.25">
      <c r="B357" s="3">
        <v>3</v>
      </c>
      <c r="C357">
        <v>1</v>
      </c>
      <c r="D357">
        <v>0</v>
      </c>
      <c r="E357" s="29" t="s">
        <v>203</v>
      </c>
      <c r="F357" s="3">
        <v>897</v>
      </c>
      <c r="G357" s="3">
        <v>905</v>
      </c>
      <c r="H357" s="29" t="s">
        <v>43</v>
      </c>
      <c r="J357" s="7">
        <v>0.9145833333333333</v>
      </c>
      <c r="K357" s="7">
        <v>0.92013888888888884</v>
      </c>
      <c r="L357" s="3">
        <f t="shared" si="10"/>
        <v>1</v>
      </c>
      <c r="M357" s="3">
        <f t="shared" si="11"/>
        <v>0</v>
      </c>
      <c r="N357" s="29">
        <f>_xlfn.MAXIFS($G$7:G356,$E$7:E356,detalhe_carro1[[#This Row],[Nó]],$B$7:B356,detalhe_carro1[[#This Row],[Numero Voltas]],$L$7:L356,1)</f>
        <v>736</v>
      </c>
      <c r="O357" s="3" t="str">
        <f>IF(OR(detalhe_carro1[[#This Row],[Ultima Chegada]]=0,detalhe_carro1[[#This Row],[Chegada]]=0),"",detalhe_carro1[[#This Row],[Hora Inicio]]-detalhe_carro1[[#This Row],[Ultima Chegada]])</f>
        <v/>
      </c>
      <c r="P357" s="3">
        <f>IF(detalhe_carro1[[#This Row],[Tipo]]="Visitar Nó",((detalhe_carro1[[#This Row],[Hora Fim]]-detalhe_carro1[[#This Row],[Hora Inicio]])/60*velocidade_nos),0)</f>
        <v>4</v>
      </c>
      <c r="Q357" s="29">
        <f>detalhe_carro1[[#This Row],[Kms Nós]]+detalhe_carro1[[#This Row],[kms]]</f>
        <v>4</v>
      </c>
    </row>
    <row r="358" spans="2:17" hidden="1" x14ac:dyDescent="0.25">
      <c r="B358" s="3">
        <v>3</v>
      </c>
      <c r="C358">
        <v>1</v>
      </c>
      <c r="D358">
        <v>1</v>
      </c>
      <c r="E358" s="29" t="s">
        <v>200</v>
      </c>
      <c r="F358" s="3">
        <v>907</v>
      </c>
      <c r="G358" s="3">
        <v>907</v>
      </c>
      <c r="H358" s="29" t="s">
        <v>44</v>
      </c>
      <c r="J358" s="7">
        <v>0.92152777777777772</v>
      </c>
      <c r="K358" s="7">
        <v>0.92152777777777772</v>
      </c>
      <c r="L358" s="3">
        <f t="shared" si="10"/>
        <v>1</v>
      </c>
      <c r="M358" s="3">
        <f t="shared" si="11"/>
        <v>1</v>
      </c>
      <c r="N358" s="29">
        <f>_xlfn.MAXIFS($G$7:G357,$E$7:E357,detalhe_carro1[[#This Row],[Nó]],$B$7:B357,detalhe_carro1[[#This Row],[Numero Voltas]],$L$7:L357,1)</f>
        <v>895</v>
      </c>
      <c r="O358" s="3">
        <f>IF(OR(detalhe_carro1[[#This Row],[Ultima Chegada]]=0,detalhe_carro1[[#This Row],[Chegada]]=0),"",detalhe_carro1[[#This Row],[Hora Inicio]]-detalhe_carro1[[#This Row],[Ultima Chegada]])</f>
        <v>12</v>
      </c>
      <c r="P358" s="3">
        <f>IF(detalhe_carro1[[#This Row],[Tipo]]="Visitar Nó",((detalhe_carro1[[#This Row],[Hora Fim]]-detalhe_carro1[[#This Row],[Hora Inicio]])/60*velocidade_nos),0)</f>
        <v>0</v>
      </c>
      <c r="Q358" s="29">
        <f>detalhe_carro1[[#This Row],[Kms Nós]]+detalhe_carro1[[#This Row],[kms]]</f>
        <v>0</v>
      </c>
    </row>
    <row r="359" spans="2:17" hidden="1" x14ac:dyDescent="0.25">
      <c r="B359" s="3">
        <v>3</v>
      </c>
      <c r="C359">
        <v>1</v>
      </c>
      <c r="D359">
        <v>2</v>
      </c>
      <c r="E359" s="29" t="s">
        <v>228</v>
      </c>
      <c r="F359" s="3">
        <v>908</v>
      </c>
      <c r="G359" s="3">
        <v>908</v>
      </c>
      <c r="H359" s="29" t="s">
        <v>44</v>
      </c>
      <c r="J359" s="7">
        <v>0.92222222222222228</v>
      </c>
      <c r="K359" s="7">
        <v>0.92222222222222228</v>
      </c>
      <c r="L359" s="3">
        <f t="shared" si="10"/>
        <v>1</v>
      </c>
      <c r="M359" s="3">
        <f t="shared" si="11"/>
        <v>1</v>
      </c>
      <c r="N359" s="29">
        <f>_xlfn.MAXIFS($G$7:G358,$E$7:E358,detalhe_carro1[[#This Row],[Nó]],$B$7:B358,detalhe_carro1[[#This Row],[Numero Voltas]],$L$7:L358,1)</f>
        <v>890</v>
      </c>
      <c r="O359" s="3">
        <f>IF(OR(detalhe_carro1[[#This Row],[Ultima Chegada]]=0,detalhe_carro1[[#This Row],[Chegada]]=0),"",detalhe_carro1[[#This Row],[Hora Inicio]]-detalhe_carro1[[#This Row],[Ultima Chegada]])</f>
        <v>18</v>
      </c>
      <c r="P359" s="3">
        <f>IF(detalhe_carro1[[#This Row],[Tipo]]="Visitar Nó",((detalhe_carro1[[#This Row],[Hora Fim]]-detalhe_carro1[[#This Row],[Hora Inicio]])/60*velocidade_nos),0)</f>
        <v>0</v>
      </c>
      <c r="Q359" s="29">
        <f>detalhe_carro1[[#This Row],[Kms Nós]]+detalhe_carro1[[#This Row],[kms]]</f>
        <v>0</v>
      </c>
    </row>
    <row r="360" spans="2:17" hidden="1" x14ac:dyDescent="0.25">
      <c r="B360" s="3">
        <v>3</v>
      </c>
      <c r="C360">
        <v>1</v>
      </c>
      <c r="D360">
        <v>3</v>
      </c>
      <c r="E360" s="29" t="s">
        <v>208</v>
      </c>
      <c r="F360" s="3">
        <v>911</v>
      </c>
      <c r="G360" s="3">
        <v>911</v>
      </c>
      <c r="H360" s="29" t="s">
        <v>44</v>
      </c>
      <c r="J360" s="7">
        <v>0.9243055555555556</v>
      </c>
      <c r="K360" s="7">
        <v>0.9243055555555556</v>
      </c>
      <c r="L360" s="3">
        <f t="shared" si="10"/>
        <v>1</v>
      </c>
      <c r="M360" s="3">
        <f t="shared" si="11"/>
        <v>1</v>
      </c>
      <c r="N360" s="29">
        <f>_xlfn.MAXIFS($G$7:G359,$E$7:E359,detalhe_carro1[[#This Row],[Nó]],$B$7:B359,detalhe_carro1[[#This Row],[Numero Voltas]],$L$7:L359,1)</f>
        <v>887</v>
      </c>
      <c r="O360" s="3">
        <f>IF(OR(detalhe_carro1[[#This Row],[Ultima Chegada]]=0,detalhe_carro1[[#This Row],[Chegada]]=0),"",detalhe_carro1[[#This Row],[Hora Inicio]]-detalhe_carro1[[#This Row],[Ultima Chegada]])</f>
        <v>24</v>
      </c>
      <c r="P360" s="3">
        <f>IF(detalhe_carro1[[#This Row],[Tipo]]="Visitar Nó",((detalhe_carro1[[#This Row],[Hora Fim]]-detalhe_carro1[[#This Row],[Hora Inicio]])/60*velocidade_nos),0)</f>
        <v>0</v>
      </c>
      <c r="Q360" s="29">
        <f>detalhe_carro1[[#This Row],[Kms Nós]]+detalhe_carro1[[#This Row],[kms]]</f>
        <v>0</v>
      </c>
    </row>
    <row r="361" spans="2:17" hidden="1" x14ac:dyDescent="0.25">
      <c r="B361" s="3">
        <v>3</v>
      </c>
      <c r="C361">
        <v>1</v>
      </c>
      <c r="D361">
        <v>4</v>
      </c>
      <c r="E361" s="29" t="s">
        <v>2</v>
      </c>
      <c r="F361" s="3">
        <v>916</v>
      </c>
      <c r="G361" s="3">
        <v>916</v>
      </c>
      <c r="H361" s="29" t="s">
        <v>44</v>
      </c>
      <c r="J361" s="7">
        <v>0.92777777777777781</v>
      </c>
      <c r="K361" s="7">
        <v>0.92777777777777781</v>
      </c>
      <c r="L361" s="3">
        <f t="shared" si="10"/>
        <v>1</v>
      </c>
      <c r="M361" s="3">
        <f t="shared" si="11"/>
        <v>1</v>
      </c>
      <c r="N361" s="29">
        <f>_xlfn.MAXIFS($G$7:G360,$E$7:E360,detalhe_carro1[[#This Row],[Nó]],$B$7:B360,detalhe_carro1[[#This Row],[Numero Voltas]],$L$7:L360,1)</f>
        <v>869</v>
      </c>
      <c r="O361" s="3">
        <f>IF(OR(detalhe_carro1[[#This Row],[Ultima Chegada]]=0,detalhe_carro1[[#This Row],[Chegada]]=0),"",detalhe_carro1[[#This Row],[Hora Inicio]]-detalhe_carro1[[#This Row],[Ultima Chegada]])</f>
        <v>47</v>
      </c>
      <c r="P361" s="3">
        <f>IF(detalhe_carro1[[#This Row],[Tipo]]="Visitar Nó",((detalhe_carro1[[#This Row],[Hora Fim]]-detalhe_carro1[[#This Row],[Hora Inicio]])/60*velocidade_nos),0)</f>
        <v>0</v>
      </c>
      <c r="Q361" s="29">
        <f>detalhe_carro1[[#This Row],[Kms Nós]]+detalhe_carro1[[#This Row],[kms]]</f>
        <v>0</v>
      </c>
    </row>
    <row r="362" spans="2:17" hidden="1" x14ac:dyDescent="0.25">
      <c r="B362" s="3">
        <v>3</v>
      </c>
      <c r="C362">
        <v>1</v>
      </c>
      <c r="D362">
        <v>5</v>
      </c>
      <c r="E362" s="29" t="s">
        <v>215</v>
      </c>
      <c r="F362" s="3">
        <v>919</v>
      </c>
      <c r="G362" s="3">
        <v>919</v>
      </c>
      <c r="H362" s="29" t="s">
        <v>44</v>
      </c>
      <c r="J362" s="7">
        <v>0.92986111111111114</v>
      </c>
      <c r="K362" s="7">
        <v>0.92986111111111114</v>
      </c>
      <c r="L362" s="3">
        <f t="shared" si="10"/>
        <v>0</v>
      </c>
      <c r="M362" s="3">
        <f t="shared" si="11"/>
        <v>1</v>
      </c>
      <c r="N362" s="29">
        <f>_xlfn.MAXIFS($G$7:G361,$E$7:E361,detalhe_carro1[[#This Row],[Nó]],$B$7:B361,detalhe_carro1[[#This Row],[Numero Voltas]],$L$7:L361,1)</f>
        <v>866</v>
      </c>
      <c r="O362" s="3">
        <f>IF(OR(detalhe_carro1[[#This Row],[Ultima Chegada]]=0,detalhe_carro1[[#This Row],[Chegada]]=0),"",detalhe_carro1[[#This Row],[Hora Inicio]]-detalhe_carro1[[#This Row],[Ultima Chegada]])</f>
        <v>53</v>
      </c>
      <c r="P362" s="3">
        <f>IF(detalhe_carro1[[#This Row],[Tipo]]="Visitar Nó",((detalhe_carro1[[#This Row],[Hora Fim]]-detalhe_carro1[[#This Row],[Hora Inicio]])/60*velocidade_nos),0)</f>
        <v>0</v>
      </c>
      <c r="Q362" s="29">
        <f>detalhe_carro1[[#This Row],[Kms Nós]]+detalhe_carro1[[#This Row],[kms]]</f>
        <v>0</v>
      </c>
    </row>
    <row r="363" spans="2:17" hidden="1" x14ac:dyDescent="0.25">
      <c r="B363" s="3">
        <v>3</v>
      </c>
      <c r="C363">
        <v>1</v>
      </c>
      <c r="D363">
        <v>5</v>
      </c>
      <c r="E363" s="29" t="s">
        <v>215</v>
      </c>
      <c r="F363" s="3">
        <v>919</v>
      </c>
      <c r="G363" s="3">
        <v>919</v>
      </c>
      <c r="H363" s="29" t="s">
        <v>43</v>
      </c>
      <c r="J363" s="7">
        <v>0.92986111111111114</v>
      </c>
      <c r="K363" s="7">
        <v>0.92986111111111114</v>
      </c>
      <c r="L363" s="3">
        <f t="shared" si="10"/>
        <v>1</v>
      </c>
      <c r="M363" s="3">
        <f t="shared" si="11"/>
        <v>0</v>
      </c>
      <c r="N363" s="29">
        <f>_xlfn.MAXIFS($G$7:G362,$E$7:E362,detalhe_carro1[[#This Row],[Nó]],$B$7:B362,detalhe_carro1[[#This Row],[Numero Voltas]],$L$7:L362,1)</f>
        <v>866</v>
      </c>
      <c r="O363" s="3" t="str">
        <f>IF(OR(detalhe_carro1[[#This Row],[Ultima Chegada]]=0,detalhe_carro1[[#This Row],[Chegada]]=0),"",detalhe_carro1[[#This Row],[Hora Inicio]]-detalhe_carro1[[#This Row],[Ultima Chegada]])</f>
        <v/>
      </c>
      <c r="P363" s="3">
        <f>IF(detalhe_carro1[[#This Row],[Tipo]]="Visitar Nó",((detalhe_carro1[[#This Row],[Hora Fim]]-detalhe_carro1[[#This Row],[Hora Inicio]])/60*velocidade_nos),0)</f>
        <v>0</v>
      </c>
      <c r="Q363" s="29">
        <f>detalhe_carro1[[#This Row],[Kms Nós]]+detalhe_carro1[[#This Row],[kms]]</f>
        <v>0</v>
      </c>
    </row>
    <row r="364" spans="2:17" hidden="1" x14ac:dyDescent="0.25">
      <c r="B364" s="3">
        <v>3</v>
      </c>
      <c r="C364">
        <v>1</v>
      </c>
      <c r="D364">
        <v>6</v>
      </c>
      <c r="E364" s="29" t="s">
        <v>300</v>
      </c>
      <c r="F364" s="3">
        <v>923</v>
      </c>
      <c r="G364" s="3">
        <v>923</v>
      </c>
      <c r="H364" s="29" t="s">
        <v>44</v>
      </c>
      <c r="J364" s="7">
        <v>0.93263888888888891</v>
      </c>
      <c r="K364" s="7">
        <v>0.93263888888888891</v>
      </c>
      <c r="L364" s="3">
        <f t="shared" si="10"/>
        <v>0</v>
      </c>
      <c r="M364" s="3">
        <f t="shared" si="11"/>
        <v>1</v>
      </c>
      <c r="N364" s="29">
        <f>_xlfn.MAXIFS($G$7:G363,$E$7:E363,detalhe_carro1[[#This Row],[Nó]],$B$7:B363,detalhe_carro1[[#This Row],[Numero Voltas]],$L$7:L363,1)</f>
        <v>862</v>
      </c>
      <c r="O364" s="3">
        <f>IF(OR(detalhe_carro1[[#This Row],[Ultima Chegada]]=0,detalhe_carro1[[#This Row],[Chegada]]=0),"",detalhe_carro1[[#This Row],[Hora Inicio]]-detalhe_carro1[[#This Row],[Ultima Chegada]])</f>
        <v>61</v>
      </c>
      <c r="P364" s="3">
        <f>IF(detalhe_carro1[[#This Row],[Tipo]]="Visitar Nó",((detalhe_carro1[[#This Row],[Hora Fim]]-detalhe_carro1[[#This Row],[Hora Inicio]])/60*velocidade_nos),0)</f>
        <v>0</v>
      </c>
      <c r="Q364" s="29">
        <f>detalhe_carro1[[#This Row],[Kms Nós]]+detalhe_carro1[[#This Row],[kms]]</f>
        <v>0</v>
      </c>
    </row>
    <row r="365" spans="2:17" hidden="1" x14ac:dyDescent="0.25">
      <c r="B365" s="3">
        <v>3</v>
      </c>
      <c r="C365">
        <v>1</v>
      </c>
      <c r="D365">
        <v>6</v>
      </c>
      <c r="E365" s="29" t="s">
        <v>300</v>
      </c>
      <c r="F365" s="3">
        <v>923</v>
      </c>
      <c r="G365" s="3">
        <v>923</v>
      </c>
      <c r="H365" s="29" t="s">
        <v>43</v>
      </c>
      <c r="J365" s="7">
        <v>0.93263888888888891</v>
      </c>
      <c r="K365" s="7">
        <v>0.93263888888888891</v>
      </c>
      <c r="L365" s="3">
        <f t="shared" si="10"/>
        <v>1</v>
      </c>
      <c r="M365" s="3">
        <f t="shared" si="11"/>
        <v>0</v>
      </c>
      <c r="N365" s="29">
        <f>_xlfn.MAXIFS($G$7:G364,$E$7:E364,detalhe_carro1[[#This Row],[Nó]],$B$7:B364,detalhe_carro1[[#This Row],[Numero Voltas]],$L$7:L364,1)</f>
        <v>862</v>
      </c>
      <c r="O365" s="3" t="str">
        <f>IF(OR(detalhe_carro1[[#This Row],[Ultima Chegada]]=0,detalhe_carro1[[#This Row],[Chegada]]=0),"",detalhe_carro1[[#This Row],[Hora Inicio]]-detalhe_carro1[[#This Row],[Ultima Chegada]])</f>
        <v/>
      </c>
      <c r="P365" s="3">
        <f>IF(detalhe_carro1[[#This Row],[Tipo]]="Visitar Nó",((detalhe_carro1[[#This Row],[Hora Fim]]-detalhe_carro1[[#This Row],[Hora Inicio]])/60*velocidade_nos),0)</f>
        <v>0</v>
      </c>
      <c r="Q365" s="29">
        <f>detalhe_carro1[[#This Row],[Kms Nós]]+detalhe_carro1[[#This Row],[kms]]</f>
        <v>0</v>
      </c>
    </row>
    <row r="366" spans="2:17" hidden="1" x14ac:dyDescent="0.25">
      <c r="B366" s="3">
        <v>3</v>
      </c>
      <c r="C366">
        <v>1</v>
      </c>
      <c r="D366">
        <v>7</v>
      </c>
      <c r="E366" s="29" t="s">
        <v>301</v>
      </c>
      <c r="F366" s="3">
        <v>926</v>
      </c>
      <c r="G366" s="3">
        <v>926</v>
      </c>
      <c r="H366" s="29" t="s">
        <v>44</v>
      </c>
      <c r="J366" s="7">
        <v>0.93472222222222223</v>
      </c>
      <c r="K366" s="7">
        <v>0.93472222222222223</v>
      </c>
      <c r="L366" s="3">
        <f t="shared" si="10"/>
        <v>1</v>
      </c>
      <c r="M366" s="3">
        <f t="shared" si="11"/>
        <v>1</v>
      </c>
      <c r="N366" s="29">
        <f>_xlfn.MAXIFS($G$7:G365,$E$7:E365,detalhe_carro1[[#This Row],[Nó]],$B$7:B365,detalhe_carro1[[#This Row],[Numero Voltas]],$L$7:L365,1)</f>
        <v>859</v>
      </c>
      <c r="O366" s="3">
        <f>IF(OR(detalhe_carro1[[#This Row],[Ultima Chegada]]=0,detalhe_carro1[[#This Row],[Chegada]]=0),"",detalhe_carro1[[#This Row],[Hora Inicio]]-detalhe_carro1[[#This Row],[Ultima Chegada]])</f>
        <v>67</v>
      </c>
      <c r="P366" s="3">
        <f>IF(detalhe_carro1[[#This Row],[Tipo]]="Visitar Nó",((detalhe_carro1[[#This Row],[Hora Fim]]-detalhe_carro1[[#This Row],[Hora Inicio]])/60*velocidade_nos),0)</f>
        <v>0</v>
      </c>
      <c r="Q366" s="29">
        <f>detalhe_carro1[[#This Row],[Kms Nós]]+detalhe_carro1[[#This Row],[kms]]</f>
        <v>0</v>
      </c>
    </row>
    <row r="367" spans="2:17" hidden="1" x14ac:dyDescent="0.25">
      <c r="B367" s="3">
        <v>3</v>
      </c>
      <c r="C367">
        <v>1</v>
      </c>
      <c r="D367">
        <v>8</v>
      </c>
      <c r="E367" s="29" t="s">
        <v>302</v>
      </c>
      <c r="F367" s="3">
        <v>932</v>
      </c>
      <c r="G367" s="3">
        <v>932</v>
      </c>
      <c r="H367" s="29" t="s">
        <v>44</v>
      </c>
      <c r="J367" s="7">
        <v>0.93888888888888888</v>
      </c>
      <c r="K367" s="7">
        <v>0.93888888888888888</v>
      </c>
      <c r="L367" s="3">
        <f t="shared" si="10"/>
        <v>1</v>
      </c>
      <c r="M367" s="3">
        <f t="shared" si="11"/>
        <v>1</v>
      </c>
      <c r="N367" s="29">
        <f>_xlfn.MAXIFS($G$7:G366,$E$7:E366,detalhe_carro1[[#This Row],[Nó]],$B$7:B366,detalhe_carro1[[#This Row],[Numero Voltas]],$L$7:L366,1)</f>
        <v>853</v>
      </c>
      <c r="O367" s="3">
        <f>IF(OR(detalhe_carro1[[#This Row],[Ultima Chegada]]=0,detalhe_carro1[[#This Row],[Chegada]]=0),"",detalhe_carro1[[#This Row],[Hora Inicio]]-detalhe_carro1[[#This Row],[Ultima Chegada]])</f>
        <v>79</v>
      </c>
      <c r="P367" s="3">
        <f>IF(detalhe_carro1[[#This Row],[Tipo]]="Visitar Nó",((detalhe_carro1[[#This Row],[Hora Fim]]-detalhe_carro1[[#This Row],[Hora Inicio]])/60*velocidade_nos),0)</f>
        <v>0</v>
      </c>
      <c r="Q367" s="29">
        <f>detalhe_carro1[[#This Row],[Kms Nós]]+detalhe_carro1[[#This Row],[kms]]</f>
        <v>0</v>
      </c>
    </row>
    <row r="368" spans="2:17" hidden="1" x14ac:dyDescent="0.25">
      <c r="B368" s="3">
        <v>3</v>
      </c>
      <c r="C368">
        <v>1</v>
      </c>
      <c r="D368">
        <v>9</v>
      </c>
      <c r="E368" s="29" t="s">
        <v>303</v>
      </c>
      <c r="F368" s="3">
        <v>938</v>
      </c>
      <c r="G368" s="3">
        <v>938</v>
      </c>
      <c r="H368" s="29" t="s">
        <v>44</v>
      </c>
      <c r="J368" s="7">
        <v>0.94305555555555554</v>
      </c>
      <c r="K368" s="7">
        <v>0.94305555555555554</v>
      </c>
      <c r="L368" s="3">
        <f t="shared" si="10"/>
        <v>0</v>
      </c>
      <c r="M368" s="3">
        <f t="shared" si="11"/>
        <v>1</v>
      </c>
      <c r="N368" s="29">
        <f>_xlfn.MAXIFS($G$7:G367,$E$7:E367,detalhe_carro1[[#This Row],[Nó]],$B$7:B367,detalhe_carro1[[#This Row],[Numero Voltas]],$L$7:L367,1)</f>
        <v>837</v>
      </c>
      <c r="O368" s="3">
        <f>IF(OR(detalhe_carro1[[#This Row],[Ultima Chegada]]=0,detalhe_carro1[[#This Row],[Chegada]]=0),"",detalhe_carro1[[#This Row],[Hora Inicio]]-detalhe_carro1[[#This Row],[Ultima Chegada]])</f>
        <v>101</v>
      </c>
      <c r="P368" s="3">
        <f>IF(detalhe_carro1[[#This Row],[Tipo]]="Visitar Nó",((detalhe_carro1[[#This Row],[Hora Fim]]-detalhe_carro1[[#This Row],[Hora Inicio]])/60*velocidade_nos),0)</f>
        <v>0</v>
      </c>
      <c r="Q368" s="29">
        <f>detalhe_carro1[[#This Row],[Kms Nós]]+detalhe_carro1[[#This Row],[kms]]</f>
        <v>0</v>
      </c>
    </row>
    <row r="369" spans="2:17" hidden="1" x14ac:dyDescent="0.25">
      <c r="B369" s="3">
        <v>3</v>
      </c>
      <c r="C369">
        <v>1</v>
      </c>
      <c r="D369">
        <v>9</v>
      </c>
      <c r="E369" s="29" t="s">
        <v>303</v>
      </c>
      <c r="F369" s="3">
        <v>938</v>
      </c>
      <c r="G369" s="3">
        <v>938</v>
      </c>
      <c r="H369" s="29" t="s">
        <v>44</v>
      </c>
      <c r="J369" s="7">
        <v>0.94305555555555554</v>
      </c>
      <c r="K369" s="7">
        <v>0.94305555555555554</v>
      </c>
      <c r="L369" s="3">
        <f t="shared" si="10"/>
        <v>1</v>
      </c>
      <c r="M369" s="3">
        <f t="shared" si="11"/>
        <v>0</v>
      </c>
      <c r="N369" s="29">
        <f>_xlfn.MAXIFS($G$7:G368,$E$7:E368,detalhe_carro1[[#This Row],[Nó]],$B$7:B368,detalhe_carro1[[#This Row],[Numero Voltas]],$L$7:L368,1)</f>
        <v>837</v>
      </c>
      <c r="O369" s="3" t="str">
        <f>IF(OR(detalhe_carro1[[#This Row],[Ultima Chegada]]=0,detalhe_carro1[[#This Row],[Chegada]]=0),"",detalhe_carro1[[#This Row],[Hora Inicio]]-detalhe_carro1[[#This Row],[Ultima Chegada]])</f>
        <v/>
      </c>
      <c r="P369" s="3">
        <f>IF(detalhe_carro1[[#This Row],[Tipo]]="Visitar Nó",((detalhe_carro1[[#This Row],[Hora Fim]]-detalhe_carro1[[#This Row],[Hora Inicio]])/60*velocidade_nos),0)</f>
        <v>0</v>
      </c>
      <c r="Q369" s="29">
        <f>detalhe_carro1[[#This Row],[Kms Nós]]+detalhe_carro1[[#This Row],[kms]]</f>
        <v>0</v>
      </c>
    </row>
    <row r="370" spans="2:17" hidden="1" x14ac:dyDescent="0.25">
      <c r="B370" s="3">
        <v>3</v>
      </c>
      <c r="C370">
        <v>1</v>
      </c>
      <c r="D370">
        <v>8</v>
      </c>
      <c r="E370" s="29" t="s">
        <v>302</v>
      </c>
      <c r="F370" s="3">
        <v>944</v>
      </c>
      <c r="G370" s="3">
        <v>944</v>
      </c>
      <c r="H370" s="29" t="s">
        <v>44</v>
      </c>
      <c r="J370" s="7">
        <v>0.94722222222222219</v>
      </c>
      <c r="K370" s="7">
        <v>0.94722222222222219</v>
      </c>
      <c r="L370" s="3">
        <f t="shared" si="10"/>
        <v>1</v>
      </c>
      <c r="M370" s="3">
        <f t="shared" si="11"/>
        <v>1</v>
      </c>
      <c r="N370" s="29">
        <f>_xlfn.MAXIFS($G$7:G369,$E$7:E369,detalhe_carro1[[#This Row],[Nó]],$B$7:B369,detalhe_carro1[[#This Row],[Numero Voltas]],$L$7:L369,1)</f>
        <v>932</v>
      </c>
      <c r="O370" s="3">
        <f>IF(OR(detalhe_carro1[[#This Row],[Ultima Chegada]]=0,detalhe_carro1[[#This Row],[Chegada]]=0),"",detalhe_carro1[[#This Row],[Hora Inicio]]-detalhe_carro1[[#This Row],[Ultima Chegada]])</f>
        <v>12</v>
      </c>
      <c r="P370" s="3">
        <f>IF(detalhe_carro1[[#This Row],[Tipo]]="Visitar Nó",((detalhe_carro1[[#This Row],[Hora Fim]]-detalhe_carro1[[#This Row],[Hora Inicio]])/60*velocidade_nos),0)</f>
        <v>0</v>
      </c>
      <c r="Q370" s="29">
        <f>detalhe_carro1[[#This Row],[Kms Nós]]+detalhe_carro1[[#This Row],[kms]]</f>
        <v>0</v>
      </c>
    </row>
    <row r="371" spans="2:17" hidden="1" x14ac:dyDescent="0.25">
      <c r="B371" s="3">
        <v>3</v>
      </c>
      <c r="C371">
        <v>1</v>
      </c>
      <c r="D371">
        <v>7</v>
      </c>
      <c r="E371" s="29" t="s">
        <v>301</v>
      </c>
      <c r="F371" s="3">
        <v>950</v>
      </c>
      <c r="G371" s="3">
        <v>950</v>
      </c>
      <c r="H371" s="29" t="s">
        <v>44</v>
      </c>
      <c r="J371" s="7">
        <v>0.95138888888888884</v>
      </c>
      <c r="K371" s="7">
        <v>0.95138888888888884</v>
      </c>
      <c r="L371" s="3">
        <f t="shared" si="10"/>
        <v>1</v>
      </c>
      <c r="M371" s="3">
        <f t="shared" si="11"/>
        <v>1</v>
      </c>
      <c r="N371" s="29">
        <f>_xlfn.MAXIFS($G$7:G370,$E$7:E370,detalhe_carro1[[#This Row],[Nó]],$B$7:B370,detalhe_carro1[[#This Row],[Numero Voltas]],$L$7:L370,1)</f>
        <v>926</v>
      </c>
      <c r="O371" s="3">
        <f>IF(OR(detalhe_carro1[[#This Row],[Ultima Chegada]]=0,detalhe_carro1[[#This Row],[Chegada]]=0),"",detalhe_carro1[[#This Row],[Hora Inicio]]-detalhe_carro1[[#This Row],[Ultima Chegada]])</f>
        <v>24</v>
      </c>
      <c r="P371" s="3">
        <f>IF(detalhe_carro1[[#This Row],[Tipo]]="Visitar Nó",((detalhe_carro1[[#This Row],[Hora Fim]]-detalhe_carro1[[#This Row],[Hora Inicio]])/60*velocidade_nos),0)</f>
        <v>0</v>
      </c>
      <c r="Q371" s="29">
        <f>detalhe_carro1[[#This Row],[Kms Nós]]+detalhe_carro1[[#This Row],[kms]]</f>
        <v>0</v>
      </c>
    </row>
    <row r="372" spans="2:17" hidden="1" x14ac:dyDescent="0.25">
      <c r="B372" s="3">
        <v>3</v>
      </c>
      <c r="C372">
        <v>1</v>
      </c>
      <c r="D372">
        <v>6</v>
      </c>
      <c r="E372" s="29" t="s">
        <v>300</v>
      </c>
      <c r="F372" s="3">
        <v>953</v>
      </c>
      <c r="G372" s="3">
        <v>953</v>
      </c>
      <c r="H372" s="29" t="s">
        <v>44</v>
      </c>
      <c r="J372" s="7">
        <v>0.95347222222222228</v>
      </c>
      <c r="K372" s="7">
        <v>0.95347222222222228</v>
      </c>
      <c r="L372" s="3">
        <f t="shared" si="10"/>
        <v>0</v>
      </c>
      <c r="M372" s="3">
        <f t="shared" si="11"/>
        <v>1</v>
      </c>
      <c r="N372" s="29">
        <f>_xlfn.MAXIFS($G$7:G371,$E$7:E371,detalhe_carro1[[#This Row],[Nó]],$B$7:B371,detalhe_carro1[[#This Row],[Numero Voltas]],$L$7:L371,1)</f>
        <v>923</v>
      </c>
      <c r="O372" s="3">
        <f>IF(OR(detalhe_carro1[[#This Row],[Ultima Chegada]]=0,detalhe_carro1[[#This Row],[Chegada]]=0),"",detalhe_carro1[[#This Row],[Hora Inicio]]-detalhe_carro1[[#This Row],[Ultima Chegada]])</f>
        <v>30</v>
      </c>
      <c r="P372" s="3">
        <f>IF(detalhe_carro1[[#This Row],[Tipo]]="Visitar Nó",((detalhe_carro1[[#This Row],[Hora Fim]]-detalhe_carro1[[#This Row],[Hora Inicio]])/60*velocidade_nos),0)</f>
        <v>0</v>
      </c>
      <c r="Q372" s="29">
        <f>detalhe_carro1[[#This Row],[Kms Nós]]+detalhe_carro1[[#This Row],[kms]]</f>
        <v>0</v>
      </c>
    </row>
    <row r="373" spans="2:17" hidden="1" x14ac:dyDescent="0.25">
      <c r="B373" s="3">
        <v>3</v>
      </c>
      <c r="C373">
        <v>1</v>
      </c>
      <c r="D373">
        <v>6</v>
      </c>
      <c r="E373" s="29" t="s">
        <v>300</v>
      </c>
      <c r="F373" s="3">
        <v>953</v>
      </c>
      <c r="G373" s="3">
        <v>953</v>
      </c>
      <c r="H373" s="29" t="s">
        <v>43</v>
      </c>
      <c r="J373" s="7">
        <v>0.95347222222222228</v>
      </c>
      <c r="K373" s="7">
        <v>0.95347222222222228</v>
      </c>
      <c r="L373" s="3">
        <f t="shared" si="10"/>
        <v>1</v>
      </c>
      <c r="M373" s="3">
        <f t="shared" si="11"/>
        <v>0</v>
      </c>
      <c r="N373" s="29">
        <f>_xlfn.MAXIFS($G$7:G372,$E$7:E372,detalhe_carro1[[#This Row],[Nó]],$B$7:B372,detalhe_carro1[[#This Row],[Numero Voltas]],$L$7:L372,1)</f>
        <v>923</v>
      </c>
      <c r="O373" s="3" t="str">
        <f>IF(OR(detalhe_carro1[[#This Row],[Ultima Chegada]]=0,detalhe_carro1[[#This Row],[Chegada]]=0),"",detalhe_carro1[[#This Row],[Hora Inicio]]-detalhe_carro1[[#This Row],[Ultima Chegada]])</f>
        <v/>
      </c>
      <c r="P373" s="3">
        <f>IF(detalhe_carro1[[#This Row],[Tipo]]="Visitar Nó",((detalhe_carro1[[#This Row],[Hora Fim]]-detalhe_carro1[[#This Row],[Hora Inicio]])/60*velocidade_nos),0)</f>
        <v>0</v>
      </c>
      <c r="Q373" s="29">
        <f>detalhe_carro1[[#This Row],[Kms Nós]]+detalhe_carro1[[#This Row],[kms]]</f>
        <v>0</v>
      </c>
    </row>
    <row r="374" spans="2:17" hidden="1" x14ac:dyDescent="0.25">
      <c r="B374" s="3">
        <v>3</v>
      </c>
      <c r="C374">
        <v>1</v>
      </c>
      <c r="D374">
        <v>5</v>
      </c>
      <c r="E374" s="29" t="s">
        <v>215</v>
      </c>
      <c r="F374" s="3">
        <v>957</v>
      </c>
      <c r="G374" s="3">
        <v>957</v>
      </c>
      <c r="H374" s="29" t="s">
        <v>44</v>
      </c>
      <c r="J374" s="7">
        <v>0.95625000000000004</v>
      </c>
      <c r="K374" s="7">
        <v>0.95625000000000004</v>
      </c>
      <c r="L374" s="3">
        <f t="shared" si="10"/>
        <v>0</v>
      </c>
      <c r="M374" s="3">
        <f t="shared" si="11"/>
        <v>1</v>
      </c>
      <c r="N374" s="29">
        <f>_xlfn.MAXIFS($G$7:G373,$E$7:E373,detalhe_carro1[[#This Row],[Nó]],$B$7:B373,detalhe_carro1[[#This Row],[Numero Voltas]],$L$7:L373,1)</f>
        <v>919</v>
      </c>
      <c r="O374" s="3">
        <f>IF(OR(detalhe_carro1[[#This Row],[Ultima Chegada]]=0,detalhe_carro1[[#This Row],[Chegada]]=0),"",detalhe_carro1[[#This Row],[Hora Inicio]]-detalhe_carro1[[#This Row],[Ultima Chegada]])</f>
        <v>38</v>
      </c>
      <c r="P374" s="3">
        <f>IF(detalhe_carro1[[#This Row],[Tipo]]="Visitar Nó",((detalhe_carro1[[#This Row],[Hora Fim]]-detalhe_carro1[[#This Row],[Hora Inicio]])/60*velocidade_nos),0)</f>
        <v>0</v>
      </c>
      <c r="Q374" s="29">
        <f>detalhe_carro1[[#This Row],[Kms Nós]]+detalhe_carro1[[#This Row],[kms]]</f>
        <v>0</v>
      </c>
    </row>
    <row r="375" spans="2:17" hidden="1" x14ac:dyDescent="0.25">
      <c r="B375" s="3">
        <v>3</v>
      </c>
      <c r="C375">
        <v>1</v>
      </c>
      <c r="D375">
        <v>5</v>
      </c>
      <c r="E375" s="29" t="s">
        <v>215</v>
      </c>
      <c r="F375" s="3">
        <v>957</v>
      </c>
      <c r="G375" s="3">
        <v>957</v>
      </c>
      <c r="H375" s="29" t="s">
        <v>43</v>
      </c>
      <c r="J375" s="7">
        <v>0.95625000000000004</v>
      </c>
      <c r="K375" s="7">
        <v>0.95625000000000004</v>
      </c>
      <c r="L375" s="3">
        <f t="shared" si="10"/>
        <v>1</v>
      </c>
      <c r="M375" s="3">
        <f t="shared" si="11"/>
        <v>0</v>
      </c>
      <c r="N375" s="29">
        <f>_xlfn.MAXIFS($G$7:G374,$E$7:E374,detalhe_carro1[[#This Row],[Nó]],$B$7:B374,detalhe_carro1[[#This Row],[Numero Voltas]],$L$7:L374,1)</f>
        <v>919</v>
      </c>
      <c r="O375" s="3" t="str">
        <f>IF(OR(detalhe_carro1[[#This Row],[Ultima Chegada]]=0,detalhe_carro1[[#This Row],[Chegada]]=0),"",detalhe_carro1[[#This Row],[Hora Inicio]]-detalhe_carro1[[#This Row],[Ultima Chegada]])</f>
        <v/>
      </c>
      <c r="P375" s="3">
        <f>IF(detalhe_carro1[[#This Row],[Tipo]]="Visitar Nó",((detalhe_carro1[[#This Row],[Hora Fim]]-detalhe_carro1[[#This Row],[Hora Inicio]])/60*velocidade_nos),0)</f>
        <v>0</v>
      </c>
      <c r="Q375" s="29">
        <f>detalhe_carro1[[#This Row],[Kms Nós]]+detalhe_carro1[[#This Row],[kms]]</f>
        <v>0</v>
      </c>
    </row>
    <row r="376" spans="2:17" hidden="1" x14ac:dyDescent="0.25">
      <c r="B376" s="3">
        <v>3</v>
      </c>
      <c r="C376">
        <v>1</v>
      </c>
      <c r="D376">
        <v>4</v>
      </c>
      <c r="E376" s="29" t="s">
        <v>2</v>
      </c>
      <c r="F376" s="3">
        <v>960</v>
      </c>
      <c r="G376" s="3">
        <v>960</v>
      </c>
      <c r="H376" s="29" t="s">
        <v>44</v>
      </c>
      <c r="J376" s="7">
        <v>0.95833333333333337</v>
      </c>
      <c r="K376" s="7">
        <v>0.95833333333333337</v>
      </c>
      <c r="L376" s="3">
        <f t="shared" si="10"/>
        <v>0</v>
      </c>
      <c r="M376" s="3">
        <f t="shared" si="11"/>
        <v>1</v>
      </c>
      <c r="N376" s="29">
        <f>_xlfn.MAXIFS($G$7:G375,$E$7:E375,detalhe_carro1[[#This Row],[Nó]],$B$7:B375,detalhe_carro1[[#This Row],[Numero Voltas]],$L$7:L375,1)</f>
        <v>916</v>
      </c>
      <c r="O376" s="3">
        <f>IF(OR(detalhe_carro1[[#This Row],[Ultima Chegada]]=0,detalhe_carro1[[#This Row],[Chegada]]=0),"",detalhe_carro1[[#This Row],[Hora Inicio]]-detalhe_carro1[[#This Row],[Ultima Chegada]])</f>
        <v>44</v>
      </c>
      <c r="P376" s="3">
        <f>IF(detalhe_carro1[[#This Row],[Tipo]]="Visitar Nó",((detalhe_carro1[[#This Row],[Hora Fim]]-detalhe_carro1[[#This Row],[Hora Inicio]])/60*velocidade_nos),0)</f>
        <v>0</v>
      </c>
      <c r="Q376" s="29">
        <f>detalhe_carro1[[#This Row],[Kms Nós]]+detalhe_carro1[[#This Row],[kms]]</f>
        <v>0</v>
      </c>
    </row>
    <row r="377" spans="2:17" hidden="1" x14ac:dyDescent="0.25">
      <c r="B377" s="3">
        <v>3</v>
      </c>
      <c r="C377">
        <v>1</v>
      </c>
      <c r="D377">
        <v>4</v>
      </c>
      <c r="E377" s="29" t="s">
        <v>2</v>
      </c>
      <c r="F377" s="3">
        <v>960</v>
      </c>
      <c r="G377" s="3">
        <v>960</v>
      </c>
      <c r="H377" s="29" t="s">
        <v>44</v>
      </c>
      <c r="J377" s="7">
        <v>0.95833333333333337</v>
      </c>
      <c r="K377" s="7">
        <v>0.95833333333333337</v>
      </c>
      <c r="L377" s="3">
        <f t="shared" si="10"/>
        <v>0</v>
      </c>
      <c r="M377" s="3">
        <f t="shared" si="11"/>
        <v>0</v>
      </c>
      <c r="N377" s="29">
        <f>_xlfn.MAXIFS($G$7:G376,$E$7:E376,detalhe_carro1[[#This Row],[Nó]],$B$7:B376,detalhe_carro1[[#This Row],[Numero Voltas]],$L$7:L376,1)</f>
        <v>916</v>
      </c>
      <c r="O377" s="3" t="str">
        <f>IF(OR(detalhe_carro1[[#This Row],[Ultima Chegada]]=0,detalhe_carro1[[#This Row],[Chegada]]=0),"",detalhe_carro1[[#This Row],[Hora Inicio]]-detalhe_carro1[[#This Row],[Ultima Chegada]])</f>
        <v/>
      </c>
      <c r="P377" s="3">
        <f>IF(detalhe_carro1[[#This Row],[Tipo]]="Visitar Nó",((detalhe_carro1[[#This Row],[Hora Fim]]-detalhe_carro1[[#This Row],[Hora Inicio]])/60*velocidade_nos),0)</f>
        <v>0</v>
      </c>
      <c r="Q377" s="29">
        <f>detalhe_carro1[[#This Row],[Kms Nós]]+detalhe_carro1[[#This Row],[kms]]</f>
        <v>0</v>
      </c>
    </row>
    <row r="378" spans="2:17" hidden="1" x14ac:dyDescent="0.25">
      <c r="B378" s="3">
        <v>3</v>
      </c>
      <c r="C378">
        <v>2</v>
      </c>
      <c r="D378">
        <v>4</v>
      </c>
      <c r="E378" s="29" t="s">
        <v>2</v>
      </c>
      <c r="F378" s="3">
        <v>960</v>
      </c>
      <c r="G378" s="3">
        <v>960</v>
      </c>
      <c r="H378" s="29" t="s">
        <v>42</v>
      </c>
      <c r="J378" s="7">
        <v>0.95833333333333337</v>
      </c>
      <c r="K378" s="7">
        <v>0.95833333333333337</v>
      </c>
      <c r="L378" s="3">
        <f t="shared" si="10"/>
        <v>0</v>
      </c>
      <c r="M378" s="3">
        <f t="shared" si="11"/>
        <v>0</v>
      </c>
      <c r="N378" s="29">
        <f>_xlfn.MAXIFS($G$7:G377,$E$7:E377,detalhe_carro1[[#This Row],[Nó]],$B$7:B377,detalhe_carro1[[#This Row],[Numero Voltas]],$L$7:L377,1)</f>
        <v>916</v>
      </c>
      <c r="O378" s="3" t="str">
        <f>IF(OR(detalhe_carro1[[#This Row],[Ultima Chegada]]=0,detalhe_carro1[[#This Row],[Chegada]]=0),"",detalhe_carro1[[#This Row],[Hora Inicio]]-detalhe_carro1[[#This Row],[Ultima Chegada]])</f>
        <v/>
      </c>
      <c r="P378" s="3">
        <f>IF(detalhe_carro1[[#This Row],[Tipo]]="Visitar Nó",((detalhe_carro1[[#This Row],[Hora Fim]]-detalhe_carro1[[#This Row],[Hora Inicio]])/60*velocidade_nos),0)</f>
        <v>0</v>
      </c>
      <c r="Q378" s="29">
        <f>detalhe_carro1[[#This Row],[Kms Nós]]+detalhe_carro1[[#This Row],[kms]]</f>
        <v>0</v>
      </c>
    </row>
    <row r="379" spans="2:17" hidden="1" x14ac:dyDescent="0.25">
      <c r="B379" s="3">
        <v>3</v>
      </c>
      <c r="C379">
        <v>2</v>
      </c>
      <c r="D379">
        <v>4</v>
      </c>
      <c r="E379" s="29" t="s">
        <v>2</v>
      </c>
      <c r="F379" s="3">
        <v>960</v>
      </c>
      <c r="G379" s="3">
        <v>960</v>
      </c>
      <c r="H379" s="29" t="s">
        <v>44</v>
      </c>
      <c r="J379" s="7">
        <v>0.95833333333333337</v>
      </c>
      <c r="K379" s="7">
        <v>0.95833333333333337</v>
      </c>
      <c r="L379" s="3">
        <f t="shared" si="10"/>
        <v>0</v>
      </c>
      <c r="M379" s="3">
        <f t="shared" si="11"/>
        <v>0</v>
      </c>
      <c r="N379" s="29">
        <f>_xlfn.MAXIFS($G$7:G378,$E$7:E378,detalhe_carro1[[#This Row],[Nó]],$B$7:B378,detalhe_carro1[[#This Row],[Numero Voltas]],$L$7:L378,1)</f>
        <v>916</v>
      </c>
      <c r="O379" s="3" t="str">
        <f>IF(OR(detalhe_carro1[[#This Row],[Ultima Chegada]]=0,detalhe_carro1[[#This Row],[Chegada]]=0),"",detalhe_carro1[[#This Row],[Hora Inicio]]-detalhe_carro1[[#This Row],[Ultima Chegada]])</f>
        <v/>
      </c>
      <c r="P379" s="3">
        <f>IF(detalhe_carro1[[#This Row],[Tipo]]="Visitar Nó",((detalhe_carro1[[#This Row],[Hora Fim]]-detalhe_carro1[[#This Row],[Hora Inicio]])/60*velocidade_nos),0)</f>
        <v>0</v>
      </c>
      <c r="Q379" s="29">
        <f>detalhe_carro1[[#This Row],[Kms Nós]]+detalhe_carro1[[#This Row],[kms]]</f>
        <v>0</v>
      </c>
    </row>
    <row r="380" spans="2:17" hidden="1" x14ac:dyDescent="0.25">
      <c r="B380" s="3">
        <v>3</v>
      </c>
      <c r="C380">
        <v>2</v>
      </c>
      <c r="D380">
        <v>4</v>
      </c>
      <c r="E380" s="29" t="s">
        <v>2</v>
      </c>
      <c r="F380" s="3">
        <v>960</v>
      </c>
      <c r="G380" s="3">
        <v>975</v>
      </c>
      <c r="H380" s="29" t="s">
        <v>47</v>
      </c>
      <c r="J380" s="7">
        <v>0.95833333333333337</v>
      </c>
      <c r="K380" s="7">
        <v>0.96875</v>
      </c>
      <c r="L380" s="3">
        <f t="shared" si="10"/>
        <v>0</v>
      </c>
      <c r="M380" s="3">
        <f t="shared" si="11"/>
        <v>0</v>
      </c>
      <c r="N380" s="29">
        <f>_xlfn.MAXIFS($G$7:G379,$E$7:E379,detalhe_carro1[[#This Row],[Nó]],$B$7:B379,detalhe_carro1[[#This Row],[Numero Voltas]],$L$7:L379,1)</f>
        <v>916</v>
      </c>
      <c r="O380" s="3" t="str">
        <f>IF(OR(detalhe_carro1[[#This Row],[Ultima Chegada]]=0,detalhe_carro1[[#This Row],[Chegada]]=0),"",detalhe_carro1[[#This Row],[Hora Inicio]]-detalhe_carro1[[#This Row],[Ultima Chegada]])</f>
        <v/>
      </c>
      <c r="P380" s="3">
        <f>IF(detalhe_carro1[[#This Row],[Tipo]]="Visitar Nó",((detalhe_carro1[[#This Row],[Hora Fim]]-detalhe_carro1[[#This Row],[Hora Inicio]])/60*velocidade_nos),0)</f>
        <v>0</v>
      </c>
      <c r="Q380" s="29">
        <f>detalhe_carro1[[#This Row],[Kms Nós]]+detalhe_carro1[[#This Row],[kms]]</f>
        <v>0</v>
      </c>
    </row>
    <row r="381" spans="2:17" hidden="1" x14ac:dyDescent="0.25">
      <c r="B381" s="3">
        <v>3</v>
      </c>
      <c r="C381">
        <v>2</v>
      </c>
      <c r="D381">
        <v>4</v>
      </c>
      <c r="E381" s="29" t="s">
        <v>2</v>
      </c>
      <c r="F381" s="3">
        <v>975</v>
      </c>
      <c r="G381" s="3">
        <v>988</v>
      </c>
      <c r="H381" s="29" t="s">
        <v>43</v>
      </c>
      <c r="J381" s="7">
        <v>0.96875</v>
      </c>
      <c r="K381" s="7">
        <v>0.97777777777777775</v>
      </c>
      <c r="L381" s="3">
        <f t="shared" si="10"/>
        <v>1</v>
      </c>
      <c r="M381" s="3">
        <f t="shared" si="11"/>
        <v>0</v>
      </c>
      <c r="N381" s="29">
        <f>_xlfn.MAXIFS($G$7:G380,$E$7:E380,detalhe_carro1[[#This Row],[Nó]],$B$7:B380,detalhe_carro1[[#This Row],[Numero Voltas]],$L$7:L380,1)</f>
        <v>916</v>
      </c>
      <c r="O381" s="3" t="str">
        <f>IF(OR(detalhe_carro1[[#This Row],[Ultima Chegada]]=0,detalhe_carro1[[#This Row],[Chegada]]=0),"",detalhe_carro1[[#This Row],[Hora Inicio]]-detalhe_carro1[[#This Row],[Ultima Chegada]])</f>
        <v/>
      </c>
      <c r="P381" s="3">
        <f>IF(detalhe_carro1[[#This Row],[Tipo]]="Visitar Nó",((detalhe_carro1[[#This Row],[Hora Fim]]-detalhe_carro1[[#This Row],[Hora Inicio]])/60*velocidade_nos),0)</f>
        <v>6.5</v>
      </c>
      <c r="Q381" s="29">
        <f>detalhe_carro1[[#This Row],[Kms Nós]]+detalhe_carro1[[#This Row],[kms]]</f>
        <v>6.5</v>
      </c>
    </row>
    <row r="382" spans="2:17" hidden="1" x14ac:dyDescent="0.25">
      <c r="B382" s="3">
        <v>3</v>
      </c>
      <c r="C382">
        <v>2</v>
      </c>
      <c r="D382">
        <v>3</v>
      </c>
      <c r="E382" s="29" t="s">
        <v>208</v>
      </c>
      <c r="F382" s="3">
        <v>993</v>
      </c>
      <c r="G382" s="3">
        <v>993</v>
      </c>
      <c r="H382" s="29" t="s">
        <v>44</v>
      </c>
      <c r="J382" s="7">
        <v>0.98124999999999996</v>
      </c>
      <c r="K382" s="7">
        <v>0.98124999999999996</v>
      </c>
      <c r="L382" s="3">
        <f t="shared" si="10"/>
        <v>1</v>
      </c>
      <c r="M382" s="3">
        <f t="shared" si="11"/>
        <v>1</v>
      </c>
      <c r="N382" s="29">
        <f>_xlfn.MAXIFS($G$7:G381,$E$7:E381,detalhe_carro1[[#This Row],[Nó]],$B$7:B381,detalhe_carro1[[#This Row],[Numero Voltas]],$L$7:L381,1)</f>
        <v>911</v>
      </c>
      <c r="O382" s="3">
        <f>IF(OR(detalhe_carro1[[#This Row],[Ultima Chegada]]=0,detalhe_carro1[[#This Row],[Chegada]]=0),"",detalhe_carro1[[#This Row],[Hora Inicio]]-detalhe_carro1[[#This Row],[Ultima Chegada]])</f>
        <v>82</v>
      </c>
      <c r="P382" s="3">
        <f>IF(detalhe_carro1[[#This Row],[Tipo]]="Visitar Nó",((detalhe_carro1[[#This Row],[Hora Fim]]-detalhe_carro1[[#This Row],[Hora Inicio]])/60*velocidade_nos),0)</f>
        <v>0</v>
      </c>
      <c r="Q382" s="29">
        <f>detalhe_carro1[[#This Row],[Kms Nós]]+detalhe_carro1[[#This Row],[kms]]</f>
        <v>0</v>
      </c>
    </row>
    <row r="383" spans="2:17" hidden="1" x14ac:dyDescent="0.25">
      <c r="B383" s="3">
        <v>3</v>
      </c>
      <c r="C383">
        <v>2</v>
      </c>
      <c r="D383">
        <v>2</v>
      </c>
      <c r="E383" s="29" t="s">
        <v>228</v>
      </c>
      <c r="F383" s="3">
        <v>996</v>
      </c>
      <c r="G383" s="3">
        <v>996</v>
      </c>
      <c r="H383" s="29" t="s">
        <v>44</v>
      </c>
      <c r="J383" s="7">
        <v>0.98333333333333328</v>
      </c>
      <c r="K383" s="7">
        <v>0.98333333333333328</v>
      </c>
      <c r="L383" s="3">
        <f t="shared" si="10"/>
        <v>1</v>
      </c>
      <c r="M383" s="3">
        <f t="shared" si="11"/>
        <v>1</v>
      </c>
      <c r="N383" s="29">
        <f>_xlfn.MAXIFS($G$7:G382,$E$7:E382,detalhe_carro1[[#This Row],[Nó]],$B$7:B382,detalhe_carro1[[#This Row],[Numero Voltas]],$L$7:L382,1)</f>
        <v>908</v>
      </c>
      <c r="O383" s="3">
        <f>IF(OR(detalhe_carro1[[#This Row],[Ultima Chegada]]=0,detalhe_carro1[[#This Row],[Chegada]]=0),"",detalhe_carro1[[#This Row],[Hora Inicio]]-detalhe_carro1[[#This Row],[Ultima Chegada]])</f>
        <v>88</v>
      </c>
      <c r="P383" s="3">
        <f>IF(detalhe_carro1[[#This Row],[Tipo]]="Visitar Nó",((detalhe_carro1[[#This Row],[Hora Fim]]-detalhe_carro1[[#This Row],[Hora Inicio]])/60*velocidade_nos),0)</f>
        <v>0</v>
      </c>
      <c r="Q383" s="29">
        <f>detalhe_carro1[[#This Row],[Kms Nós]]+detalhe_carro1[[#This Row],[kms]]</f>
        <v>0</v>
      </c>
    </row>
    <row r="384" spans="2:17" hidden="1" x14ac:dyDescent="0.25">
      <c r="B384" s="3">
        <v>3</v>
      </c>
      <c r="C384">
        <v>2</v>
      </c>
      <c r="D384">
        <v>1</v>
      </c>
      <c r="E384" s="29" t="s">
        <v>200</v>
      </c>
      <c r="F384" s="3">
        <v>997</v>
      </c>
      <c r="G384" s="3">
        <v>997</v>
      </c>
      <c r="H384" s="29" t="s">
        <v>44</v>
      </c>
      <c r="J384" s="7">
        <v>0.98402777777777772</v>
      </c>
      <c r="K384" s="7">
        <v>0.98402777777777772</v>
      </c>
      <c r="L384" s="3">
        <f t="shared" si="10"/>
        <v>1</v>
      </c>
      <c r="M384" s="3">
        <f t="shared" si="11"/>
        <v>1</v>
      </c>
      <c r="N384" s="29">
        <f>_xlfn.MAXIFS($G$7:G383,$E$7:E383,detalhe_carro1[[#This Row],[Nó]],$B$7:B383,detalhe_carro1[[#This Row],[Numero Voltas]],$L$7:L383,1)</f>
        <v>907</v>
      </c>
      <c r="O384" s="3">
        <f>IF(OR(detalhe_carro1[[#This Row],[Ultima Chegada]]=0,detalhe_carro1[[#This Row],[Chegada]]=0),"",detalhe_carro1[[#This Row],[Hora Inicio]]-detalhe_carro1[[#This Row],[Ultima Chegada]])</f>
        <v>90</v>
      </c>
      <c r="P384" s="3">
        <f>IF(detalhe_carro1[[#This Row],[Tipo]]="Visitar Nó",((detalhe_carro1[[#This Row],[Hora Fim]]-detalhe_carro1[[#This Row],[Hora Inicio]])/60*velocidade_nos),0)</f>
        <v>0</v>
      </c>
      <c r="Q384" s="29">
        <f>detalhe_carro1[[#This Row],[Kms Nós]]+detalhe_carro1[[#This Row],[kms]]</f>
        <v>0</v>
      </c>
    </row>
    <row r="385" spans="2:17" hidden="1" x14ac:dyDescent="0.25">
      <c r="B385" s="3">
        <v>3</v>
      </c>
      <c r="C385">
        <v>2</v>
      </c>
      <c r="D385">
        <v>0</v>
      </c>
      <c r="E385" s="29" t="s">
        <v>203</v>
      </c>
      <c r="F385" s="3">
        <v>999</v>
      </c>
      <c r="G385" s="3">
        <v>999</v>
      </c>
      <c r="H385" s="29" t="s">
        <v>44</v>
      </c>
      <c r="J385" s="7">
        <v>0.98541666666666672</v>
      </c>
      <c r="K385" s="7">
        <v>0.98541666666666672</v>
      </c>
      <c r="L385" s="3">
        <f t="shared" si="10"/>
        <v>0</v>
      </c>
      <c r="M385" s="3">
        <f t="shared" si="11"/>
        <v>1</v>
      </c>
      <c r="N385" s="29">
        <f>_xlfn.MAXIFS($G$7:G384,$E$7:E384,detalhe_carro1[[#This Row],[Nó]],$B$7:B384,detalhe_carro1[[#This Row],[Numero Voltas]],$L$7:L384,1)</f>
        <v>905</v>
      </c>
      <c r="O385" s="3">
        <f>IF(OR(detalhe_carro1[[#This Row],[Ultima Chegada]]=0,detalhe_carro1[[#This Row],[Chegada]]=0),"",detalhe_carro1[[#This Row],[Hora Inicio]]-detalhe_carro1[[#This Row],[Ultima Chegada]])</f>
        <v>94</v>
      </c>
      <c r="P385" s="3">
        <f>IF(detalhe_carro1[[#This Row],[Tipo]]="Visitar Nó",((detalhe_carro1[[#This Row],[Hora Fim]]-detalhe_carro1[[#This Row],[Hora Inicio]])/60*velocidade_nos),0)</f>
        <v>0</v>
      </c>
      <c r="Q385" s="29">
        <f>detalhe_carro1[[#This Row],[Kms Nós]]+detalhe_carro1[[#This Row],[kms]]</f>
        <v>0</v>
      </c>
    </row>
    <row r="386" spans="2:17" hidden="1" x14ac:dyDescent="0.25">
      <c r="B386" s="3">
        <v>3</v>
      </c>
      <c r="C386">
        <v>2</v>
      </c>
      <c r="D386">
        <v>0</v>
      </c>
      <c r="E386" s="29" t="s">
        <v>203</v>
      </c>
      <c r="F386" s="3">
        <v>999</v>
      </c>
      <c r="G386" s="3">
        <v>999</v>
      </c>
      <c r="H386" s="29" t="s">
        <v>44</v>
      </c>
      <c r="J386" s="7">
        <v>0.98541666666666672</v>
      </c>
      <c r="K386" s="7">
        <v>0.98541666666666672</v>
      </c>
      <c r="L386" s="3">
        <f t="shared" si="10"/>
        <v>1</v>
      </c>
      <c r="M386" s="3">
        <f t="shared" si="11"/>
        <v>0</v>
      </c>
      <c r="N386" s="29">
        <f>_xlfn.MAXIFS($G$7:G385,$E$7:E385,detalhe_carro1[[#This Row],[Nó]],$B$7:B385,detalhe_carro1[[#This Row],[Numero Voltas]],$L$7:L385,1)</f>
        <v>905</v>
      </c>
      <c r="O386" s="3" t="str">
        <f>IF(OR(detalhe_carro1[[#This Row],[Ultima Chegada]]=0,detalhe_carro1[[#This Row],[Chegada]]=0),"",detalhe_carro1[[#This Row],[Hora Inicio]]-detalhe_carro1[[#This Row],[Ultima Chegada]])</f>
        <v/>
      </c>
      <c r="P386" s="3">
        <f>IF(detalhe_carro1[[#This Row],[Tipo]]="Visitar Nó",((detalhe_carro1[[#This Row],[Hora Fim]]-detalhe_carro1[[#This Row],[Hora Inicio]])/60*velocidade_nos),0)</f>
        <v>0</v>
      </c>
      <c r="Q386" s="29">
        <f>detalhe_carro1[[#This Row],[Kms Nós]]+detalhe_carro1[[#This Row],[kms]]</f>
        <v>0</v>
      </c>
    </row>
    <row r="387" spans="2:17" hidden="1" x14ac:dyDescent="0.25">
      <c r="B387" s="3">
        <v>3</v>
      </c>
      <c r="C387">
        <v>2</v>
      </c>
      <c r="D387">
        <v>1</v>
      </c>
      <c r="E387" s="29" t="s">
        <v>200</v>
      </c>
      <c r="F387" s="3">
        <v>1001</v>
      </c>
      <c r="G387" s="3">
        <v>1001</v>
      </c>
      <c r="H387" s="29" t="s">
        <v>44</v>
      </c>
      <c r="J387" s="7">
        <v>0.9868055555555556</v>
      </c>
      <c r="K387" s="7">
        <v>0.9868055555555556</v>
      </c>
      <c r="L387" s="3">
        <f t="shared" si="10"/>
        <v>1</v>
      </c>
      <c r="M387" s="3">
        <f t="shared" si="11"/>
        <v>1</v>
      </c>
      <c r="N387" s="29">
        <f>_xlfn.MAXIFS($G$7:G386,$E$7:E386,detalhe_carro1[[#This Row],[Nó]],$B$7:B386,detalhe_carro1[[#This Row],[Numero Voltas]],$L$7:L386,1)</f>
        <v>997</v>
      </c>
      <c r="O387" s="3">
        <f>IF(OR(detalhe_carro1[[#This Row],[Ultima Chegada]]=0,detalhe_carro1[[#This Row],[Chegada]]=0),"",detalhe_carro1[[#This Row],[Hora Inicio]]-detalhe_carro1[[#This Row],[Ultima Chegada]])</f>
        <v>4</v>
      </c>
      <c r="P387" s="3">
        <f>IF(detalhe_carro1[[#This Row],[Tipo]]="Visitar Nó",((detalhe_carro1[[#This Row],[Hora Fim]]-detalhe_carro1[[#This Row],[Hora Inicio]])/60*velocidade_nos),0)</f>
        <v>0</v>
      </c>
      <c r="Q387" s="29">
        <f>detalhe_carro1[[#This Row],[Kms Nós]]+detalhe_carro1[[#This Row],[kms]]</f>
        <v>0</v>
      </c>
    </row>
    <row r="388" spans="2:17" hidden="1" x14ac:dyDescent="0.25">
      <c r="B388" s="3">
        <v>3</v>
      </c>
      <c r="C388">
        <v>2</v>
      </c>
      <c r="D388">
        <v>2</v>
      </c>
      <c r="E388" s="29" t="s">
        <v>228</v>
      </c>
      <c r="F388" s="3">
        <v>1002</v>
      </c>
      <c r="G388" s="3">
        <v>1002</v>
      </c>
      <c r="H388" s="29" t="s">
        <v>44</v>
      </c>
      <c r="J388" s="7">
        <v>0.98750000000000004</v>
      </c>
      <c r="K388" s="7">
        <v>0.98750000000000004</v>
      </c>
      <c r="L388" s="3">
        <f t="shared" si="10"/>
        <v>1</v>
      </c>
      <c r="M388" s="3">
        <f t="shared" si="11"/>
        <v>1</v>
      </c>
      <c r="N388" s="29">
        <f>_xlfn.MAXIFS($G$7:G387,$E$7:E387,detalhe_carro1[[#This Row],[Nó]],$B$7:B387,detalhe_carro1[[#This Row],[Numero Voltas]],$L$7:L387,1)</f>
        <v>996</v>
      </c>
      <c r="O388" s="3">
        <f>IF(OR(detalhe_carro1[[#This Row],[Ultima Chegada]]=0,detalhe_carro1[[#This Row],[Chegada]]=0),"",detalhe_carro1[[#This Row],[Hora Inicio]]-detalhe_carro1[[#This Row],[Ultima Chegada]])</f>
        <v>6</v>
      </c>
      <c r="P388" s="3">
        <f>IF(detalhe_carro1[[#This Row],[Tipo]]="Visitar Nó",((detalhe_carro1[[#This Row],[Hora Fim]]-detalhe_carro1[[#This Row],[Hora Inicio]])/60*velocidade_nos),0)</f>
        <v>0</v>
      </c>
      <c r="Q388" s="29">
        <f>detalhe_carro1[[#This Row],[Kms Nós]]+detalhe_carro1[[#This Row],[kms]]</f>
        <v>0</v>
      </c>
    </row>
    <row r="389" spans="2:17" hidden="1" x14ac:dyDescent="0.25">
      <c r="B389" s="3">
        <v>3</v>
      </c>
      <c r="C389">
        <v>2</v>
      </c>
      <c r="D389">
        <v>3</v>
      </c>
      <c r="E389" s="29" t="s">
        <v>208</v>
      </c>
      <c r="F389" s="3">
        <v>1005</v>
      </c>
      <c r="G389" s="3">
        <v>1005</v>
      </c>
      <c r="H389" s="29" t="s">
        <v>44</v>
      </c>
      <c r="J389" s="7">
        <v>0.98958333333333337</v>
      </c>
      <c r="K389" s="7">
        <v>0.98958333333333337</v>
      </c>
      <c r="L389" s="3">
        <f t="shared" si="10"/>
        <v>1</v>
      </c>
      <c r="M389" s="3">
        <f t="shared" si="11"/>
        <v>1</v>
      </c>
      <c r="N389" s="29">
        <f>_xlfn.MAXIFS($G$7:G388,$E$7:E388,detalhe_carro1[[#This Row],[Nó]],$B$7:B388,detalhe_carro1[[#This Row],[Numero Voltas]],$L$7:L388,1)</f>
        <v>993</v>
      </c>
      <c r="O389" s="3">
        <f>IF(OR(detalhe_carro1[[#This Row],[Ultima Chegada]]=0,detalhe_carro1[[#This Row],[Chegada]]=0),"",detalhe_carro1[[#This Row],[Hora Inicio]]-detalhe_carro1[[#This Row],[Ultima Chegada]])</f>
        <v>12</v>
      </c>
      <c r="P389" s="3">
        <f>IF(detalhe_carro1[[#This Row],[Tipo]]="Visitar Nó",((detalhe_carro1[[#This Row],[Hora Fim]]-detalhe_carro1[[#This Row],[Hora Inicio]])/60*velocidade_nos),0)</f>
        <v>0</v>
      </c>
      <c r="Q389" s="29">
        <f>detalhe_carro1[[#This Row],[Kms Nós]]+detalhe_carro1[[#This Row],[kms]]</f>
        <v>0</v>
      </c>
    </row>
    <row r="390" spans="2:17" hidden="1" x14ac:dyDescent="0.25">
      <c r="B390" s="3">
        <v>3</v>
      </c>
      <c r="C390">
        <v>2</v>
      </c>
      <c r="D390">
        <v>4</v>
      </c>
      <c r="E390" s="29" t="s">
        <v>2</v>
      </c>
      <c r="F390" s="3">
        <v>1010</v>
      </c>
      <c r="G390" s="3">
        <v>1010</v>
      </c>
      <c r="H390" s="29" t="s">
        <v>44</v>
      </c>
      <c r="J390" s="7">
        <v>0.99305555555555558</v>
      </c>
      <c r="K390" s="7">
        <v>0.99305555555555558</v>
      </c>
      <c r="L390" s="3">
        <f t="shared" si="10"/>
        <v>0</v>
      </c>
      <c r="M390" s="3">
        <f t="shared" si="11"/>
        <v>1</v>
      </c>
      <c r="N390" s="29">
        <f>_xlfn.MAXIFS($G$7:G389,$E$7:E389,detalhe_carro1[[#This Row],[Nó]],$B$7:B389,detalhe_carro1[[#This Row],[Numero Voltas]],$L$7:L389,1)</f>
        <v>988</v>
      </c>
      <c r="O390" s="3">
        <f>IF(OR(detalhe_carro1[[#This Row],[Ultima Chegada]]=0,detalhe_carro1[[#This Row],[Chegada]]=0),"",detalhe_carro1[[#This Row],[Hora Inicio]]-detalhe_carro1[[#This Row],[Ultima Chegada]])</f>
        <v>22</v>
      </c>
      <c r="P390" s="3">
        <f>IF(detalhe_carro1[[#This Row],[Tipo]]="Visitar Nó",((detalhe_carro1[[#This Row],[Hora Fim]]-detalhe_carro1[[#This Row],[Hora Inicio]])/60*velocidade_nos),0)</f>
        <v>0</v>
      </c>
      <c r="Q390" s="29">
        <f>detalhe_carro1[[#This Row],[Kms Nós]]+detalhe_carro1[[#This Row],[kms]]</f>
        <v>0</v>
      </c>
    </row>
    <row r="391" spans="2:17" x14ac:dyDescent="0.25">
      <c r="B391" s="3">
        <v>3</v>
      </c>
      <c r="C391">
        <v>2</v>
      </c>
      <c r="D391">
        <v>4</v>
      </c>
      <c r="E391" s="29" t="s">
        <v>2</v>
      </c>
      <c r="F391" s="3">
        <v>1010</v>
      </c>
      <c r="G391" s="3">
        <v>1036</v>
      </c>
      <c r="H391" s="29" t="s">
        <v>45</v>
      </c>
      <c r="J391" s="7">
        <v>0.99305555555555558</v>
      </c>
      <c r="K391" s="7">
        <v>1.1111111111111112E-2</v>
      </c>
      <c r="L391" s="3">
        <f t="shared" ref="L391:L454" si="12">IF(E391&lt;&gt;E392,1,0)</f>
        <v>0</v>
      </c>
      <c r="M391" s="3">
        <f t="shared" ref="M391:M454" si="13">IF(E391&lt;&gt;E390,1,0)</f>
        <v>0</v>
      </c>
      <c r="N391" s="29">
        <f>_xlfn.MAXIFS($G$7:G390,$E$7:E390,detalhe_carro1[[#This Row],[Nó]],$B$7:B390,detalhe_carro1[[#This Row],[Numero Voltas]],$L$7:L390,1)</f>
        <v>988</v>
      </c>
      <c r="O391" s="3" t="str">
        <f>IF(OR(detalhe_carro1[[#This Row],[Ultima Chegada]]=0,detalhe_carro1[[#This Row],[Chegada]]=0),"",detalhe_carro1[[#This Row],[Hora Inicio]]-detalhe_carro1[[#This Row],[Ultima Chegada]])</f>
        <v/>
      </c>
      <c r="P391" s="3">
        <f>IF(detalhe_carro1[[#This Row],[Tipo]]="Visitar Nó",((detalhe_carro1[[#This Row],[Hora Fim]]-detalhe_carro1[[#This Row],[Hora Inicio]])/60*velocidade_nos),0)</f>
        <v>0</v>
      </c>
      <c r="Q391" s="29">
        <f>detalhe_carro1[[#This Row],[Kms Nós]]+detalhe_carro1[[#This Row],[kms]]</f>
        <v>0</v>
      </c>
    </row>
    <row r="392" spans="2:17" x14ac:dyDescent="0.25">
      <c r="B392" s="3">
        <v>3</v>
      </c>
      <c r="C392">
        <v>2</v>
      </c>
      <c r="D392">
        <v>4</v>
      </c>
      <c r="E392" s="29" t="s">
        <v>2</v>
      </c>
      <c r="F392" s="3">
        <v>1036</v>
      </c>
      <c r="G392" s="3">
        <v>1063</v>
      </c>
      <c r="H392" s="29" t="s">
        <v>45</v>
      </c>
      <c r="J392" s="7">
        <v>1.1111111111111112E-2</v>
      </c>
      <c r="K392" s="7">
        <v>2.9861111111111113E-2</v>
      </c>
      <c r="L392" s="3">
        <f t="shared" si="12"/>
        <v>1</v>
      </c>
      <c r="M392" s="3">
        <f t="shared" si="13"/>
        <v>0</v>
      </c>
      <c r="N392" s="29">
        <f>_xlfn.MAXIFS($G$7:G391,$E$7:E391,detalhe_carro1[[#This Row],[Nó]],$B$7:B391,detalhe_carro1[[#This Row],[Numero Voltas]],$L$7:L391,1)</f>
        <v>988</v>
      </c>
      <c r="O392" s="3" t="str">
        <f>IF(OR(detalhe_carro1[[#This Row],[Ultima Chegada]]=0,detalhe_carro1[[#This Row],[Chegada]]=0),"",detalhe_carro1[[#This Row],[Hora Inicio]]-detalhe_carro1[[#This Row],[Ultima Chegada]])</f>
        <v/>
      </c>
      <c r="P392" s="3">
        <f>IF(detalhe_carro1[[#This Row],[Tipo]]="Visitar Nó",((detalhe_carro1[[#This Row],[Hora Fim]]-detalhe_carro1[[#This Row],[Hora Inicio]])/60*velocidade_nos),0)</f>
        <v>0</v>
      </c>
      <c r="Q392" s="29">
        <f>detalhe_carro1[[#This Row],[Kms Nós]]+detalhe_carro1[[#This Row],[kms]]</f>
        <v>0</v>
      </c>
    </row>
    <row r="393" spans="2:17" hidden="1" x14ac:dyDescent="0.25">
      <c r="B393" s="3">
        <v>3</v>
      </c>
      <c r="C393">
        <v>2</v>
      </c>
      <c r="D393">
        <v>5</v>
      </c>
      <c r="E393" s="29" t="s">
        <v>215</v>
      </c>
      <c r="F393" s="3">
        <v>1066</v>
      </c>
      <c r="G393" s="3">
        <v>1066</v>
      </c>
      <c r="H393" s="29" t="s">
        <v>44</v>
      </c>
      <c r="J393" s="7">
        <v>3.1944444444444442E-2</v>
      </c>
      <c r="K393" s="7">
        <v>3.1944444444444442E-2</v>
      </c>
      <c r="L393" s="3">
        <f t="shared" si="12"/>
        <v>1</v>
      </c>
      <c r="M393" s="3">
        <f t="shared" si="13"/>
        <v>1</v>
      </c>
      <c r="N393" s="29">
        <f>_xlfn.MAXIFS($G$7:G392,$E$7:E392,detalhe_carro1[[#This Row],[Nó]],$B$7:B392,detalhe_carro1[[#This Row],[Numero Voltas]],$L$7:L392,1)</f>
        <v>957</v>
      </c>
      <c r="O393" s="3">
        <f>IF(OR(detalhe_carro1[[#This Row],[Ultima Chegada]]=0,detalhe_carro1[[#This Row],[Chegada]]=0),"",detalhe_carro1[[#This Row],[Hora Inicio]]-detalhe_carro1[[#This Row],[Ultima Chegada]])</f>
        <v>109</v>
      </c>
      <c r="P393" s="3">
        <f>IF(detalhe_carro1[[#This Row],[Tipo]]="Visitar Nó",((detalhe_carro1[[#This Row],[Hora Fim]]-detalhe_carro1[[#This Row],[Hora Inicio]])/60*velocidade_nos),0)</f>
        <v>0</v>
      </c>
      <c r="Q393" s="29">
        <f>detalhe_carro1[[#This Row],[Kms Nós]]+detalhe_carro1[[#This Row],[kms]]</f>
        <v>0</v>
      </c>
    </row>
    <row r="394" spans="2:17" hidden="1" x14ac:dyDescent="0.25">
      <c r="B394" s="3">
        <v>3</v>
      </c>
      <c r="C394">
        <v>2</v>
      </c>
      <c r="D394">
        <v>6</v>
      </c>
      <c r="E394" s="29" t="s">
        <v>300</v>
      </c>
      <c r="F394" s="3">
        <v>1070</v>
      </c>
      <c r="G394" s="3">
        <v>1070</v>
      </c>
      <c r="H394" s="29" t="s">
        <v>44</v>
      </c>
      <c r="J394" s="7">
        <v>3.4722222222222224E-2</v>
      </c>
      <c r="K394" s="7">
        <v>3.4722222222222224E-2</v>
      </c>
      <c r="L394" s="3">
        <f t="shared" si="12"/>
        <v>1</v>
      </c>
      <c r="M394" s="3">
        <f t="shared" si="13"/>
        <v>1</v>
      </c>
      <c r="N394" s="29">
        <f>_xlfn.MAXIFS($G$7:G393,$E$7:E393,detalhe_carro1[[#This Row],[Nó]],$B$7:B393,detalhe_carro1[[#This Row],[Numero Voltas]],$L$7:L393,1)</f>
        <v>953</v>
      </c>
      <c r="O394" s="3">
        <f>IF(OR(detalhe_carro1[[#This Row],[Ultima Chegada]]=0,detalhe_carro1[[#This Row],[Chegada]]=0),"",detalhe_carro1[[#This Row],[Hora Inicio]]-detalhe_carro1[[#This Row],[Ultima Chegada]])</f>
        <v>117</v>
      </c>
      <c r="P394" s="3">
        <f>IF(detalhe_carro1[[#This Row],[Tipo]]="Visitar Nó",((detalhe_carro1[[#This Row],[Hora Fim]]-detalhe_carro1[[#This Row],[Hora Inicio]])/60*velocidade_nos),0)</f>
        <v>0</v>
      </c>
      <c r="Q394" s="29">
        <f>detalhe_carro1[[#This Row],[Kms Nós]]+detalhe_carro1[[#This Row],[kms]]</f>
        <v>0</v>
      </c>
    </row>
    <row r="395" spans="2:17" hidden="1" x14ac:dyDescent="0.25">
      <c r="B395" s="3">
        <v>3</v>
      </c>
      <c r="C395">
        <v>2</v>
      </c>
      <c r="D395">
        <v>7</v>
      </c>
      <c r="E395" s="29" t="s">
        <v>301</v>
      </c>
      <c r="F395" s="3">
        <v>1073</v>
      </c>
      <c r="G395" s="3">
        <v>1073</v>
      </c>
      <c r="H395" s="29" t="s">
        <v>44</v>
      </c>
      <c r="J395" s="7">
        <v>3.6805555555555557E-2</v>
      </c>
      <c r="K395" s="7">
        <v>3.6805555555555557E-2</v>
      </c>
      <c r="L395" s="3">
        <f t="shared" si="12"/>
        <v>1</v>
      </c>
      <c r="M395" s="3">
        <f t="shared" si="13"/>
        <v>1</v>
      </c>
      <c r="N395" s="29">
        <f>_xlfn.MAXIFS($G$7:G394,$E$7:E394,detalhe_carro1[[#This Row],[Nó]],$B$7:B394,detalhe_carro1[[#This Row],[Numero Voltas]],$L$7:L394,1)</f>
        <v>950</v>
      </c>
      <c r="O395" s="3">
        <f>IF(OR(detalhe_carro1[[#This Row],[Ultima Chegada]]=0,detalhe_carro1[[#This Row],[Chegada]]=0),"",detalhe_carro1[[#This Row],[Hora Inicio]]-detalhe_carro1[[#This Row],[Ultima Chegada]])</f>
        <v>123</v>
      </c>
      <c r="P395" s="3">
        <f>IF(detalhe_carro1[[#This Row],[Tipo]]="Visitar Nó",((detalhe_carro1[[#This Row],[Hora Fim]]-detalhe_carro1[[#This Row],[Hora Inicio]])/60*velocidade_nos),0)</f>
        <v>0</v>
      </c>
      <c r="Q395" s="29">
        <f>detalhe_carro1[[#This Row],[Kms Nós]]+detalhe_carro1[[#This Row],[kms]]</f>
        <v>0</v>
      </c>
    </row>
    <row r="396" spans="2:17" hidden="1" x14ac:dyDescent="0.25">
      <c r="B396" s="3">
        <v>3</v>
      </c>
      <c r="C396">
        <v>2</v>
      </c>
      <c r="D396">
        <v>8</v>
      </c>
      <c r="E396" s="29" t="s">
        <v>302</v>
      </c>
      <c r="F396" s="3">
        <v>1079</v>
      </c>
      <c r="G396" s="3">
        <v>1079</v>
      </c>
      <c r="H396" s="29" t="s">
        <v>44</v>
      </c>
      <c r="J396" s="7">
        <v>4.0972222222222222E-2</v>
      </c>
      <c r="K396" s="7">
        <v>4.0972222222222222E-2</v>
      </c>
      <c r="L396" s="3">
        <f t="shared" si="12"/>
        <v>1</v>
      </c>
      <c r="M396" s="3">
        <f t="shared" si="13"/>
        <v>1</v>
      </c>
      <c r="N396" s="29">
        <f>_xlfn.MAXIFS($G$7:G395,$E$7:E395,detalhe_carro1[[#This Row],[Nó]],$B$7:B395,detalhe_carro1[[#This Row],[Numero Voltas]],$L$7:L395,1)</f>
        <v>944</v>
      </c>
      <c r="O396" s="3">
        <f>IF(OR(detalhe_carro1[[#This Row],[Ultima Chegada]]=0,detalhe_carro1[[#This Row],[Chegada]]=0),"",detalhe_carro1[[#This Row],[Hora Inicio]]-detalhe_carro1[[#This Row],[Ultima Chegada]])</f>
        <v>135</v>
      </c>
      <c r="P396" s="3">
        <f>IF(detalhe_carro1[[#This Row],[Tipo]]="Visitar Nó",((detalhe_carro1[[#This Row],[Hora Fim]]-detalhe_carro1[[#This Row],[Hora Inicio]])/60*velocidade_nos),0)</f>
        <v>0</v>
      </c>
      <c r="Q396" s="29">
        <f>detalhe_carro1[[#This Row],[Kms Nós]]+detalhe_carro1[[#This Row],[kms]]</f>
        <v>0</v>
      </c>
    </row>
    <row r="397" spans="2:17" hidden="1" x14ac:dyDescent="0.25">
      <c r="B397" s="3">
        <v>3</v>
      </c>
      <c r="C397">
        <v>2</v>
      </c>
      <c r="D397">
        <v>9</v>
      </c>
      <c r="E397" s="29" t="s">
        <v>303</v>
      </c>
      <c r="F397" s="3">
        <v>1085</v>
      </c>
      <c r="G397" s="3">
        <v>1085</v>
      </c>
      <c r="H397" s="29" t="s">
        <v>44</v>
      </c>
      <c r="J397" s="7">
        <v>4.5138888888888888E-2</v>
      </c>
      <c r="K397" s="7">
        <v>4.5138888888888888E-2</v>
      </c>
      <c r="L397" s="3">
        <f t="shared" si="12"/>
        <v>0</v>
      </c>
      <c r="M397" s="3">
        <f t="shared" si="13"/>
        <v>1</v>
      </c>
      <c r="N397" s="29">
        <f>_xlfn.MAXIFS($G$7:G396,$E$7:E396,detalhe_carro1[[#This Row],[Nó]],$B$7:B396,detalhe_carro1[[#This Row],[Numero Voltas]],$L$7:L396,1)</f>
        <v>938</v>
      </c>
      <c r="O397" s="3">
        <f>IF(OR(detalhe_carro1[[#This Row],[Ultima Chegada]]=0,detalhe_carro1[[#This Row],[Chegada]]=0),"",detalhe_carro1[[#This Row],[Hora Inicio]]-detalhe_carro1[[#This Row],[Ultima Chegada]])</f>
        <v>147</v>
      </c>
      <c r="P397" s="3">
        <f>IF(detalhe_carro1[[#This Row],[Tipo]]="Visitar Nó",((detalhe_carro1[[#This Row],[Hora Fim]]-detalhe_carro1[[#This Row],[Hora Inicio]])/60*velocidade_nos),0)</f>
        <v>0</v>
      </c>
      <c r="Q397" s="29">
        <f>detalhe_carro1[[#This Row],[Kms Nós]]+detalhe_carro1[[#This Row],[kms]]</f>
        <v>0</v>
      </c>
    </row>
    <row r="398" spans="2:17" hidden="1" x14ac:dyDescent="0.25">
      <c r="B398" s="3">
        <v>3</v>
      </c>
      <c r="C398">
        <v>2</v>
      </c>
      <c r="D398">
        <v>9</v>
      </c>
      <c r="E398" s="29" t="s">
        <v>303</v>
      </c>
      <c r="F398" s="3">
        <v>1085</v>
      </c>
      <c r="G398" s="3">
        <v>1085</v>
      </c>
      <c r="H398" s="29" t="s">
        <v>44</v>
      </c>
      <c r="J398" s="7">
        <v>4.5138888888888888E-2</v>
      </c>
      <c r="K398" s="7">
        <v>4.5138888888888888E-2</v>
      </c>
      <c r="L398" s="3">
        <f t="shared" si="12"/>
        <v>0</v>
      </c>
      <c r="M398" s="3">
        <f t="shared" si="13"/>
        <v>0</v>
      </c>
      <c r="N398" s="29">
        <f>_xlfn.MAXIFS($G$7:G397,$E$7:E397,detalhe_carro1[[#This Row],[Nó]],$B$7:B397,detalhe_carro1[[#This Row],[Numero Voltas]],$L$7:L397,1)</f>
        <v>938</v>
      </c>
      <c r="O398" s="3" t="str">
        <f>IF(OR(detalhe_carro1[[#This Row],[Ultima Chegada]]=0,detalhe_carro1[[#This Row],[Chegada]]=0),"",detalhe_carro1[[#This Row],[Hora Inicio]]-detalhe_carro1[[#This Row],[Ultima Chegada]])</f>
        <v/>
      </c>
      <c r="P398" s="3">
        <f>IF(detalhe_carro1[[#This Row],[Tipo]]="Visitar Nó",((detalhe_carro1[[#This Row],[Hora Fim]]-detalhe_carro1[[#This Row],[Hora Inicio]])/60*velocidade_nos),0)</f>
        <v>0</v>
      </c>
      <c r="Q398" s="29">
        <f>detalhe_carro1[[#This Row],[Kms Nós]]+detalhe_carro1[[#This Row],[kms]]</f>
        <v>0</v>
      </c>
    </row>
    <row r="399" spans="2:17" hidden="1" x14ac:dyDescent="0.25">
      <c r="B399" s="3">
        <v>3</v>
      </c>
      <c r="C399">
        <v>2</v>
      </c>
      <c r="D399">
        <v>9</v>
      </c>
      <c r="E399" s="29" t="s">
        <v>303</v>
      </c>
      <c r="F399" s="3">
        <v>1085</v>
      </c>
      <c r="G399" s="3">
        <v>1095</v>
      </c>
      <c r="H399" s="29" t="s">
        <v>43</v>
      </c>
      <c r="J399" s="7">
        <v>4.5138888888888888E-2</v>
      </c>
      <c r="K399" s="7">
        <v>5.2083333333333336E-2</v>
      </c>
      <c r="L399" s="3">
        <f t="shared" si="12"/>
        <v>1</v>
      </c>
      <c r="M399" s="3">
        <f t="shared" si="13"/>
        <v>0</v>
      </c>
      <c r="N399" s="29">
        <f>_xlfn.MAXIFS($G$7:G398,$E$7:E398,detalhe_carro1[[#This Row],[Nó]],$B$7:B398,detalhe_carro1[[#This Row],[Numero Voltas]],$L$7:L398,1)</f>
        <v>938</v>
      </c>
      <c r="O399" s="3" t="str">
        <f>IF(OR(detalhe_carro1[[#This Row],[Ultima Chegada]]=0,detalhe_carro1[[#This Row],[Chegada]]=0),"",detalhe_carro1[[#This Row],[Hora Inicio]]-detalhe_carro1[[#This Row],[Ultima Chegada]])</f>
        <v/>
      </c>
      <c r="P399" s="3">
        <f>IF(detalhe_carro1[[#This Row],[Tipo]]="Visitar Nó",((detalhe_carro1[[#This Row],[Hora Fim]]-detalhe_carro1[[#This Row],[Hora Inicio]])/60*velocidade_nos),0)</f>
        <v>5</v>
      </c>
      <c r="Q399" s="29">
        <f>detalhe_carro1[[#This Row],[Kms Nós]]+detalhe_carro1[[#This Row],[kms]]</f>
        <v>5</v>
      </c>
    </row>
    <row r="400" spans="2:17" hidden="1" x14ac:dyDescent="0.25">
      <c r="B400" s="3">
        <v>3</v>
      </c>
      <c r="C400">
        <v>2</v>
      </c>
      <c r="D400">
        <v>8</v>
      </c>
      <c r="E400" s="29" t="s">
        <v>302</v>
      </c>
      <c r="F400" s="3">
        <v>1101</v>
      </c>
      <c r="G400" s="3">
        <v>1101</v>
      </c>
      <c r="H400" s="29" t="s">
        <v>44</v>
      </c>
      <c r="J400" s="7">
        <v>5.6250000000000001E-2</v>
      </c>
      <c r="K400" s="7">
        <v>5.6250000000000001E-2</v>
      </c>
      <c r="L400" s="3">
        <f t="shared" si="12"/>
        <v>0</v>
      </c>
      <c r="M400" s="3">
        <f t="shared" si="13"/>
        <v>1</v>
      </c>
      <c r="N400" s="29">
        <f>_xlfn.MAXIFS($G$7:G399,$E$7:E399,detalhe_carro1[[#This Row],[Nó]],$B$7:B399,detalhe_carro1[[#This Row],[Numero Voltas]],$L$7:L399,1)</f>
        <v>1079</v>
      </c>
      <c r="O400" s="3">
        <f>IF(OR(detalhe_carro1[[#This Row],[Ultima Chegada]]=0,detalhe_carro1[[#This Row],[Chegada]]=0),"",detalhe_carro1[[#This Row],[Hora Inicio]]-detalhe_carro1[[#This Row],[Ultima Chegada]])</f>
        <v>22</v>
      </c>
      <c r="P400" s="3">
        <f>IF(detalhe_carro1[[#This Row],[Tipo]]="Visitar Nó",((detalhe_carro1[[#This Row],[Hora Fim]]-detalhe_carro1[[#This Row],[Hora Inicio]])/60*velocidade_nos),0)</f>
        <v>0</v>
      </c>
      <c r="Q400" s="29">
        <f>detalhe_carro1[[#This Row],[Kms Nós]]+detalhe_carro1[[#This Row],[kms]]</f>
        <v>0</v>
      </c>
    </row>
    <row r="401" spans="2:17" hidden="1" x14ac:dyDescent="0.25">
      <c r="B401" s="3">
        <v>3</v>
      </c>
      <c r="C401">
        <v>2</v>
      </c>
      <c r="D401">
        <v>8</v>
      </c>
      <c r="E401" s="29" t="s">
        <v>302</v>
      </c>
      <c r="F401" s="3">
        <v>1101</v>
      </c>
      <c r="G401" s="3">
        <v>1161</v>
      </c>
      <c r="H401" s="29" t="s">
        <v>47</v>
      </c>
      <c r="J401" s="7">
        <v>5.6250000000000001E-2</v>
      </c>
      <c r="K401" s="7">
        <v>9.7916666666666666E-2</v>
      </c>
      <c r="L401" s="3">
        <f t="shared" si="12"/>
        <v>1</v>
      </c>
      <c r="M401" s="3">
        <f t="shared" si="13"/>
        <v>0</v>
      </c>
      <c r="N401" s="29">
        <f>_xlfn.MAXIFS($G$7:G400,$E$7:E400,detalhe_carro1[[#This Row],[Nó]],$B$7:B400,detalhe_carro1[[#This Row],[Numero Voltas]],$L$7:L400,1)</f>
        <v>1079</v>
      </c>
      <c r="O401" s="3" t="str">
        <f>IF(OR(detalhe_carro1[[#This Row],[Ultima Chegada]]=0,detalhe_carro1[[#This Row],[Chegada]]=0),"",detalhe_carro1[[#This Row],[Hora Inicio]]-detalhe_carro1[[#This Row],[Ultima Chegada]])</f>
        <v/>
      </c>
      <c r="P401" s="3">
        <f>IF(detalhe_carro1[[#This Row],[Tipo]]="Visitar Nó",((detalhe_carro1[[#This Row],[Hora Fim]]-detalhe_carro1[[#This Row],[Hora Inicio]])/60*velocidade_nos),0)</f>
        <v>0</v>
      </c>
      <c r="Q401" s="29">
        <f>detalhe_carro1[[#This Row],[Kms Nós]]+detalhe_carro1[[#This Row],[kms]]</f>
        <v>0</v>
      </c>
    </row>
    <row r="402" spans="2:17" hidden="1" x14ac:dyDescent="0.25">
      <c r="B402" s="3">
        <v>3</v>
      </c>
      <c r="C402">
        <v>2</v>
      </c>
      <c r="D402">
        <v>7</v>
      </c>
      <c r="E402" s="29" t="s">
        <v>301</v>
      </c>
      <c r="F402" s="3">
        <v>1167</v>
      </c>
      <c r="G402" s="3">
        <v>1167</v>
      </c>
      <c r="H402" s="29" t="s">
        <v>44</v>
      </c>
      <c r="J402" s="7">
        <v>0.10208333333333333</v>
      </c>
      <c r="K402" s="7">
        <v>0.10208333333333333</v>
      </c>
      <c r="L402" s="3">
        <f t="shared" si="12"/>
        <v>0</v>
      </c>
      <c r="M402" s="3">
        <f t="shared" si="13"/>
        <v>1</v>
      </c>
      <c r="N402" s="29">
        <f>_xlfn.MAXIFS($G$7:G401,$E$7:E401,detalhe_carro1[[#This Row],[Nó]],$B$7:B401,detalhe_carro1[[#This Row],[Numero Voltas]],$L$7:L401,1)</f>
        <v>1073</v>
      </c>
      <c r="O402" s="3">
        <f>IF(OR(detalhe_carro1[[#This Row],[Ultima Chegada]]=0,detalhe_carro1[[#This Row],[Chegada]]=0),"",detalhe_carro1[[#This Row],[Hora Inicio]]-detalhe_carro1[[#This Row],[Ultima Chegada]])</f>
        <v>94</v>
      </c>
      <c r="P402" s="3">
        <f>IF(detalhe_carro1[[#This Row],[Tipo]]="Visitar Nó",((detalhe_carro1[[#This Row],[Hora Fim]]-detalhe_carro1[[#This Row],[Hora Inicio]])/60*velocidade_nos),0)</f>
        <v>0</v>
      </c>
      <c r="Q402" s="29">
        <f>detalhe_carro1[[#This Row],[Kms Nós]]+detalhe_carro1[[#This Row],[kms]]</f>
        <v>0</v>
      </c>
    </row>
    <row r="403" spans="2:17" hidden="1" x14ac:dyDescent="0.25">
      <c r="B403" s="3">
        <v>3</v>
      </c>
      <c r="C403">
        <v>2</v>
      </c>
      <c r="D403">
        <v>7</v>
      </c>
      <c r="E403" s="29" t="s">
        <v>301</v>
      </c>
      <c r="F403" s="3">
        <v>1167</v>
      </c>
      <c r="G403" s="3">
        <v>1177</v>
      </c>
      <c r="H403" s="29" t="s">
        <v>43</v>
      </c>
      <c r="J403" s="7">
        <v>0.10208333333333333</v>
      </c>
      <c r="K403" s="7">
        <v>0.10902777777777778</v>
      </c>
      <c r="L403" s="3">
        <f t="shared" si="12"/>
        <v>1</v>
      </c>
      <c r="M403" s="3">
        <f t="shared" si="13"/>
        <v>0</v>
      </c>
      <c r="N403" s="29">
        <f>_xlfn.MAXIFS($G$7:G402,$E$7:E402,detalhe_carro1[[#This Row],[Nó]],$B$7:B402,detalhe_carro1[[#This Row],[Numero Voltas]],$L$7:L402,1)</f>
        <v>1073</v>
      </c>
      <c r="O403" s="3" t="str">
        <f>IF(OR(detalhe_carro1[[#This Row],[Ultima Chegada]]=0,detalhe_carro1[[#This Row],[Chegada]]=0),"",detalhe_carro1[[#This Row],[Hora Inicio]]-detalhe_carro1[[#This Row],[Ultima Chegada]])</f>
        <v/>
      </c>
      <c r="P403" s="3">
        <f>IF(detalhe_carro1[[#This Row],[Tipo]]="Visitar Nó",((detalhe_carro1[[#This Row],[Hora Fim]]-detalhe_carro1[[#This Row],[Hora Inicio]])/60*velocidade_nos),0)</f>
        <v>5</v>
      </c>
      <c r="Q403" s="29">
        <f>detalhe_carro1[[#This Row],[Kms Nós]]+detalhe_carro1[[#This Row],[kms]]</f>
        <v>5</v>
      </c>
    </row>
    <row r="404" spans="2:17" hidden="1" x14ac:dyDescent="0.25">
      <c r="B404" s="3">
        <v>3</v>
      </c>
      <c r="C404">
        <v>2</v>
      </c>
      <c r="D404">
        <v>6</v>
      </c>
      <c r="E404" s="29" t="s">
        <v>300</v>
      </c>
      <c r="F404" s="3">
        <v>1180</v>
      </c>
      <c r="G404" s="3">
        <v>1180</v>
      </c>
      <c r="H404" s="29" t="s">
        <v>44</v>
      </c>
      <c r="J404" s="7">
        <v>0.1111111111111111</v>
      </c>
      <c r="K404" s="7">
        <v>0.1111111111111111</v>
      </c>
      <c r="L404" s="3">
        <f t="shared" si="12"/>
        <v>1</v>
      </c>
      <c r="M404" s="3">
        <f t="shared" si="13"/>
        <v>1</v>
      </c>
      <c r="N404" s="29">
        <f>_xlfn.MAXIFS($G$7:G403,$E$7:E403,detalhe_carro1[[#This Row],[Nó]],$B$7:B403,detalhe_carro1[[#This Row],[Numero Voltas]],$L$7:L403,1)</f>
        <v>1070</v>
      </c>
      <c r="O404" s="3">
        <f>IF(OR(detalhe_carro1[[#This Row],[Ultima Chegada]]=0,detalhe_carro1[[#This Row],[Chegada]]=0),"",detalhe_carro1[[#This Row],[Hora Inicio]]-detalhe_carro1[[#This Row],[Ultima Chegada]])</f>
        <v>110</v>
      </c>
      <c r="P404" s="3">
        <f>IF(detalhe_carro1[[#This Row],[Tipo]]="Visitar Nó",((detalhe_carro1[[#This Row],[Hora Fim]]-detalhe_carro1[[#This Row],[Hora Inicio]])/60*velocidade_nos),0)</f>
        <v>0</v>
      </c>
      <c r="Q404" s="29">
        <f>detalhe_carro1[[#This Row],[Kms Nós]]+detalhe_carro1[[#This Row],[kms]]</f>
        <v>0</v>
      </c>
    </row>
    <row r="405" spans="2:17" hidden="1" x14ac:dyDescent="0.25">
      <c r="B405" s="3">
        <v>3</v>
      </c>
      <c r="C405">
        <v>2</v>
      </c>
      <c r="D405">
        <v>5</v>
      </c>
      <c r="E405" s="29" t="s">
        <v>215</v>
      </c>
      <c r="F405" s="3">
        <v>1184</v>
      </c>
      <c r="G405" s="3">
        <v>1184</v>
      </c>
      <c r="H405" s="29" t="s">
        <v>44</v>
      </c>
      <c r="J405" s="7">
        <v>0.11388888888888889</v>
      </c>
      <c r="K405" s="7">
        <v>0.11388888888888889</v>
      </c>
      <c r="L405" s="3">
        <f t="shared" si="12"/>
        <v>1</v>
      </c>
      <c r="M405" s="3">
        <f t="shared" si="13"/>
        <v>1</v>
      </c>
      <c r="N405" s="29">
        <f>_xlfn.MAXIFS($G$7:G404,$E$7:E404,detalhe_carro1[[#This Row],[Nó]],$B$7:B404,detalhe_carro1[[#This Row],[Numero Voltas]],$L$7:L404,1)</f>
        <v>1066</v>
      </c>
      <c r="O405" s="3">
        <f>IF(OR(detalhe_carro1[[#This Row],[Ultima Chegada]]=0,detalhe_carro1[[#This Row],[Chegada]]=0),"",detalhe_carro1[[#This Row],[Hora Inicio]]-detalhe_carro1[[#This Row],[Ultima Chegada]])</f>
        <v>118</v>
      </c>
      <c r="P405" s="3">
        <f>IF(detalhe_carro1[[#This Row],[Tipo]]="Visitar Nó",((detalhe_carro1[[#This Row],[Hora Fim]]-detalhe_carro1[[#This Row],[Hora Inicio]])/60*velocidade_nos),0)</f>
        <v>0</v>
      </c>
      <c r="Q405" s="29">
        <f>detalhe_carro1[[#This Row],[Kms Nós]]+detalhe_carro1[[#This Row],[kms]]</f>
        <v>0</v>
      </c>
    </row>
    <row r="406" spans="2:17" hidden="1" x14ac:dyDescent="0.25">
      <c r="B406" s="3">
        <v>3</v>
      </c>
      <c r="C406">
        <v>2</v>
      </c>
      <c r="D406">
        <v>4</v>
      </c>
      <c r="E406" s="29" t="s">
        <v>2</v>
      </c>
      <c r="F406" s="3">
        <v>1187</v>
      </c>
      <c r="G406" s="3">
        <v>1187</v>
      </c>
      <c r="H406" s="29" t="s">
        <v>44</v>
      </c>
      <c r="J406" s="7">
        <v>0.11597222222222223</v>
      </c>
      <c r="K406" s="7">
        <v>0.11597222222222223</v>
      </c>
      <c r="L406" s="3">
        <f t="shared" si="12"/>
        <v>1</v>
      </c>
      <c r="M406" s="3">
        <f t="shared" si="13"/>
        <v>1</v>
      </c>
      <c r="N406" s="29">
        <f>_xlfn.MAXIFS($G$7:G405,$E$7:E405,detalhe_carro1[[#This Row],[Nó]],$B$7:B405,detalhe_carro1[[#This Row],[Numero Voltas]],$L$7:L405,1)</f>
        <v>1063</v>
      </c>
      <c r="O406" s="3">
        <f>IF(OR(detalhe_carro1[[#This Row],[Ultima Chegada]]=0,detalhe_carro1[[#This Row],[Chegada]]=0),"",detalhe_carro1[[#This Row],[Hora Inicio]]-detalhe_carro1[[#This Row],[Ultima Chegada]])</f>
        <v>124</v>
      </c>
      <c r="P406" s="3">
        <f>IF(detalhe_carro1[[#This Row],[Tipo]]="Visitar Nó",((detalhe_carro1[[#This Row],[Hora Fim]]-detalhe_carro1[[#This Row],[Hora Inicio]])/60*velocidade_nos),0)</f>
        <v>0</v>
      </c>
      <c r="Q406" s="29">
        <f>detalhe_carro1[[#This Row],[Kms Nós]]+detalhe_carro1[[#This Row],[kms]]</f>
        <v>0</v>
      </c>
    </row>
    <row r="407" spans="2:17" hidden="1" x14ac:dyDescent="0.25">
      <c r="B407" s="3">
        <v>3</v>
      </c>
      <c r="C407">
        <v>2</v>
      </c>
      <c r="D407">
        <v>3</v>
      </c>
      <c r="E407" s="29" t="s">
        <v>208</v>
      </c>
      <c r="F407" s="3">
        <v>1192</v>
      </c>
      <c r="G407" s="3">
        <v>1192</v>
      </c>
      <c r="H407" s="29" t="s">
        <v>44</v>
      </c>
      <c r="J407" s="7">
        <v>0.11944444444444445</v>
      </c>
      <c r="K407" s="7">
        <v>0.11944444444444445</v>
      </c>
      <c r="L407" s="3">
        <f t="shared" si="12"/>
        <v>1</v>
      </c>
      <c r="M407" s="3">
        <f t="shared" si="13"/>
        <v>1</v>
      </c>
      <c r="N407" s="29">
        <f>_xlfn.MAXIFS($G$7:G406,$E$7:E406,detalhe_carro1[[#This Row],[Nó]],$B$7:B406,detalhe_carro1[[#This Row],[Numero Voltas]],$L$7:L406,1)</f>
        <v>1005</v>
      </c>
      <c r="O407" s="3">
        <f>IF(OR(detalhe_carro1[[#This Row],[Ultima Chegada]]=0,detalhe_carro1[[#This Row],[Chegada]]=0),"",detalhe_carro1[[#This Row],[Hora Inicio]]-detalhe_carro1[[#This Row],[Ultima Chegada]])</f>
        <v>187</v>
      </c>
      <c r="P407" s="3">
        <f>IF(detalhe_carro1[[#This Row],[Tipo]]="Visitar Nó",((detalhe_carro1[[#This Row],[Hora Fim]]-detalhe_carro1[[#This Row],[Hora Inicio]])/60*velocidade_nos),0)</f>
        <v>0</v>
      </c>
      <c r="Q407" s="29">
        <f>detalhe_carro1[[#This Row],[Kms Nós]]+detalhe_carro1[[#This Row],[kms]]</f>
        <v>0</v>
      </c>
    </row>
    <row r="408" spans="2:17" hidden="1" x14ac:dyDescent="0.25">
      <c r="B408" s="3">
        <v>3</v>
      </c>
      <c r="C408">
        <v>2</v>
      </c>
      <c r="D408">
        <v>2</v>
      </c>
      <c r="E408" s="29" t="s">
        <v>228</v>
      </c>
      <c r="F408" s="3">
        <v>1195</v>
      </c>
      <c r="G408" s="3">
        <v>1195</v>
      </c>
      <c r="H408" s="29" t="s">
        <v>44</v>
      </c>
      <c r="J408" s="7">
        <v>0.12152777777777778</v>
      </c>
      <c r="K408" s="7">
        <v>0.12152777777777778</v>
      </c>
      <c r="L408" s="3">
        <f t="shared" si="12"/>
        <v>0</v>
      </c>
      <c r="M408" s="3">
        <f t="shared" si="13"/>
        <v>1</v>
      </c>
      <c r="N408" s="29">
        <f>_xlfn.MAXIFS($G$7:G407,$E$7:E407,detalhe_carro1[[#This Row],[Nó]],$B$7:B407,detalhe_carro1[[#This Row],[Numero Voltas]],$L$7:L407,1)</f>
        <v>1002</v>
      </c>
      <c r="O408" s="3">
        <f>IF(OR(detalhe_carro1[[#This Row],[Ultima Chegada]]=0,detalhe_carro1[[#This Row],[Chegada]]=0),"",detalhe_carro1[[#This Row],[Hora Inicio]]-detalhe_carro1[[#This Row],[Ultima Chegada]])</f>
        <v>193</v>
      </c>
      <c r="P408" s="3">
        <f>IF(detalhe_carro1[[#This Row],[Tipo]]="Visitar Nó",((detalhe_carro1[[#This Row],[Hora Fim]]-detalhe_carro1[[#This Row],[Hora Inicio]])/60*velocidade_nos),0)</f>
        <v>0</v>
      </c>
      <c r="Q408" s="29">
        <f>detalhe_carro1[[#This Row],[Kms Nós]]+detalhe_carro1[[#This Row],[kms]]</f>
        <v>0</v>
      </c>
    </row>
    <row r="409" spans="2:17" hidden="1" x14ac:dyDescent="0.25">
      <c r="B409" s="3">
        <v>3</v>
      </c>
      <c r="C409">
        <v>2</v>
      </c>
      <c r="D409">
        <v>2</v>
      </c>
      <c r="E409" s="29" t="s">
        <v>228</v>
      </c>
      <c r="F409" s="3">
        <v>1195</v>
      </c>
      <c r="G409" s="3">
        <v>1213</v>
      </c>
      <c r="H409" s="29" t="s">
        <v>43</v>
      </c>
      <c r="J409" s="7">
        <v>0.12152777777777778</v>
      </c>
      <c r="K409" s="7">
        <v>0.13402777777777777</v>
      </c>
      <c r="L409" s="3">
        <f t="shared" si="12"/>
        <v>1</v>
      </c>
      <c r="M409" s="3">
        <f t="shared" si="13"/>
        <v>0</v>
      </c>
      <c r="N409" s="29">
        <f>_xlfn.MAXIFS($G$7:G408,$E$7:E408,detalhe_carro1[[#This Row],[Nó]],$B$7:B408,detalhe_carro1[[#This Row],[Numero Voltas]],$L$7:L408,1)</f>
        <v>1002</v>
      </c>
      <c r="O409" s="3" t="str">
        <f>IF(OR(detalhe_carro1[[#This Row],[Ultima Chegada]]=0,detalhe_carro1[[#This Row],[Chegada]]=0),"",detalhe_carro1[[#This Row],[Hora Inicio]]-detalhe_carro1[[#This Row],[Ultima Chegada]])</f>
        <v/>
      </c>
      <c r="P409" s="3">
        <f>IF(detalhe_carro1[[#This Row],[Tipo]]="Visitar Nó",((detalhe_carro1[[#This Row],[Hora Fim]]-detalhe_carro1[[#This Row],[Hora Inicio]])/60*velocidade_nos),0)</f>
        <v>9</v>
      </c>
      <c r="Q409" s="29">
        <f>detalhe_carro1[[#This Row],[Kms Nós]]+detalhe_carro1[[#This Row],[kms]]</f>
        <v>9</v>
      </c>
    </row>
    <row r="410" spans="2:17" hidden="1" x14ac:dyDescent="0.25">
      <c r="B410" s="3">
        <v>3</v>
      </c>
      <c r="C410">
        <v>2</v>
      </c>
      <c r="D410">
        <v>1</v>
      </c>
      <c r="E410" s="29" t="s">
        <v>200</v>
      </c>
      <c r="F410" s="3">
        <v>1214</v>
      </c>
      <c r="G410" s="3">
        <v>1214</v>
      </c>
      <c r="H410" s="29" t="s">
        <v>44</v>
      </c>
      <c r="J410" s="7">
        <v>0.13472222222222222</v>
      </c>
      <c r="K410" s="7">
        <v>0.13472222222222222</v>
      </c>
      <c r="L410" s="3">
        <f t="shared" si="12"/>
        <v>1</v>
      </c>
      <c r="M410" s="3">
        <f t="shared" si="13"/>
        <v>1</v>
      </c>
      <c r="N410" s="29">
        <f>_xlfn.MAXIFS($G$7:G409,$E$7:E409,detalhe_carro1[[#This Row],[Nó]],$B$7:B409,detalhe_carro1[[#This Row],[Numero Voltas]],$L$7:L409,1)</f>
        <v>1001</v>
      </c>
      <c r="O410" s="3">
        <f>IF(OR(detalhe_carro1[[#This Row],[Ultima Chegada]]=0,detalhe_carro1[[#This Row],[Chegada]]=0),"",detalhe_carro1[[#This Row],[Hora Inicio]]-detalhe_carro1[[#This Row],[Ultima Chegada]])</f>
        <v>213</v>
      </c>
      <c r="P410" s="3">
        <f>IF(detalhe_carro1[[#This Row],[Tipo]]="Visitar Nó",((detalhe_carro1[[#This Row],[Hora Fim]]-detalhe_carro1[[#This Row],[Hora Inicio]])/60*velocidade_nos),0)</f>
        <v>0</v>
      </c>
      <c r="Q410" s="29">
        <f>detalhe_carro1[[#This Row],[Kms Nós]]+detalhe_carro1[[#This Row],[kms]]</f>
        <v>0</v>
      </c>
    </row>
    <row r="411" spans="2:17" hidden="1" x14ac:dyDescent="0.25">
      <c r="B411" s="3">
        <v>3</v>
      </c>
      <c r="C411">
        <v>2</v>
      </c>
      <c r="D411">
        <v>0</v>
      </c>
      <c r="E411" s="29" t="s">
        <v>203</v>
      </c>
      <c r="F411" s="3">
        <v>1216</v>
      </c>
      <c r="G411" s="3">
        <v>1216</v>
      </c>
      <c r="H411" s="29" t="s">
        <v>44</v>
      </c>
      <c r="J411" s="7">
        <v>0.1361111111111111</v>
      </c>
      <c r="K411" s="7">
        <v>0.1361111111111111</v>
      </c>
      <c r="L411" s="3">
        <f t="shared" si="12"/>
        <v>0</v>
      </c>
      <c r="M411" s="3">
        <f t="shared" si="13"/>
        <v>1</v>
      </c>
      <c r="N411" s="29">
        <f>_xlfn.MAXIFS($G$7:G410,$E$7:E410,detalhe_carro1[[#This Row],[Nó]],$B$7:B410,detalhe_carro1[[#This Row],[Numero Voltas]],$L$7:L410,1)</f>
        <v>999</v>
      </c>
      <c r="O411" s="3">
        <f>IF(OR(detalhe_carro1[[#This Row],[Ultima Chegada]]=0,detalhe_carro1[[#This Row],[Chegada]]=0),"",detalhe_carro1[[#This Row],[Hora Inicio]]-detalhe_carro1[[#This Row],[Ultima Chegada]])</f>
        <v>217</v>
      </c>
      <c r="P411" s="3">
        <f>IF(detalhe_carro1[[#This Row],[Tipo]]="Visitar Nó",((detalhe_carro1[[#This Row],[Hora Fim]]-detalhe_carro1[[#This Row],[Hora Inicio]])/60*velocidade_nos),0)</f>
        <v>0</v>
      </c>
      <c r="Q411" s="29">
        <f>detalhe_carro1[[#This Row],[Kms Nós]]+detalhe_carro1[[#This Row],[kms]]</f>
        <v>0</v>
      </c>
    </row>
    <row r="412" spans="2:17" hidden="1" x14ac:dyDescent="0.25">
      <c r="B412" s="3">
        <v>3</v>
      </c>
      <c r="C412">
        <v>2</v>
      </c>
      <c r="D412">
        <v>0</v>
      </c>
      <c r="E412" s="29" t="s">
        <v>203</v>
      </c>
      <c r="F412" s="3">
        <v>1216</v>
      </c>
      <c r="G412" s="3">
        <v>1216</v>
      </c>
      <c r="H412" s="29" t="s">
        <v>44</v>
      </c>
      <c r="J412" s="7">
        <v>0.1361111111111111</v>
      </c>
      <c r="K412" s="7">
        <v>0.1361111111111111</v>
      </c>
      <c r="L412" s="3">
        <f t="shared" si="12"/>
        <v>1</v>
      </c>
      <c r="M412" s="3">
        <f t="shared" si="13"/>
        <v>0</v>
      </c>
      <c r="N412" s="29">
        <f>_xlfn.MAXIFS($G$7:G411,$E$7:E411,detalhe_carro1[[#This Row],[Nó]],$B$7:B411,detalhe_carro1[[#This Row],[Numero Voltas]],$L$7:L411,1)</f>
        <v>999</v>
      </c>
      <c r="O412" s="3" t="str">
        <f>IF(OR(detalhe_carro1[[#This Row],[Ultima Chegada]]=0,detalhe_carro1[[#This Row],[Chegada]]=0),"",detalhe_carro1[[#This Row],[Hora Inicio]]-detalhe_carro1[[#This Row],[Ultima Chegada]])</f>
        <v/>
      </c>
      <c r="P412" s="3">
        <f>IF(detalhe_carro1[[#This Row],[Tipo]]="Visitar Nó",((detalhe_carro1[[#This Row],[Hora Fim]]-detalhe_carro1[[#This Row],[Hora Inicio]])/60*velocidade_nos),0)</f>
        <v>0</v>
      </c>
      <c r="Q412" s="29">
        <f>detalhe_carro1[[#This Row],[Kms Nós]]+detalhe_carro1[[#This Row],[kms]]</f>
        <v>0</v>
      </c>
    </row>
    <row r="413" spans="2:17" hidden="1" x14ac:dyDescent="0.25">
      <c r="B413" s="3">
        <v>3</v>
      </c>
      <c r="C413">
        <v>2</v>
      </c>
      <c r="D413">
        <v>1</v>
      </c>
      <c r="E413" s="29" t="s">
        <v>200</v>
      </c>
      <c r="F413" s="3">
        <v>1218</v>
      </c>
      <c r="G413" s="3">
        <v>1218</v>
      </c>
      <c r="H413" s="29" t="s">
        <v>44</v>
      </c>
      <c r="J413" s="7">
        <v>0.13750000000000001</v>
      </c>
      <c r="K413" s="7">
        <v>0.13750000000000001</v>
      </c>
      <c r="L413" s="3">
        <f t="shared" si="12"/>
        <v>0</v>
      </c>
      <c r="M413" s="3">
        <f t="shared" si="13"/>
        <v>1</v>
      </c>
      <c r="N413" s="29">
        <f>_xlfn.MAXIFS($G$7:G412,$E$7:E412,detalhe_carro1[[#This Row],[Nó]],$B$7:B412,detalhe_carro1[[#This Row],[Numero Voltas]],$L$7:L412,1)</f>
        <v>1214</v>
      </c>
      <c r="O413" s="3">
        <f>IF(OR(detalhe_carro1[[#This Row],[Ultima Chegada]]=0,detalhe_carro1[[#This Row],[Chegada]]=0),"",detalhe_carro1[[#This Row],[Hora Inicio]]-detalhe_carro1[[#This Row],[Ultima Chegada]])</f>
        <v>4</v>
      </c>
      <c r="P413" s="3">
        <f>IF(detalhe_carro1[[#This Row],[Tipo]]="Visitar Nó",((detalhe_carro1[[#This Row],[Hora Fim]]-detalhe_carro1[[#This Row],[Hora Inicio]])/60*velocidade_nos),0)</f>
        <v>0</v>
      </c>
      <c r="Q413" s="29">
        <f>detalhe_carro1[[#This Row],[Kms Nós]]+detalhe_carro1[[#This Row],[kms]]</f>
        <v>0</v>
      </c>
    </row>
    <row r="414" spans="2:17" hidden="1" x14ac:dyDescent="0.25">
      <c r="B414" s="3">
        <v>3</v>
      </c>
      <c r="C414">
        <v>2</v>
      </c>
      <c r="D414">
        <v>1</v>
      </c>
      <c r="E414" s="29" t="s">
        <v>200</v>
      </c>
      <c r="F414" s="3">
        <v>1218</v>
      </c>
      <c r="G414" s="3">
        <v>1222</v>
      </c>
      <c r="H414" s="29" t="s">
        <v>43</v>
      </c>
      <c r="J414" s="7">
        <v>0.13750000000000001</v>
      </c>
      <c r="K414" s="7">
        <v>0.14027777777777778</v>
      </c>
      <c r="L414" s="3">
        <f t="shared" si="12"/>
        <v>1</v>
      </c>
      <c r="M414" s="3">
        <f t="shared" si="13"/>
        <v>0</v>
      </c>
      <c r="N414" s="29">
        <f>_xlfn.MAXIFS($G$7:G413,$E$7:E413,detalhe_carro1[[#This Row],[Nó]],$B$7:B413,detalhe_carro1[[#This Row],[Numero Voltas]],$L$7:L413,1)</f>
        <v>1214</v>
      </c>
      <c r="O414" s="3" t="str">
        <f>IF(OR(detalhe_carro1[[#This Row],[Ultima Chegada]]=0,detalhe_carro1[[#This Row],[Chegada]]=0),"",detalhe_carro1[[#This Row],[Hora Inicio]]-detalhe_carro1[[#This Row],[Ultima Chegada]])</f>
        <v/>
      </c>
      <c r="P414" s="3">
        <f>IF(detalhe_carro1[[#This Row],[Tipo]]="Visitar Nó",((detalhe_carro1[[#This Row],[Hora Fim]]-detalhe_carro1[[#This Row],[Hora Inicio]])/60*velocidade_nos),0)</f>
        <v>2</v>
      </c>
      <c r="Q414" s="29">
        <f>detalhe_carro1[[#This Row],[Kms Nós]]+detalhe_carro1[[#This Row],[kms]]</f>
        <v>2</v>
      </c>
    </row>
    <row r="415" spans="2:17" hidden="1" x14ac:dyDescent="0.25">
      <c r="B415" s="3">
        <v>3</v>
      </c>
      <c r="C415">
        <v>2</v>
      </c>
      <c r="D415">
        <v>2</v>
      </c>
      <c r="E415" s="29" t="s">
        <v>228</v>
      </c>
      <c r="F415" s="3">
        <v>1223</v>
      </c>
      <c r="G415" s="3">
        <v>1223</v>
      </c>
      <c r="H415" s="29" t="s">
        <v>44</v>
      </c>
      <c r="J415" s="7">
        <v>0.14097222222222222</v>
      </c>
      <c r="K415" s="7">
        <v>0.14097222222222222</v>
      </c>
      <c r="L415" s="3">
        <f t="shared" si="12"/>
        <v>0</v>
      </c>
      <c r="M415" s="3">
        <f t="shared" si="13"/>
        <v>1</v>
      </c>
      <c r="N415" s="29">
        <f>_xlfn.MAXIFS($G$7:G414,$E$7:E414,detalhe_carro1[[#This Row],[Nó]],$B$7:B414,detalhe_carro1[[#This Row],[Numero Voltas]],$L$7:L414,1)</f>
        <v>1213</v>
      </c>
      <c r="O415" s="3">
        <f>IF(OR(detalhe_carro1[[#This Row],[Ultima Chegada]]=0,detalhe_carro1[[#This Row],[Chegada]]=0),"",detalhe_carro1[[#This Row],[Hora Inicio]]-detalhe_carro1[[#This Row],[Ultima Chegada]])</f>
        <v>10</v>
      </c>
      <c r="P415" s="3">
        <f>IF(detalhe_carro1[[#This Row],[Tipo]]="Visitar Nó",((detalhe_carro1[[#This Row],[Hora Fim]]-detalhe_carro1[[#This Row],[Hora Inicio]])/60*velocidade_nos),0)</f>
        <v>0</v>
      </c>
      <c r="Q415" s="29">
        <f>detalhe_carro1[[#This Row],[Kms Nós]]+detalhe_carro1[[#This Row],[kms]]</f>
        <v>0</v>
      </c>
    </row>
    <row r="416" spans="2:17" hidden="1" x14ac:dyDescent="0.25">
      <c r="B416" s="3">
        <v>3</v>
      </c>
      <c r="C416">
        <v>2</v>
      </c>
      <c r="D416">
        <v>2</v>
      </c>
      <c r="E416" s="29" t="s">
        <v>228</v>
      </c>
      <c r="F416" s="3">
        <v>1223</v>
      </c>
      <c r="G416" s="3">
        <v>1241</v>
      </c>
      <c r="H416" s="29" t="s">
        <v>43</v>
      </c>
      <c r="J416" s="7">
        <v>0.14097222222222222</v>
      </c>
      <c r="K416" s="7">
        <v>0.15347222222222223</v>
      </c>
      <c r="L416" s="3">
        <f t="shared" si="12"/>
        <v>1</v>
      </c>
      <c r="M416" s="3">
        <f t="shared" si="13"/>
        <v>0</v>
      </c>
      <c r="N416" s="29">
        <f>_xlfn.MAXIFS($G$7:G415,$E$7:E415,detalhe_carro1[[#This Row],[Nó]],$B$7:B415,detalhe_carro1[[#This Row],[Numero Voltas]],$L$7:L415,1)</f>
        <v>1213</v>
      </c>
      <c r="O416" s="3" t="str">
        <f>IF(OR(detalhe_carro1[[#This Row],[Ultima Chegada]]=0,detalhe_carro1[[#This Row],[Chegada]]=0),"",detalhe_carro1[[#This Row],[Hora Inicio]]-detalhe_carro1[[#This Row],[Ultima Chegada]])</f>
        <v/>
      </c>
      <c r="P416" s="3">
        <f>IF(detalhe_carro1[[#This Row],[Tipo]]="Visitar Nó",((detalhe_carro1[[#This Row],[Hora Fim]]-detalhe_carro1[[#This Row],[Hora Inicio]])/60*velocidade_nos),0)</f>
        <v>9</v>
      </c>
      <c r="Q416" s="29">
        <f>detalhe_carro1[[#This Row],[Kms Nós]]+detalhe_carro1[[#This Row],[kms]]</f>
        <v>9</v>
      </c>
    </row>
    <row r="417" spans="2:17" hidden="1" x14ac:dyDescent="0.25">
      <c r="B417" s="3">
        <v>3</v>
      </c>
      <c r="C417">
        <v>2</v>
      </c>
      <c r="D417">
        <v>3</v>
      </c>
      <c r="E417" s="29" t="s">
        <v>208</v>
      </c>
      <c r="F417" s="3">
        <v>1244</v>
      </c>
      <c r="G417" s="3">
        <v>1244</v>
      </c>
      <c r="H417" s="29" t="s">
        <v>44</v>
      </c>
      <c r="J417" s="7">
        <v>0.15555555555555556</v>
      </c>
      <c r="K417" s="7">
        <v>0.15555555555555556</v>
      </c>
      <c r="L417" s="3">
        <f t="shared" si="12"/>
        <v>0</v>
      </c>
      <c r="M417" s="3">
        <f t="shared" si="13"/>
        <v>1</v>
      </c>
      <c r="N417" s="29">
        <f>_xlfn.MAXIFS($G$7:G416,$E$7:E416,detalhe_carro1[[#This Row],[Nó]],$B$7:B416,detalhe_carro1[[#This Row],[Numero Voltas]],$L$7:L416,1)</f>
        <v>1192</v>
      </c>
      <c r="O417" s="3">
        <f>IF(OR(detalhe_carro1[[#This Row],[Ultima Chegada]]=0,detalhe_carro1[[#This Row],[Chegada]]=0),"",detalhe_carro1[[#This Row],[Hora Inicio]]-detalhe_carro1[[#This Row],[Ultima Chegada]])</f>
        <v>52</v>
      </c>
      <c r="P417" s="3">
        <f>IF(detalhe_carro1[[#This Row],[Tipo]]="Visitar Nó",((detalhe_carro1[[#This Row],[Hora Fim]]-detalhe_carro1[[#This Row],[Hora Inicio]])/60*velocidade_nos),0)</f>
        <v>0</v>
      </c>
      <c r="Q417" s="29">
        <f>detalhe_carro1[[#This Row],[Kms Nós]]+detalhe_carro1[[#This Row],[kms]]</f>
        <v>0</v>
      </c>
    </row>
    <row r="418" spans="2:17" hidden="1" x14ac:dyDescent="0.25">
      <c r="B418" s="3">
        <v>3</v>
      </c>
      <c r="C418">
        <v>2</v>
      </c>
      <c r="D418">
        <v>3</v>
      </c>
      <c r="E418" s="29" t="s">
        <v>208</v>
      </c>
      <c r="F418" s="3">
        <v>1244</v>
      </c>
      <c r="G418" s="3">
        <v>1257</v>
      </c>
      <c r="H418" s="29" t="s">
        <v>43</v>
      </c>
      <c r="J418" s="7">
        <v>0.15555555555555556</v>
      </c>
      <c r="K418" s="7">
        <v>0.16458333333333333</v>
      </c>
      <c r="L418" s="3">
        <f t="shared" si="12"/>
        <v>1</v>
      </c>
      <c r="M418" s="3">
        <f t="shared" si="13"/>
        <v>0</v>
      </c>
      <c r="N418" s="29">
        <f>_xlfn.MAXIFS($G$7:G417,$E$7:E417,detalhe_carro1[[#This Row],[Nó]],$B$7:B417,detalhe_carro1[[#This Row],[Numero Voltas]],$L$7:L417,1)</f>
        <v>1192</v>
      </c>
      <c r="O418" s="3" t="str">
        <f>IF(OR(detalhe_carro1[[#This Row],[Ultima Chegada]]=0,detalhe_carro1[[#This Row],[Chegada]]=0),"",detalhe_carro1[[#This Row],[Hora Inicio]]-detalhe_carro1[[#This Row],[Ultima Chegada]])</f>
        <v/>
      </c>
      <c r="P418" s="3">
        <f>IF(detalhe_carro1[[#This Row],[Tipo]]="Visitar Nó",((detalhe_carro1[[#This Row],[Hora Fim]]-detalhe_carro1[[#This Row],[Hora Inicio]])/60*velocidade_nos),0)</f>
        <v>6.5</v>
      </c>
      <c r="Q418" s="29">
        <f>detalhe_carro1[[#This Row],[Kms Nós]]+detalhe_carro1[[#This Row],[kms]]</f>
        <v>6.5</v>
      </c>
    </row>
    <row r="419" spans="2:17" hidden="1" x14ac:dyDescent="0.25">
      <c r="B419" s="3">
        <v>3</v>
      </c>
      <c r="C419">
        <v>2</v>
      </c>
      <c r="D419">
        <v>4</v>
      </c>
      <c r="E419" s="29" t="s">
        <v>2</v>
      </c>
      <c r="F419" s="3">
        <v>1262</v>
      </c>
      <c r="G419" s="3">
        <v>1262</v>
      </c>
      <c r="H419" s="29" t="s">
        <v>44</v>
      </c>
      <c r="J419" s="7">
        <v>0.16805555555555557</v>
      </c>
      <c r="K419" s="7">
        <v>0.16805555555555557</v>
      </c>
      <c r="L419" s="3">
        <f t="shared" si="12"/>
        <v>0</v>
      </c>
      <c r="M419" s="3">
        <f t="shared" si="13"/>
        <v>1</v>
      </c>
      <c r="N419" s="29">
        <f>_xlfn.MAXIFS($G$7:G418,$E$7:E418,detalhe_carro1[[#This Row],[Nó]],$B$7:B418,detalhe_carro1[[#This Row],[Numero Voltas]],$L$7:L418,1)</f>
        <v>1187</v>
      </c>
      <c r="O419" s="3">
        <f>IF(OR(detalhe_carro1[[#This Row],[Ultima Chegada]]=0,detalhe_carro1[[#This Row],[Chegada]]=0),"",detalhe_carro1[[#This Row],[Hora Inicio]]-detalhe_carro1[[#This Row],[Ultima Chegada]])</f>
        <v>75</v>
      </c>
      <c r="P419" s="3">
        <f>IF(detalhe_carro1[[#This Row],[Tipo]]="Visitar Nó",((detalhe_carro1[[#This Row],[Hora Fim]]-detalhe_carro1[[#This Row],[Hora Inicio]])/60*velocidade_nos),0)</f>
        <v>0</v>
      </c>
      <c r="Q419" s="29">
        <f>detalhe_carro1[[#This Row],[Kms Nós]]+detalhe_carro1[[#This Row],[kms]]</f>
        <v>0</v>
      </c>
    </row>
    <row r="420" spans="2:17" hidden="1" x14ac:dyDescent="0.25">
      <c r="B420" s="3">
        <v>3</v>
      </c>
      <c r="C420">
        <v>2</v>
      </c>
      <c r="D420">
        <v>4</v>
      </c>
      <c r="E420" s="29" t="s">
        <v>2</v>
      </c>
      <c r="F420" s="3">
        <v>1262</v>
      </c>
      <c r="G420" s="3">
        <v>1275</v>
      </c>
      <c r="H420" s="29" t="s">
        <v>43</v>
      </c>
      <c r="J420" s="7">
        <v>0.16805555555555557</v>
      </c>
      <c r="K420" s="7">
        <v>0.17708333333333334</v>
      </c>
      <c r="L420" s="3">
        <f t="shared" si="12"/>
        <v>1</v>
      </c>
      <c r="M420" s="3">
        <f t="shared" si="13"/>
        <v>0</v>
      </c>
      <c r="N420" s="29">
        <f>_xlfn.MAXIFS($G$7:G419,$E$7:E419,detalhe_carro1[[#This Row],[Nó]],$B$7:B419,detalhe_carro1[[#This Row],[Numero Voltas]],$L$7:L419,1)</f>
        <v>1187</v>
      </c>
      <c r="O420" s="3" t="str">
        <f>IF(OR(detalhe_carro1[[#This Row],[Ultima Chegada]]=0,detalhe_carro1[[#This Row],[Chegada]]=0),"",detalhe_carro1[[#This Row],[Hora Inicio]]-detalhe_carro1[[#This Row],[Ultima Chegada]])</f>
        <v/>
      </c>
      <c r="P420" s="3">
        <f>IF(detalhe_carro1[[#This Row],[Tipo]]="Visitar Nó",((detalhe_carro1[[#This Row],[Hora Fim]]-detalhe_carro1[[#This Row],[Hora Inicio]])/60*velocidade_nos),0)</f>
        <v>6.5</v>
      </c>
      <c r="Q420" s="29">
        <f>detalhe_carro1[[#This Row],[Kms Nós]]+detalhe_carro1[[#This Row],[kms]]</f>
        <v>6.5</v>
      </c>
    </row>
    <row r="421" spans="2:17" hidden="1" x14ac:dyDescent="0.25">
      <c r="B421" s="3">
        <v>3</v>
      </c>
      <c r="C421">
        <v>2</v>
      </c>
      <c r="D421">
        <v>5</v>
      </c>
      <c r="E421" s="29" t="s">
        <v>215</v>
      </c>
      <c r="F421" s="3">
        <v>1278</v>
      </c>
      <c r="G421" s="3">
        <v>1278</v>
      </c>
      <c r="H421" s="29" t="s">
        <v>44</v>
      </c>
      <c r="J421" s="7">
        <v>0.17916666666666667</v>
      </c>
      <c r="K421" s="7">
        <v>0.17916666666666667</v>
      </c>
      <c r="L421" s="3">
        <f t="shared" si="12"/>
        <v>1</v>
      </c>
      <c r="M421" s="3">
        <f t="shared" si="13"/>
        <v>1</v>
      </c>
      <c r="N421" s="29">
        <f>_xlfn.MAXIFS($G$7:G420,$E$7:E420,detalhe_carro1[[#This Row],[Nó]],$B$7:B420,detalhe_carro1[[#This Row],[Numero Voltas]],$L$7:L420,1)</f>
        <v>1184</v>
      </c>
      <c r="O421" s="3">
        <f>IF(OR(detalhe_carro1[[#This Row],[Ultima Chegada]]=0,detalhe_carro1[[#This Row],[Chegada]]=0),"",detalhe_carro1[[#This Row],[Hora Inicio]]-detalhe_carro1[[#This Row],[Ultima Chegada]])</f>
        <v>94</v>
      </c>
      <c r="P421" s="3">
        <f>IF(detalhe_carro1[[#This Row],[Tipo]]="Visitar Nó",((detalhe_carro1[[#This Row],[Hora Fim]]-detalhe_carro1[[#This Row],[Hora Inicio]])/60*velocidade_nos),0)</f>
        <v>0</v>
      </c>
      <c r="Q421" s="29">
        <f>detalhe_carro1[[#This Row],[Kms Nós]]+detalhe_carro1[[#This Row],[kms]]</f>
        <v>0</v>
      </c>
    </row>
    <row r="422" spans="2:17" hidden="1" x14ac:dyDescent="0.25">
      <c r="B422" s="3">
        <v>3</v>
      </c>
      <c r="C422">
        <v>2</v>
      </c>
      <c r="D422">
        <v>6</v>
      </c>
      <c r="E422" s="29" t="s">
        <v>300</v>
      </c>
      <c r="F422" s="3">
        <v>1282</v>
      </c>
      <c r="G422" s="3">
        <v>1282</v>
      </c>
      <c r="H422" s="29" t="s">
        <v>44</v>
      </c>
      <c r="J422" s="7">
        <v>0.18194444444444444</v>
      </c>
      <c r="K422" s="7">
        <v>0.18194444444444444</v>
      </c>
      <c r="L422" s="3">
        <f t="shared" si="12"/>
        <v>1</v>
      </c>
      <c r="M422" s="3">
        <f t="shared" si="13"/>
        <v>1</v>
      </c>
      <c r="N422" s="29">
        <f>_xlfn.MAXIFS($G$7:G421,$E$7:E421,detalhe_carro1[[#This Row],[Nó]],$B$7:B421,detalhe_carro1[[#This Row],[Numero Voltas]],$L$7:L421,1)</f>
        <v>1180</v>
      </c>
      <c r="O422" s="3">
        <f>IF(OR(detalhe_carro1[[#This Row],[Ultima Chegada]]=0,detalhe_carro1[[#This Row],[Chegada]]=0),"",detalhe_carro1[[#This Row],[Hora Inicio]]-detalhe_carro1[[#This Row],[Ultima Chegada]])</f>
        <v>102</v>
      </c>
      <c r="P422" s="3">
        <f>IF(detalhe_carro1[[#This Row],[Tipo]]="Visitar Nó",((detalhe_carro1[[#This Row],[Hora Fim]]-detalhe_carro1[[#This Row],[Hora Inicio]])/60*velocidade_nos),0)</f>
        <v>0</v>
      </c>
      <c r="Q422" s="29">
        <f>detalhe_carro1[[#This Row],[Kms Nós]]+detalhe_carro1[[#This Row],[kms]]</f>
        <v>0</v>
      </c>
    </row>
    <row r="423" spans="2:17" hidden="1" x14ac:dyDescent="0.25">
      <c r="B423" s="3">
        <v>3</v>
      </c>
      <c r="C423">
        <v>2</v>
      </c>
      <c r="D423">
        <v>7</v>
      </c>
      <c r="E423" s="29" t="s">
        <v>301</v>
      </c>
      <c r="F423" s="3">
        <v>1285</v>
      </c>
      <c r="G423" s="3">
        <v>1285</v>
      </c>
      <c r="H423" s="29" t="s">
        <v>44</v>
      </c>
      <c r="J423" s="7">
        <v>0.18402777777777779</v>
      </c>
      <c r="K423" s="7">
        <v>0.18402777777777779</v>
      </c>
      <c r="L423" s="3">
        <f t="shared" si="12"/>
        <v>0</v>
      </c>
      <c r="M423" s="3">
        <f t="shared" si="13"/>
        <v>1</v>
      </c>
      <c r="N423" s="29">
        <f>_xlfn.MAXIFS($G$7:G422,$E$7:E422,detalhe_carro1[[#This Row],[Nó]],$B$7:B422,detalhe_carro1[[#This Row],[Numero Voltas]],$L$7:L422,1)</f>
        <v>1177</v>
      </c>
      <c r="O423" s="3">
        <f>IF(OR(detalhe_carro1[[#This Row],[Ultima Chegada]]=0,detalhe_carro1[[#This Row],[Chegada]]=0),"",detalhe_carro1[[#This Row],[Hora Inicio]]-detalhe_carro1[[#This Row],[Ultima Chegada]])</f>
        <v>108</v>
      </c>
      <c r="P423" s="3">
        <f>IF(detalhe_carro1[[#This Row],[Tipo]]="Visitar Nó",((detalhe_carro1[[#This Row],[Hora Fim]]-detalhe_carro1[[#This Row],[Hora Inicio]])/60*velocidade_nos),0)</f>
        <v>0</v>
      </c>
      <c r="Q423" s="29">
        <f>detalhe_carro1[[#This Row],[Kms Nós]]+detalhe_carro1[[#This Row],[kms]]</f>
        <v>0</v>
      </c>
    </row>
    <row r="424" spans="2:17" hidden="1" x14ac:dyDescent="0.25">
      <c r="B424" s="3">
        <v>3</v>
      </c>
      <c r="C424">
        <v>2</v>
      </c>
      <c r="D424">
        <v>7</v>
      </c>
      <c r="E424" s="29" t="s">
        <v>301</v>
      </c>
      <c r="F424" s="3">
        <v>1285</v>
      </c>
      <c r="G424" s="3">
        <v>1295</v>
      </c>
      <c r="H424" s="29" t="s">
        <v>43</v>
      </c>
      <c r="J424" s="7">
        <v>0.18402777777777779</v>
      </c>
      <c r="K424" s="7">
        <v>0.19097222222222221</v>
      </c>
      <c r="L424" s="3">
        <f t="shared" si="12"/>
        <v>1</v>
      </c>
      <c r="M424" s="3">
        <f t="shared" si="13"/>
        <v>0</v>
      </c>
      <c r="N424" s="29">
        <f>_xlfn.MAXIFS($G$7:G423,$E$7:E423,detalhe_carro1[[#This Row],[Nó]],$B$7:B423,detalhe_carro1[[#This Row],[Numero Voltas]],$L$7:L423,1)</f>
        <v>1177</v>
      </c>
      <c r="O424" s="3" t="str">
        <f>IF(OR(detalhe_carro1[[#This Row],[Ultima Chegada]]=0,detalhe_carro1[[#This Row],[Chegada]]=0),"",detalhe_carro1[[#This Row],[Hora Inicio]]-detalhe_carro1[[#This Row],[Ultima Chegada]])</f>
        <v/>
      </c>
      <c r="P424" s="3">
        <f>IF(detalhe_carro1[[#This Row],[Tipo]]="Visitar Nó",((detalhe_carro1[[#This Row],[Hora Fim]]-detalhe_carro1[[#This Row],[Hora Inicio]])/60*velocidade_nos),0)</f>
        <v>5</v>
      </c>
      <c r="Q424" s="29">
        <f>detalhe_carro1[[#This Row],[Kms Nós]]+detalhe_carro1[[#This Row],[kms]]</f>
        <v>5</v>
      </c>
    </row>
    <row r="425" spans="2:17" hidden="1" x14ac:dyDescent="0.25">
      <c r="B425" s="3">
        <v>3</v>
      </c>
      <c r="C425">
        <v>2</v>
      </c>
      <c r="D425">
        <v>8</v>
      </c>
      <c r="E425" s="29" t="s">
        <v>302</v>
      </c>
      <c r="F425" s="3">
        <v>1301</v>
      </c>
      <c r="G425" s="3">
        <v>1301</v>
      </c>
      <c r="H425" s="29" t="s">
        <v>44</v>
      </c>
      <c r="J425" s="7">
        <v>0.19513888888888889</v>
      </c>
      <c r="K425" s="7">
        <v>0.19513888888888889</v>
      </c>
      <c r="L425" s="3">
        <f t="shared" si="12"/>
        <v>0</v>
      </c>
      <c r="M425" s="3">
        <f t="shared" si="13"/>
        <v>1</v>
      </c>
      <c r="N425" s="29">
        <f>_xlfn.MAXIFS($G$7:G424,$E$7:E424,detalhe_carro1[[#This Row],[Nó]],$B$7:B424,detalhe_carro1[[#This Row],[Numero Voltas]],$L$7:L424,1)</f>
        <v>1161</v>
      </c>
      <c r="O425" s="3">
        <f>IF(OR(detalhe_carro1[[#This Row],[Ultima Chegada]]=0,detalhe_carro1[[#This Row],[Chegada]]=0),"",detalhe_carro1[[#This Row],[Hora Inicio]]-detalhe_carro1[[#This Row],[Ultima Chegada]])</f>
        <v>140</v>
      </c>
      <c r="P425" s="3">
        <f>IF(detalhe_carro1[[#This Row],[Tipo]]="Visitar Nó",((detalhe_carro1[[#This Row],[Hora Fim]]-detalhe_carro1[[#This Row],[Hora Inicio]])/60*velocidade_nos),0)</f>
        <v>0</v>
      </c>
      <c r="Q425" s="29">
        <f>detalhe_carro1[[#This Row],[Kms Nós]]+detalhe_carro1[[#This Row],[kms]]</f>
        <v>0</v>
      </c>
    </row>
    <row r="426" spans="2:17" hidden="1" x14ac:dyDescent="0.25">
      <c r="B426" s="3">
        <v>3</v>
      </c>
      <c r="C426">
        <v>2</v>
      </c>
      <c r="D426">
        <v>8</v>
      </c>
      <c r="E426" s="29" t="s">
        <v>302</v>
      </c>
      <c r="F426" s="3">
        <v>1301</v>
      </c>
      <c r="G426" s="3">
        <v>1311</v>
      </c>
      <c r="H426" s="29" t="s">
        <v>43</v>
      </c>
      <c r="J426" s="7">
        <v>0.19513888888888889</v>
      </c>
      <c r="K426" s="7">
        <v>0.20208333333333334</v>
      </c>
      <c r="L426" s="3">
        <f t="shared" si="12"/>
        <v>1</v>
      </c>
      <c r="M426" s="3">
        <f t="shared" si="13"/>
        <v>0</v>
      </c>
      <c r="N426" s="29">
        <f>_xlfn.MAXIFS($G$7:G425,$E$7:E425,detalhe_carro1[[#This Row],[Nó]],$B$7:B425,detalhe_carro1[[#This Row],[Numero Voltas]],$L$7:L425,1)</f>
        <v>1161</v>
      </c>
      <c r="O426" s="3" t="str">
        <f>IF(OR(detalhe_carro1[[#This Row],[Ultima Chegada]]=0,detalhe_carro1[[#This Row],[Chegada]]=0),"",detalhe_carro1[[#This Row],[Hora Inicio]]-detalhe_carro1[[#This Row],[Ultima Chegada]])</f>
        <v/>
      </c>
      <c r="P426" s="3">
        <f>IF(detalhe_carro1[[#This Row],[Tipo]]="Visitar Nó",((detalhe_carro1[[#This Row],[Hora Fim]]-detalhe_carro1[[#This Row],[Hora Inicio]])/60*velocidade_nos),0)</f>
        <v>5</v>
      </c>
      <c r="Q426" s="29">
        <f>detalhe_carro1[[#This Row],[Kms Nós]]+detalhe_carro1[[#This Row],[kms]]</f>
        <v>5</v>
      </c>
    </row>
    <row r="427" spans="2:17" hidden="1" x14ac:dyDescent="0.25">
      <c r="B427" s="3">
        <v>3</v>
      </c>
      <c r="C427">
        <v>2</v>
      </c>
      <c r="D427">
        <v>9</v>
      </c>
      <c r="E427" s="29" t="s">
        <v>303</v>
      </c>
      <c r="F427" s="3">
        <v>1317</v>
      </c>
      <c r="G427" s="3">
        <v>1317</v>
      </c>
      <c r="H427" s="29" t="s">
        <v>44</v>
      </c>
      <c r="J427" s="7">
        <v>0.20624999999999999</v>
      </c>
      <c r="K427" s="7">
        <v>0.20624999999999999</v>
      </c>
      <c r="L427" s="3">
        <f t="shared" si="12"/>
        <v>0</v>
      </c>
      <c r="M427" s="3">
        <f t="shared" si="13"/>
        <v>1</v>
      </c>
      <c r="N427" s="29">
        <f>_xlfn.MAXIFS($G$7:G426,$E$7:E426,detalhe_carro1[[#This Row],[Nó]],$B$7:B426,detalhe_carro1[[#This Row],[Numero Voltas]],$L$7:L426,1)</f>
        <v>1095</v>
      </c>
      <c r="O427" s="3">
        <f>IF(OR(detalhe_carro1[[#This Row],[Ultima Chegada]]=0,detalhe_carro1[[#This Row],[Chegada]]=0),"",detalhe_carro1[[#This Row],[Hora Inicio]]-detalhe_carro1[[#This Row],[Ultima Chegada]])</f>
        <v>222</v>
      </c>
      <c r="P427" s="3">
        <f>IF(detalhe_carro1[[#This Row],[Tipo]]="Visitar Nó",((detalhe_carro1[[#This Row],[Hora Fim]]-detalhe_carro1[[#This Row],[Hora Inicio]])/60*velocidade_nos),0)</f>
        <v>0</v>
      </c>
      <c r="Q427" s="29">
        <f>detalhe_carro1[[#This Row],[Kms Nós]]+detalhe_carro1[[#This Row],[kms]]</f>
        <v>0</v>
      </c>
    </row>
    <row r="428" spans="2:17" hidden="1" x14ac:dyDescent="0.25">
      <c r="B428" s="3">
        <v>3</v>
      </c>
      <c r="C428">
        <v>2</v>
      </c>
      <c r="D428">
        <v>9</v>
      </c>
      <c r="E428" s="29" t="s">
        <v>303</v>
      </c>
      <c r="F428" s="3">
        <v>1317</v>
      </c>
      <c r="G428" s="3">
        <v>1317</v>
      </c>
      <c r="H428" s="29" t="s">
        <v>44</v>
      </c>
      <c r="J428" s="7">
        <v>0.20624999999999999</v>
      </c>
      <c r="K428" s="7">
        <v>0.20624999999999999</v>
      </c>
      <c r="L428" s="3">
        <f t="shared" si="12"/>
        <v>1</v>
      </c>
      <c r="M428" s="3">
        <f t="shared" si="13"/>
        <v>0</v>
      </c>
      <c r="N428" s="29">
        <f>_xlfn.MAXIFS($G$7:G427,$E$7:E427,detalhe_carro1[[#This Row],[Nó]],$B$7:B427,detalhe_carro1[[#This Row],[Numero Voltas]],$L$7:L427,1)</f>
        <v>1095</v>
      </c>
      <c r="O428" s="3" t="str">
        <f>IF(OR(detalhe_carro1[[#This Row],[Ultima Chegada]]=0,detalhe_carro1[[#This Row],[Chegada]]=0),"",detalhe_carro1[[#This Row],[Hora Inicio]]-detalhe_carro1[[#This Row],[Ultima Chegada]])</f>
        <v/>
      </c>
      <c r="P428" s="3">
        <f>IF(detalhe_carro1[[#This Row],[Tipo]]="Visitar Nó",((detalhe_carro1[[#This Row],[Hora Fim]]-detalhe_carro1[[#This Row],[Hora Inicio]])/60*velocidade_nos),0)</f>
        <v>0</v>
      </c>
      <c r="Q428" s="29">
        <f>detalhe_carro1[[#This Row],[Kms Nós]]+detalhe_carro1[[#This Row],[kms]]</f>
        <v>0</v>
      </c>
    </row>
    <row r="429" spans="2:17" hidden="1" x14ac:dyDescent="0.25">
      <c r="B429" s="3">
        <v>3</v>
      </c>
      <c r="C429">
        <v>2</v>
      </c>
      <c r="D429">
        <v>8</v>
      </c>
      <c r="E429" s="29" t="s">
        <v>302</v>
      </c>
      <c r="F429" s="3">
        <v>1323</v>
      </c>
      <c r="G429" s="3">
        <v>1323</v>
      </c>
      <c r="H429" s="29" t="s">
        <v>44</v>
      </c>
      <c r="J429" s="7">
        <v>0.21041666666666667</v>
      </c>
      <c r="K429" s="7">
        <v>0.21041666666666667</v>
      </c>
      <c r="L429" s="3">
        <f t="shared" si="12"/>
        <v>0</v>
      </c>
      <c r="M429" s="3">
        <f t="shared" si="13"/>
        <v>1</v>
      </c>
      <c r="N429" s="29">
        <f>_xlfn.MAXIFS($G$7:G428,$E$7:E428,detalhe_carro1[[#This Row],[Nó]],$B$7:B428,detalhe_carro1[[#This Row],[Numero Voltas]],$L$7:L428,1)</f>
        <v>1311</v>
      </c>
      <c r="O429" s="3">
        <f>IF(OR(detalhe_carro1[[#This Row],[Ultima Chegada]]=0,detalhe_carro1[[#This Row],[Chegada]]=0),"",detalhe_carro1[[#This Row],[Hora Inicio]]-detalhe_carro1[[#This Row],[Ultima Chegada]])</f>
        <v>12</v>
      </c>
      <c r="P429" s="3">
        <f>IF(detalhe_carro1[[#This Row],[Tipo]]="Visitar Nó",((detalhe_carro1[[#This Row],[Hora Fim]]-detalhe_carro1[[#This Row],[Hora Inicio]])/60*velocidade_nos),0)</f>
        <v>0</v>
      </c>
      <c r="Q429" s="29">
        <f>detalhe_carro1[[#This Row],[Kms Nós]]+detalhe_carro1[[#This Row],[kms]]</f>
        <v>0</v>
      </c>
    </row>
    <row r="430" spans="2:17" hidden="1" x14ac:dyDescent="0.25">
      <c r="B430" s="3">
        <v>3</v>
      </c>
      <c r="C430">
        <v>2</v>
      </c>
      <c r="D430">
        <v>8</v>
      </c>
      <c r="E430" s="29" t="s">
        <v>302</v>
      </c>
      <c r="F430" s="3">
        <v>1323</v>
      </c>
      <c r="G430" s="3">
        <v>1333</v>
      </c>
      <c r="H430" s="29" t="s">
        <v>43</v>
      </c>
      <c r="J430" s="7">
        <v>0.21041666666666667</v>
      </c>
      <c r="K430" s="7">
        <v>0.21736111111111112</v>
      </c>
      <c r="L430" s="3">
        <f t="shared" si="12"/>
        <v>1</v>
      </c>
      <c r="M430" s="3">
        <f t="shared" si="13"/>
        <v>0</v>
      </c>
      <c r="N430" s="29">
        <f>_xlfn.MAXIFS($G$7:G429,$E$7:E429,detalhe_carro1[[#This Row],[Nó]],$B$7:B429,detalhe_carro1[[#This Row],[Numero Voltas]],$L$7:L429,1)</f>
        <v>1311</v>
      </c>
      <c r="O430" s="3" t="str">
        <f>IF(OR(detalhe_carro1[[#This Row],[Ultima Chegada]]=0,detalhe_carro1[[#This Row],[Chegada]]=0),"",detalhe_carro1[[#This Row],[Hora Inicio]]-detalhe_carro1[[#This Row],[Ultima Chegada]])</f>
        <v/>
      </c>
      <c r="P430" s="3">
        <f>IF(detalhe_carro1[[#This Row],[Tipo]]="Visitar Nó",((detalhe_carro1[[#This Row],[Hora Fim]]-detalhe_carro1[[#This Row],[Hora Inicio]])/60*velocidade_nos),0)</f>
        <v>5</v>
      </c>
      <c r="Q430" s="29">
        <f>detalhe_carro1[[#This Row],[Kms Nós]]+detalhe_carro1[[#This Row],[kms]]</f>
        <v>5</v>
      </c>
    </row>
    <row r="431" spans="2:17" hidden="1" x14ac:dyDescent="0.25">
      <c r="B431" s="3">
        <v>3</v>
      </c>
      <c r="C431">
        <v>2</v>
      </c>
      <c r="D431">
        <v>7</v>
      </c>
      <c r="E431" s="29" t="s">
        <v>301</v>
      </c>
      <c r="F431" s="3">
        <v>1339</v>
      </c>
      <c r="G431" s="3">
        <v>1339</v>
      </c>
      <c r="H431" s="29" t="s">
        <v>44</v>
      </c>
      <c r="J431" s="7">
        <v>0.22152777777777777</v>
      </c>
      <c r="K431" s="7">
        <v>0.22152777777777777</v>
      </c>
      <c r="L431" s="3">
        <f t="shared" si="12"/>
        <v>1</v>
      </c>
      <c r="M431" s="3">
        <f t="shared" si="13"/>
        <v>1</v>
      </c>
      <c r="N431" s="29">
        <f>_xlfn.MAXIFS($G$7:G430,$E$7:E430,detalhe_carro1[[#This Row],[Nó]],$B$7:B430,detalhe_carro1[[#This Row],[Numero Voltas]],$L$7:L430,1)</f>
        <v>1295</v>
      </c>
      <c r="O431" s="3">
        <f>IF(OR(detalhe_carro1[[#This Row],[Ultima Chegada]]=0,detalhe_carro1[[#This Row],[Chegada]]=0),"",detalhe_carro1[[#This Row],[Hora Inicio]]-detalhe_carro1[[#This Row],[Ultima Chegada]])</f>
        <v>44</v>
      </c>
      <c r="P431" s="3">
        <f>IF(detalhe_carro1[[#This Row],[Tipo]]="Visitar Nó",((detalhe_carro1[[#This Row],[Hora Fim]]-detalhe_carro1[[#This Row],[Hora Inicio]])/60*velocidade_nos),0)</f>
        <v>0</v>
      </c>
      <c r="Q431" s="29">
        <f>detalhe_carro1[[#This Row],[Kms Nós]]+detalhe_carro1[[#This Row],[kms]]</f>
        <v>0</v>
      </c>
    </row>
    <row r="432" spans="2:17" hidden="1" x14ac:dyDescent="0.25">
      <c r="B432" s="3">
        <v>3</v>
      </c>
      <c r="C432">
        <v>2</v>
      </c>
      <c r="D432">
        <v>6</v>
      </c>
      <c r="E432" s="29" t="s">
        <v>300</v>
      </c>
      <c r="F432" s="3">
        <v>1342</v>
      </c>
      <c r="G432" s="3">
        <v>1342</v>
      </c>
      <c r="H432" s="29" t="s">
        <v>44</v>
      </c>
      <c r="J432" s="7">
        <v>0.22361111111111112</v>
      </c>
      <c r="K432" s="7">
        <v>0.22361111111111112</v>
      </c>
      <c r="L432" s="3">
        <f t="shared" si="12"/>
        <v>1</v>
      </c>
      <c r="M432" s="3">
        <f t="shared" si="13"/>
        <v>1</v>
      </c>
      <c r="N432" s="29">
        <f>_xlfn.MAXIFS($G$7:G431,$E$7:E431,detalhe_carro1[[#This Row],[Nó]],$B$7:B431,detalhe_carro1[[#This Row],[Numero Voltas]],$L$7:L431,1)</f>
        <v>1282</v>
      </c>
      <c r="O432" s="3">
        <f>IF(OR(detalhe_carro1[[#This Row],[Ultima Chegada]]=0,detalhe_carro1[[#This Row],[Chegada]]=0),"",detalhe_carro1[[#This Row],[Hora Inicio]]-detalhe_carro1[[#This Row],[Ultima Chegada]])</f>
        <v>60</v>
      </c>
      <c r="P432" s="3">
        <f>IF(detalhe_carro1[[#This Row],[Tipo]]="Visitar Nó",((detalhe_carro1[[#This Row],[Hora Fim]]-detalhe_carro1[[#This Row],[Hora Inicio]])/60*velocidade_nos),0)</f>
        <v>0</v>
      </c>
      <c r="Q432" s="29">
        <f>detalhe_carro1[[#This Row],[Kms Nós]]+detalhe_carro1[[#This Row],[kms]]</f>
        <v>0</v>
      </c>
    </row>
    <row r="433" spans="2:17" hidden="1" x14ac:dyDescent="0.25">
      <c r="B433" s="3">
        <v>3</v>
      </c>
      <c r="C433">
        <v>2</v>
      </c>
      <c r="D433">
        <v>5</v>
      </c>
      <c r="E433" s="29" t="s">
        <v>215</v>
      </c>
      <c r="F433" s="3">
        <v>1346</v>
      </c>
      <c r="G433" s="3">
        <v>1346</v>
      </c>
      <c r="H433" s="29" t="s">
        <v>44</v>
      </c>
      <c r="J433" s="7">
        <v>0.22638888888888889</v>
      </c>
      <c r="K433" s="7">
        <v>0.22638888888888889</v>
      </c>
      <c r="L433" s="3">
        <f t="shared" si="12"/>
        <v>1</v>
      </c>
      <c r="M433" s="3">
        <f t="shared" si="13"/>
        <v>1</v>
      </c>
      <c r="N433" s="29">
        <f>_xlfn.MAXIFS($G$7:G432,$E$7:E432,detalhe_carro1[[#This Row],[Nó]],$B$7:B432,detalhe_carro1[[#This Row],[Numero Voltas]],$L$7:L432,1)</f>
        <v>1278</v>
      </c>
      <c r="O433" s="3">
        <f>IF(OR(detalhe_carro1[[#This Row],[Ultima Chegada]]=0,detalhe_carro1[[#This Row],[Chegada]]=0),"",detalhe_carro1[[#This Row],[Hora Inicio]]-detalhe_carro1[[#This Row],[Ultima Chegada]])</f>
        <v>68</v>
      </c>
      <c r="P433" s="3">
        <f>IF(detalhe_carro1[[#This Row],[Tipo]]="Visitar Nó",((detalhe_carro1[[#This Row],[Hora Fim]]-detalhe_carro1[[#This Row],[Hora Inicio]])/60*velocidade_nos),0)</f>
        <v>0</v>
      </c>
      <c r="Q433" s="29">
        <f>detalhe_carro1[[#This Row],[Kms Nós]]+detalhe_carro1[[#This Row],[kms]]</f>
        <v>0</v>
      </c>
    </row>
    <row r="434" spans="2:17" hidden="1" x14ac:dyDescent="0.25">
      <c r="B434" s="3">
        <v>3</v>
      </c>
      <c r="C434">
        <v>2</v>
      </c>
      <c r="D434">
        <v>4</v>
      </c>
      <c r="E434" s="29" t="s">
        <v>2</v>
      </c>
      <c r="F434" s="3">
        <v>1349</v>
      </c>
      <c r="G434" s="3">
        <v>1349</v>
      </c>
      <c r="H434" s="29" t="s">
        <v>44</v>
      </c>
      <c r="J434" s="7">
        <v>0.22847222222222222</v>
      </c>
      <c r="K434" s="7">
        <v>0.22847222222222222</v>
      </c>
      <c r="L434" s="3">
        <f t="shared" si="12"/>
        <v>1</v>
      </c>
      <c r="M434" s="3">
        <f t="shared" si="13"/>
        <v>1</v>
      </c>
      <c r="N434" s="29">
        <f>_xlfn.MAXIFS($G$7:G433,$E$7:E433,detalhe_carro1[[#This Row],[Nó]],$B$7:B433,detalhe_carro1[[#This Row],[Numero Voltas]],$L$7:L433,1)</f>
        <v>1275</v>
      </c>
      <c r="O434" s="3">
        <f>IF(OR(detalhe_carro1[[#This Row],[Ultima Chegada]]=0,detalhe_carro1[[#This Row],[Chegada]]=0),"",detalhe_carro1[[#This Row],[Hora Inicio]]-detalhe_carro1[[#This Row],[Ultima Chegada]])</f>
        <v>74</v>
      </c>
      <c r="P434" s="3">
        <f>IF(detalhe_carro1[[#This Row],[Tipo]]="Visitar Nó",((detalhe_carro1[[#This Row],[Hora Fim]]-detalhe_carro1[[#This Row],[Hora Inicio]])/60*velocidade_nos),0)</f>
        <v>0</v>
      </c>
      <c r="Q434" s="29">
        <f>detalhe_carro1[[#This Row],[Kms Nós]]+detalhe_carro1[[#This Row],[kms]]</f>
        <v>0</v>
      </c>
    </row>
    <row r="435" spans="2:17" hidden="1" x14ac:dyDescent="0.25">
      <c r="B435" s="3">
        <v>3</v>
      </c>
      <c r="C435">
        <v>2</v>
      </c>
      <c r="D435">
        <v>3</v>
      </c>
      <c r="E435" s="29" t="s">
        <v>208</v>
      </c>
      <c r="F435" s="3">
        <v>1354</v>
      </c>
      <c r="G435" s="3">
        <v>1354</v>
      </c>
      <c r="H435" s="29" t="s">
        <v>44</v>
      </c>
      <c r="J435" s="7">
        <v>0.23194444444444445</v>
      </c>
      <c r="K435" s="7">
        <v>0.23194444444444445</v>
      </c>
      <c r="L435" s="3">
        <f t="shared" si="12"/>
        <v>0</v>
      </c>
      <c r="M435" s="3">
        <f t="shared" si="13"/>
        <v>1</v>
      </c>
      <c r="N435" s="29">
        <f>_xlfn.MAXIFS($G$7:G434,$E$7:E434,detalhe_carro1[[#This Row],[Nó]],$B$7:B434,detalhe_carro1[[#This Row],[Numero Voltas]],$L$7:L434,1)</f>
        <v>1257</v>
      </c>
      <c r="O435" s="3">
        <f>IF(OR(detalhe_carro1[[#This Row],[Ultima Chegada]]=0,detalhe_carro1[[#This Row],[Chegada]]=0),"",detalhe_carro1[[#This Row],[Hora Inicio]]-detalhe_carro1[[#This Row],[Ultima Chegada]])</f>
        <v>97</v>
      </c>
      <c r="P435" s="3">
        <f>IF(detalhe_carro1[[#This Row],[Tipo]]="Visitar Nó",((detalhe_carro1[[#This Row],[Hora Fim]]-detalhe_carro1[[#This Row],[Hora Inicio]])/60*velocidade_nos),0)</f>
        <v>0</v>
      </c>
      <c r="Q435" s="29">
        <f>detalhe_carro1[[#This Row],[Kms Nós]]+detalhe_carro1[[#This Row],[kms]]</f>
        <v>0</v>
      </c>
    </row>
    <row r="436" spans="2:17" hidden="1" x14ac:dyDescent="0.25">
      <c r="B436" s="3">
        <v>3</v>
      </c>
      <c r="C436">
        <v>2</v>
      </c>
      <c r="D436">
        <v>3</v>
      </c>
      <c r="E436" s="29" t="s">
        <v>208</v>
      </c>
      <c r="F436" s="3">
        <v>1354</v>
      </c>
      <c r="G436" s="3">
        <v>1367</v>
      </c>
      <c r="H436" s="29" t="s">
        <v>43</v>
      </c>
      <c r="J436" s="7">
        <v>0.23194444444444445</v>
      </c>
      <c r="K436" s="7">
        <v>0.24097222222222223</v>
      </c>
      <c r="L436" s="3">
        <f t="shared" si="12"/>
        <v>1</v>
      </c>
      <c r="M436" s="3">
        <f t="shared" si="13"/>
        <v>0</v>
      </c>
      <c r="N436" s="29">
        <f>_xlfn.MAXIFS($G$7:G435,$E$7:E435,detalhe_carro1[[#This Row],[Nó]],$B$7:B435,detalhe_carro1[[#This Row],[Numero Voltas]],$L$7:L435,1)</f>
        <v>1257</v>
      </c>
      <c r="O436" s="3" t="str">
        <f>IF(OR(detalhe_carro1[[#This Row],[Ultima Chegada]]=0,detalhe_carro1[[#This Row],[Chegada]]=0),"",detalhe_carro1[[#This Row],[Hora Inicio]]-detalhe_carro1[[#This Row],[Ultima Chegada]])</f>
        <v/>
      </c>
      <c r="P436" s="3">
        <f>IF(detalhe_carro1[[#This Row],[Tipo]]="Visitar Nó",((detalhe_carro1[[#This Row],[Hora Fim]]-detalhe_carro1[[#This Row],[Hora Inicio]])/60*velocidade_nos),0)</f>
        <v>6.5</v>
      </c>
      <c r="Q436" s="29">
        <f>detalhe_carro1[[#This Row],[Kms Nós]]+detalhe_carro1[[#This Row],[kms]]</f>
        <v>6.5</v>
      </c>
    </row>
    <row r="437" spans="2:17" hidden="1" x14ac:dyDescent="0.25">
      <c r="B437" s="3">
        <v>3</v>
      </c>
      <c r="C437">
        <v>2</v>
      </c>
      <c r="D437">
        <v>2</v>
      </c>
      <c r="E437" s="29" t="s">
        <v>228</v>
      </c>
      <c r="F437" s="3">
        <v>1370</v>
      </c>
      <c r="G437" s="3">
        <v>1370</v>
      </c>
      <c r="H437" s="29" t="s">
        <v>44</v>
      </c>
      <c r="J437" s="7">
        <v>0.24305555555555555</v>
      </c>
      <c r="K437" s="7">
        <v>0.24305555555555555</v>
      </c>
      <c r="L437" s="3">
        <f t="shared" si="12"/>
        <v>1</v>
      </c>
      <c r="M437" s="3">
        <f t="shared" si="13"/>
        <v>1</v>
      </c>
      <c r="N437" s="29">
        <f>_xlfn.MAXIFS($G$7:G436,$E$7:E436,detalhe_carro1[[#This Row],[Nó]],$B$7:B436,detalhe_carro1[[#This Row],[Numero Voltas]],$L$7:L436,1)</f>
        <v>1241</v>
      </c>
      <c r="O437" s="3">
        <f>IF(OR(detalhe_carro1[[#This Row],[Ultima Chegada]]=0,detalhe_carro1[[#This Row],[Chegada]]=0),"",detalhe_carro1[[#This Row],[Hora Inicio]]-detalhe_carro1[[#This Row],[Ultima Chegada]])</f>
        <v>129</v>
      </c>
      <c r="P437" s="3">
        <f>IF(detalhe_carro1[[#This Row],[Tipo]]="Visitar Nó",((detalhe_carro1[[#This Row],[Hora Fim]]-detalhe_carro1[[#This Row],[Hora Inicio]])/60*velocidade_nos),0)</f>
        <v>0</v>
      </c>
      <c r="Q437" s="29">
        <f>detalhe_carro1[[#This Row],[Kms Nós]]+detalhe_carro1[[#This Row],[kms]]</f>
        <v>0</v>
      </c>
    </row>
    <row r="438" spans="2:17" hidden="1" x14ac:dyDescent="0.25">
      <c r="B438" s="3">
        <v>3</v>
      </c>
      <c r="C438">
        <v>2</v>
      </c>
      <c r="D438">
        <v>1</v>
      </c>
      <c r="E438" s="29" t="s">
        <v>200</v>
      </c>
      <c r="F438" s="3">
        <v>1371</v>
      </c>
      <c r="G438" s="3">
        <v>1371</v>
      </c>
      <c r="H438" s="29" t="s">
        <v>44</v>
      </c>
      <c r="J438" s="7">
        <v>0.24374999999999999</v>
      </c>
      <c r="K438" s="7">
        <v>0.24374999999999999</v>
      </c>
      <c r="L438" s="3">
        <f t="shared" si="12"/>
        <v>0</v>
      </c>
      <c r="M438" s="3">
        <f t="shared" si="13"/>
        <v>1</v>
      </c>
      <c r="N438" s="29">
        <f>_xlfn.MAXIFS($G$7:G437,$E$7:E437,detalhe_carro1[[#This Row],[Nó]],$B$7:B437,detalhe_carro1[[#This Row],[Numero Voltas]],$L$7:L437,1)</f>
        <v>1222</v>
      </c>
      <c r="O438" s="3">
        <f>IF(OR(detalhe_carro1[[#This Row],[Ultima Chegada]]=0,detalhe_carro1[[#This Row],[Chegada]]=0),"",detalhe_carro1[[#This Row],[Hora Inicio]]-detalhe_carro1[[#This Row],[Ultima Chegada]])</f>
        <v>149</v>
      </c>
      <c r="P438" s="3">
        <f>IF(detalhe_carro1[[#This Row],[Tipo]]="Visitar Nó",((detalhe_carro1[[#This Row],[Hora Fim]]-detalhe_carro1[[#This Row],[Hora Inicio]])/60*velocidade_nos),0)</f>
        <v>0</v>
      </c>
      <c r="Q438" s="29">
        <f>detalhe_carro1[[#This Row],[Kms Nós]]+detalhe_carro1[[#This Row],[kms]]</f>
        <v>0</v>
      </c>
    </row>
    <row r="439" spans="2:17" hidden="1" x14ac:dyDescent="0.25">
      <c r="B439" s="3">
        <v>3</v>
      </c>
      <c r="C439">
        <v>2</v>
      </c>
      <c r="D439">
        <v>1</v>
      </c>
      <c r="E439" s="29" t="s">
        <v>200</v>
      </c>
      <c r="F439" s="3">
        <v>1371</v>
      </c>
      <c r="G439" s="3">
        <v>1375</v>
      </c>
      <c r="H439" s="29" t="s">
        <v>43</v>
      </c>
      <c r="J439" s="7">
        <v>0.24374999999999999</v>
      </c>
      <c r="K439" s="7">
        <v>0.24652777777777779</v>
      </c>
      <c r="L439" s="3">
        <f t="shared" si="12"/>
        <v>1</v>
      </c>
      <c r="M439" s="3">
        <f t="shared" si="13"/>
        <v>0</v>
      </c>
      <c r="N439" s="29">
        <f>_xlfn.MAXIFS($G$7:G438,$E$7:E438,detalhe_carro1[[#This Row],[Nó]],$B$7:B438,detalhe_carro1[[#This Row],[Numero Voltas]],$L$7:L438,1)</f>
        <v>1222</v>
      </c>
      <c r="O439" s="3" t="str">
        <f>IF(OR(detalhe_carro1[[#This Row],[Ultima Chegada]]=0,detalhe_carro1[[#This Row],[Chegada]]=0),"",detalhe_carro1[[#This Row],[Hora Inicio]]-detalhe_carro1[[#This Row],[Ultima Chegada]])</f>
        <v/>
      </c>
      <c r="P439" s="3">
        <f>IF(detalhe_carro1[[#This Row],[Tipo]]="Visitar Nó",((detalhe_carro1[[#This Row],[Hora Fim]]-detalhe_carro1[[#This Row],[Hora Inicio]])/60*velocidade_nos),0)</f>
        <v>2</v>
      </c>
      <c r="Q439" s="29">
        <f>detalhe_carro1[[#This Row],[Kms Nós]]+detalhe_carro1[[#This Row],[kms]]</f>
        <v>2</v>
      </c>
    </row>
    <row r="440" spans="2:17" hidden="1" x14ac:dyDescent="0.25">
      <c r="B440" s="3">
        <v>3</v>
      </c>
      <c r="C440">
        <v>2</v>
      </c>
      <c r="D440">
        <v>0</v>
      </c>
      <c r="E440" s="29" t="s">
        <v>203</v>
      </c>
      <c r="F440" s="3">
        <v>1377</v>
      </c>
      <c r="G440" s="3">
        <v>1377</v>
      </c>
      <c r="H440" s="29" t="s">
        <v>44</v>
      </c>
      <c r="J440" s="7">
        <v>0.24791666666666667</v>
      </c>
      <c r="K440" s="7">
        <v>0.24791666666666667</v>
      </c>
      <c r="L440" s="3">
        <f t="shared" si="12"/>
        <v>0</v>
      </c>
      <c r="M440" s="3">
        <f t="shared" si="13"/>
        <v>1</v>
      </c>
      <c r="N440" s="29">
        <f>_xlfn.MAXIFS($G$7:G439,$E$7:E439,detalhe_carro1[[#This Row],[Nó]],$B$7:B439,detalhe_carro1[[#This Row],[Numero Voltas]],$L$7:L439,1)</f>
        <v>1216</v>
      </c>
      <c r="O440" s="3">
        <f>IF(OR(detalhe_carro1[[#This Row],[Ultima Chegada]]=0,detalhe_carro1[[#This Row],[Chegada]]=0),"",detalhe_carro1[[#This Row],[Hora Inicio]]-detalhe_carro1[[#This Row],[Ultima Chegada]])</f>
        <v>161</v>
      </c>
      <c r="P440" s="3">
        <f>IF(detalhe_carro1[[#This Row],[Tipo]]="Visitar Nó",((detalhe_carro1[[#This Row],[Hora Fim]]-detalhe_carro1[[#This Row],[Hora Inicio]])/60*velocidade_nos),0)</f>
        <v>0</v>
      </c>
      <c r="Q440" s="29">
        <f>detalhe_carro1[[#This Row],[Kms Nós]]+detalhe_carro1[[#This Row],[kms]]</f>
        <v>0</v>
      </c>
    </row>
    <row r="441" spans="2:17" hidden="1" x14ac:dyDescent="0.25">
      <c r="B441" s="3">
        <v>3</v>
      </c>
      <c r="C441">
        <v>2</v>
      </c>
      <c r="D441">
        <v>0</v>
      </c>
      <c r="E441" s="29" t="s">
        <v>203</v>
      </c>
      <c r="F441" s="3">
        <v>1377</v>
      </c>
      <c r="G441" s="3">
        <v>1377</v>
      </c>
      <c r="H441" s="29" t="s">
        <v>44</v>
      </c>
      <c r="J441" s="7">
        <v>0.24791666666666667</v>
      </c>
      <c r="K441" s="7">
        <v>0.24791666666666667</v>
      </c>
      <c r="L441" s="3">
        <f t="shared" si="12"/>
        <v>0</v>
      </c>
      <c r="M441" s="3">
        <f t="shared" si="13"/>
        <v>0</v>
      </c>
      <c r="N441" s="29">
        <f>_xlfn.MAXIFS($G$7:G440,$E$7:E440,detalhe_carro1[[#This Row],[Nó]],$B$7:B440,detalhe_carro1[[#This Row],[Numero Voltas]],$L$7:L440,1)</f>
        <v>1216</v>
      </c>
      <c r="O441" s="3" t="str">
        <f>IF(OR(detalhe_carro1[[#This Row],[Ultima Chegada]]=0,detalhe_carro1[[#This Row],[Chegada]]=0),"",detalhe_carro1[[#This Row],[Hora Inicio]]-detalhe_carro1[[#This Row],[Ultima Chegada]])</f>
        <v/>
      </c>
      <c r="P441" s="3">
        <f>IF(detalhe_carro1[[#This Row],[Tipo]]="Visitar Nó",((detalhe_carro1[[#This Row],[Hora Fim]]-detalhe_carro1[[#This Row],[Hora Inicio]])/60*velocidade_nos),0)</f>
        <v>0</v>
      </c>
      <c r="Q441" s="29">
        <f>detalhe_carro1[[#This Row],[Kms Nós]]+detalhe_carro1[[#This Row],[kms]]</f>
        <v>0</v>
      </c>
    </row>
    <row r="442" spans="2:17" hidden="1" x14ac:dyDescent="0.25">
      <c r="B442" s="3">
        <v>3</v>
      </c>
      <c r="C442">
        <v>2</v>
      </c>
      <c r="D442">
        <v>0</v>
      </c>
      <c r="E442" s="29" t="s">
        <v>203</v>
      </c>
      <c r="F442" s="3">
        <v>1377</v>
      </c>
      <c r="G442" s="3">
        <v>1385</v>
      </c>
      <c r="H442" s="29" t="s">
        <v>43</v>
      </c>
      <c r="J442" s="7">
        <v>0.24791666666666667</v>
      </c>
      <c r="K442" s="7">
        <v>0.25347222222222221</v>
      </c>
      <c r="L442" s="3">
        <f t="shared" si="12"/>
        <v>1</v>
      </c>
      <c r="M442" s="3">
        <f t="shared" si="13"/>
        <v>0</v>
      </c>
      <c r="N442" s="29">
        <f>_xlfn.MAXIFS($G$7:G441,$E$7:E441,detalhe_carro1[[#This Row],[Nó]],$B$7:B441,detalhe_carro1[[#This Row],[Numero Voltas]],$L$7:L441,1)</f>
        <v>1216</v>
      </c>
      <c r="O442" s="3" t="str">
        <f>IF(OR(detalhe_carro1[[#This Row],[Ultima Chegada]]=0,detalhe_carro1[[#This Row],[Chegada]]=0),"",detalhe_carro1[[#This Row],[Hora Inicio]]-detalhe_carro1[[#This Row],[Ultima Chegada]])</f>
        <v/>
      </c>
      <c r="P442" s="3">
        <f>IF(detalhe_carro1[[#This Row],[Tipo]]="Visitar Nó",((detalhe_carro1[[#This Row],[Hora Fim]]-detalhe_carro1[[#This Row],[Hora Inicio]])/60*velocidade_nos),0)</f>
        <v>4</v>
      </c>
      <c r="Q442" s="29">
        <f>detalhe_carro1[[#This Row],[Kms Nós]]+detalhe_carro1[[#This Row],[kms]]</f>
        <v>4</v>
      </c>
    </row>
    <row r="443" spans="2:17" hidden="1" x14ac:dyDescent="0.25">
      <c r="B443" s="3">
        <v>3</v>
      </c>
      <c r="C443">
        <v>2</v>
      </c>
      <c r="D443">
        <v>1</v>
      </c>
      <c r="E443" s="29" t="s">
        <v>200</v>
      </c>
      <c r="F443" s="3">
        <v>1387</v>
      </c>
      <c r="G443" s="3">
        <v>1387</v>
      </c>
      <c r="H443" s="29" t="s">
        <v>44</v>
      </c>
      <c r="J443" s="7">
        <v>0.25486111111111109</v>
      </c>
      <c r="K443" s="7">
        <v>0.25486111111111109</v>
      </c>
      <c r="L443" s="3">
        <f t="shared" si="12"/>
        <v>1</v>
      </c>
      <c r="M443" s="3">
        <f t="shared" si="13"/>
        <v>1</v>
      </c>
      <c r="N443" s="29">
        <f>_xlfn.MAXIFS($G$7:G442,$E$7:E442,detalhe_carro1[[#This Row],[Nó]],$B$7:B442,detalhe_carro1[[#This Row],[Numero Voltas]],$L$7:L442,1)</f>
        <v>1375</v>
      </c>
      <c r="O443" s="3">
        <f>IF(OR(detalhe_carro1[[#This Row],[Ultima Chegada]]=0,detalhe_carro1[[#This Row],[Chegada]]=0),"",detalhe_carro1[[#This Row],[Hora Inicio]]-detalhe_carro1[[#This Row],[Ultima Chegada]])</f>
        <v>12</v>
      </c>
      <c r="P443" s="3">
        <f>IF(detalhe_carro1[[#This Row],[Tipo]]="Visitar Nó",((detalhe_carro1[[#This Row],[Hora Fim]]-detalhe_carro1[[#This Row],[Hora Inicio]])/60*velocidade_nos),0)</f>
        <v>0</v>
      </c>
      <c r="Q443" s="29">
        <f>detalhe_carro1[[#This Row],[Kms Nós]]+detalhe_carro1[[#This Row],[kms]]</f>
        <v>0</v>
      </c>
    </row>
    <row r="444" spans="2:17" hidden="1" x14ac:dyDescent="0.25">
      <c r="B444" s="3">
        <v>3</v>
      </c>
      <c r="C444">
        <v>2</v>
      </c>
      <c r="D444">
        <v>2</v>
      </c>
      <c r="E444" s="29" t="s">
        <v>228</v>
      </c>
      <c r="F444" s="3">
        <v>1388</v>
      </c>
      <c r="G444" s="3">
        <v>1388</v>
      </c>
      <c r="H444" s="29" t="s">
        <v>44</v>
      </c>
      <c r="J444" s="7">
        <v>0.25555555555555554</v>
      </c>
      <c r="K444" s="7">
        <v>0.25555555555555554</v>
      </c>
      <c r="L444" s="3">
        <f t="shared" si="12"/>
        <v>1</v>
      </c>
      <c r="M444" s="3">
        <f t="shared" si="13"/>
        <v>1</v>
      </c>
      <c r="N444" s="29">
        <f>_xlfn.MAXIFS($G$7:G443,$E$7:E443,detalhe_carro1[[#This Row],[Nó]],$B$7:B443,detalhe_carro1[[#This Row],[Numero Voltas]],$L$7:L443,1)</f>
        <v>1370</v>
      </c>
      <c r="O444" s="3">
        <f>IF(OR(detalhe_carro1[[#This Row],[Ultima Chegada]]=0,detalhe_carro1[[#This Row],[Chegada]]=0),"",detalhe_carro1[[#This Row],[Hora Inicio]]-detalhe_carro1[[#This Row],[Ultima Chegada]])</f>
        <v>18</v>
      </c>
      <c r="P444" s="3">
        <f>IF(detalhe_carro1[[#This Row],[Tipo]]="Visitar Nó",((detalhe_carro1[[#This Row],[Hora Fim]]-detalhe_carro1[[#This Row],[Hora Inicio]])/60*velocidade_nos),0)</f>
        <v>0</v>
      </c>
      <c r="Q444" s="29">
        <f>detalhe_carro1[[#This Row],[Kms Nós]]+detalhe_carro1[[#This Row],[kms]]</f>
        <v>0</v>
      </c>
    </row>
    <row r="445" spans="2:17" hidden="1" x14ac:dyDescent="0.25">
      <c r="B445" s="3">
        <v>3</v>
      </c>
      <c r="C445">
        <v>2</v>
      </c>
      <c r="D445">
        <v>3</v>
      </c>
      <c r="E445" s="29" t="s">
        <v>208</v>
      </c>
      <c r="F445" s="3">
        <v>1391</v>
      </c>
      <c r="G445" s="3">
        <v>1391</v>
      </c>
      <c r="H445" s="29" t="s">
        <v>44</v>
      </c>
      <c r="J445" s="7">
        <v>0.25763888888888886</v>
      </c>
      <c r="K445" s="7">
        <v>0.25763888888888886</v>
      </c>
      <c r="L445" s="3">
        <f t="shared" si="12"/>
        <v>1</v>
      </c>
      <c r="M445" s="3">
        <f t="shared" si="13"/>
        <v>1</v>
      </c>
      <c r="N445" s="29">
        <f>_xlfn.MAXIFS($G$7:G444,$E$7:E444,detalhe_carro1[[#This Row],[Nó]],$B$7:B444,detalhe_carro1[[#This Row],[Numero Voltas]],$L$7:L444,1)</f>
        <v>1367</v>
      </c>
      <c r="O445" s="3">
        <f>IF(OR(detalhe_carro1[[#This Row],[Ultima Chegada]]=0,detalhe_carro1[[#This Row],[Chegada]]=0),"",detalhe_carro1[[#This Row],[Hora Inicio]]-detalhe_carro1[[#This Row],[Ultima Chegada]])</f>
        <v>24</v>
      </c>
      <c r="P445" s="3">
        <f>IF(detalhe_carro1[[#This Row],[Tipo]]="Visitar Nó",((detalhe_carro1[[#This Row],[Hora Fim]]-detalhe_carro1[[#This Row],[Hora Inicio]])/60*velocidade_nos),0)</f>
        <v>0</v>
      </c>
      <c r="Q445" s="29">
        <f>detalhe_carro1[[#This Row],[Kms Nós]]+detalhe_carro1[[#This Row],[kms]]</f>
        <v>0</v>
      </c>
    </row>
    <row r="446" spans="2:17" hidden="1" x14ac:dyDescent="0.25">
      <c r="B446" s="3">
        <v>3</v>
      </c>
      <c r="C446">
        <v>2</v>
      </c>
      <c r="D446">
        <v>4</v>
      </c>
      <c r="E446" s="29" t="s">
        <v>2</v>
      </c>
      <c r="F446" s="3">
        <v>1396</v>
      </c>
      <c r="G446" s="3">
        <v>1396</v>
      </c>
      <c r="H446" s="29" t="s">
        <v>44</v>
      </c>
      <c r="J446" s="7">
        <v>0.26111111111111113</v>
      </c>
      <c r="K446" s="7">
        <v>0.26111111111111113</v>
      </c>
      <c r="L446" s="3">
        <f t="shared" si="12"/>
        <v>1</v>
      </c>
      <c r="M446" s="3">
        <f t="shared" si="13"/>
        <v>1</v>
      </c>
      <c r="N446" s="29">
        <f>_xlfn.MAXIFS($G$7:G445,$E$7:E445,detalhe_carro1[[#This Row],[Nó]],$B$7:B445,detalhe_carro1[[#This Row],[Numero Voltas]],$L$7:L445,1)</f>
        <v>1349</v>
      </c>
      <c r="O446" s="3">
        <f>IF(OR(detalhe_carro1[[#This Row],[Ultima Chegada]]=0,detalhe_carro1[[#This Row],[Chegada]]=0),"",detalhe_carro1[[#This Row],[Hora Inicio]]-detalhe_carro1[[#This Row],[Ultima Chegada]])</f>
        <v>47</v>
      </c>
      <c r="P446" s="3">
        <f>IF(detalhe_carro1[[#This Row],[Tipo]]="Visitar Nó",((detalhe_carro1[[#This Row],[Hora Fim]]-detalhe_carro1[[#This Row],[Hora Inicio]])/60*velocidade_nos),0)</f>
        <v>0</v>
      </c>
      <c r="Q446" s="29">
        <f>detalhe_carro1[[#This Row],[Kms Nós]]+detalhe_carro1[[#This Row],[kms]]</f>
        <v>0</v>
      </c>
    </row>
    <row r="447" spans="2:17" hidden="1" x14ac:dyDescent="0.25">
      <c r="B447" s="3">
        <v>3</v>
      </c>
      <c r="C447">
        <v>2</v>
      </c>
      <c r="D447">
        <v>5</v>
      </c>
      <c r="E447" s="29" t="s">
        <v>215</v>
      </c>
      <c r="F447" s="3">
        <v>1399</v>
      </c>
      <c r="G447" s="3">
        <v>1399</v>
      </c>
      <c r="H447" s="29" t="s">
        <v>44</v>
      </c>
      <c r="J447" s="7">
        <v>0.26319444444444445</v>
      </c>
      <c r="K447" s="7">
        <v>0.26319444444444445</v>
      </c>
      <c r="L447" s="3">
        <f t="shared" si="12"/>
        <v>0</v>
      </c>
      <c r="M447" s="3">
        <f t="shared" si="13"/>
        <v>1</v>
      </c>
      <c r="N447" s="29">
        <f>_xlfn.MAXIFS($G$7:G446,$E$7:E446,detalhe_carro1[[#This Row],[Nó]],$B$7:B446,detalhe_carro1[[#This Row],[Numero Voltas]],$L$7:L446,1)</f>
        <v>1346</v>
      </c>
      <c r="O447" s="3">
        <f>IF(OR(detalhe_carro1[[#This Row],[Ultima Chegada]]=0,detalhe_carro1[[#This Row],[Chegada]]=0),"",detalhe_carro1[[#This Row],[Hora Inicio]]-detalhe_carro1[[#This Row],[Ultima Chegada]])</f>
        <v>53</v>
      </c>
      <c r="P447" s="3">
        <f>IF(detalhe_carro1[[#This Row],[Tipo]]="Visitar Nó",((detalhe_carro1[[#This Row],[Hora Fim]]-detalhe_carro1[[#This Row],[Hora Inicio]])/60*velocidade_nos),0)</f>
        <v>0</v>
      </c>
      <c r="Q447" s="29">
        <f>detalhe_carro1[[#This Row],[Kms Nós]]+detalhe_carro1[[#This Row],[kms]]</f>
        <v>0</v>
      </c>
    </row>
    <row r="448" spans="2:17" hidden="1" x14ac:dyDescent="0.25">
      <c r="B448" s="3">
        <v>3</v>
      </c>
      <c r="C448">
        <v>2</v>
      </c>
      <c r="D448">
        <v>5</v>
      </c>
      <c r="E448" s="29" t="s">
        <v>215</v>
      </c>
      <c r="F448" s="3">
        <v>1399</v>
      </c>
      <c r="G448" s="3">
        <v>1399</v>
      </c>
      <c r="H448" s="29" t="s">
        <v>43</v>
      </c>
      <c r="J448" s="7">
        <v>0.26319444444444445</v>
      </c>
      <c r="K448" s="7">
        <v>0.26319444444444445</v>
      </c>
      <c r="L448" s="3">
        <f t="shared" si="12"/>
        <v>1</v>
      </c>
      <c r="M448" s="3">
        <f t="shared" si="13"/>
        <v>0</v>
      </c>
      <c r="N448" s="29">
        <f>_xlfn.MAXIFS($G$7:G447,$E$7:E447,detalhe_carro1[[#This Row],[Nó]],$B$7:B447,detalhe_carro1[[#This Row],[Numero Voltas]],$L$7:L447,1)</f>
        <v>1346</v>
      </c>
      <c r="O448" s="3" t="str">
        <f>IF(OR(detalhe_carro1[[#This Row],[Ultima Chegada]]=0,detalhe_carro1[[#This Row],[Chegada]]=0),"",detalhe_carro1[[#This Row],[Hora Inicio]]-detalhe_carro1[[#This Row],[Ultima Chegada]])</f>
        <v/>
      </c>
      <c r="P448" s="3">
        <f>IF(detalhe_carro1[[#This Row],[Tipo]]="Visitar Nó",((detalhe_carro1[[#This Row],[Hora Fim]]-detalhe_carro1[[#This Row],[Hora Inicio]])/60*velocidade_nos),0)</f>
        <v>0</v>
      </c>
      <c r="Q448" s="29">
        <f>detalhe_carro1[[#This Row],[Kms Nós]]+detalhe_carro1[[#This Row],[kms]]</f>
        <v>0</v>
      </c>
    </row>
    <row r="449" spans="2:17" hidden="1" x14ac:dyDescent="0.25">
      <c r="B449" s="3">
        <v>3</v>
      </c>
      <c r="C449">
        <v>2</v>
      </c>
      <c r="D449">
        <v>6</v>
      </c>
      <c r="E449" s="29" t="s">
        <v>300</v>
      </c>
      <c r="F449" s="3">
        <v>1403</v>
      </c>
      <c r="G449" s="3">
        <v>1403</v>
      </c>
      <c r="H449" s="29" t="s">
        <v>44</v>
      </c>
      <c r="J449" s="7">
        <v>0.26597222222222222</v>
      </c>
      <c r="K449" s="7">
        <v>0.26597222222222222</v>
      </c>
      <c r="L449" s="3">
        <f t="shared" si="12"/>
        <v>0</v>
      </c>
      <c r="M449" s="3">
        <f t="shared" si="13"/>
        <v>1</v>
      </c>
      <c r="N449" s="29">
        <f>_xlfn.MAXIFS($G$7:G448,$E$7:E448,detalhe_carro1[[#This Row],[Nó]],$B$7:B448,detalhe_carro1[[#This Row],[Numero Voltas]],$L$7:L448,1)</f>
        <v>1342</v>
      </c>
      <c r="O449" s="3">
        <f>IF(OR(detalhe_carro1[[#This Row],[Ultima Chegada]]=0,detalhe_carro1[[#This Row],[Chegada]]=0),"",detalhe_carro1[[#This Row],[Hora Inicio]]-detalhe_carro1[[#This Row],[Ultima Chegada]])</f>
        <v>61</v>
      </c>
      <c r="P449" s="3">
        <f>IF(detalhe_carro1[[#This Row],[Tipo]]="Visitar Nó",((detalhe_carro1[[#This Row],[Hora Fim]]-detalhe_carro1[[#This Row],[Hora Inicio]])/60*velocidade_nos),0)</f>
        <v>0</v>
      </c>
      <c r="Q449" s="29">
        <f>detalhe_carro1[[#This Row],[Kms Nós]]+detalhe_carro1[[#This Row],[kms]]</f>
        <v>0</v>
      </c>
    </row>
    <row r="450" spans="2:17" hidden="1" x14ac:dyDescent="0.25">
      <c r="B450" s="3">
        <v>3</v>
      </c>
      <c r="C450">
        <v>2</v>
      </c>
      <c r="D450">
        <v>6</v>
      </c>
      <c r="E450" s="29" t="s">
        <v>300</v>
      </c>
      <c r="F450" s="3">
        <v>1403</v>
      </c>
      <c r="G450" s="3">
        <v>1403</v>
      </c>
      <c r="H450" s="29" t="s">
        <v>43</v>
      </c>
      <c r="J450" s="7">
        <v>0.26597222222222222</v>
      </c>
      <c r="K450" s="7">
        <v>0.26597222222222222</v>
      </c>
      <c r="L450" s="3">
        <f t="shared" si="12"/>
        <v>1</v>
      </c>
      <c r="M450" s="3">
        <f t="shared" si="13"/>
        <v>0</v>
      </c>
      <c r="N450" s="29">
        <f>_xlfn.MAXIFS($G$7:G449,$E$7:E449,detalhe_carro1[[#This Row],[Nó]],$B$7:B449,detalhe_carro1[[#This Row],[Numero Voltas]],$L$7:L449,1)</f>
        <v>1342</v>
      </c>
      <c r="O450" s="3" t="str">
        <f>IF(OR(detalhe_carro1[[#This Row],[Ultima Chegada]]=0,detalhe_carro1[[#This Row],[Chegada]]=0),"",detalhe_carro1[[#This Row],[Hora Inicio]]-detalhe_carro1[[#This Row],[Ultima Chegada]])</f>
        <v/>
      </c>
      <c r="P450" s="3">
        <f>IF(detalhe_carro1[[#This Row],[Tipo]]="Visitar Nó",((detalhe_carro1[[#This Row],[Hora Fim]]-detalhe_carro1[[#This Row],[Hora Inicio]])/60*velocidade_nos),0)</f>
        <v>0</v>
      </c>
      <c r="Q450" s="29">
        <f>detalhe_carro1[[#This Row],[Kms Nós]]+detalhe_carro1[[#This Row],[kms]]</f>
        <v>0</v>
      </c>
    </row>
    <row r="451" spans="2:17" hidden="1" x14ac:dyDescent="0.25">
      <c r="B451" s="3">
        <v>3</v>
      </c>
      <c r="C451">
        <v>2</v>
      </c>
      <c r="D451">
        <v>7</v>
      </c>
      <c r="E451" s="29" t="s">
        <v>301</v>
      </c>
      <c r="F451" s="3">
        <v>1406</v>
      </c>
      <c r="G451" s="3">
        <v>1406</v>
      </c>
      <c r="H451" s="29" t="s">
        <v>44</v>
      </c>
      <c r="J451" s="7">
        <v>0.26805555555555555</v>
      </c>
      <c r="K451" s="7">
        <v>0.26805555555555555</v>
      </c>
      <c r="L451" s="3">
        <f t="shared" si="12"/>
        <v>1</v>
      </c>
      <c r="M451" s="3">
        <f t="shared" si="13"/>
        <v>1</v>
      </c>
      <c r="N451" s="29">
        <f>_xlfn.MAXIFS($G$7:G450,$E$7:E450,detalhe_carro1[[#This Row],[Nó]],$B$7:B450,detalhe_carro1[[#This Row],[Numero Voltas]],$L$7:L450,1)</f>
        <v>1339</v>
      </c>
      <c r="O451" s="3">
        <f>IF(OR(detalhe_carro1[[#This Row],[Ultima Chegada]]=0,detalhe_carro1[[#This Row],[Chegada]]=0),"",detalhe_carro1[[#This Row],[Hora Inicio]]-detalhe_carro1[[#This Row],[Ultima Chegada]])</f>
        <v>67</v>
      </c>
      <c r="P451" s="3">
        <f>IF(detalhe_carro1[[#This Row],[Tipo]]="Visitar Nó",((detalhe_carro1[[#This Row],[Hora Fim]]-detalhe_carro1[[#This Row],[Hora Inicio]])/60*velocidade_nos),0)</f>
        <v>0</v>
      </c>
      <c r="Q451" s="29">
        <f>detalhe_carro1[[#This Row],[Kms Nós]]+detalhe_carro1[[#This Row],[kms]]</f>
        <v>0</v>
      </c>
    </row>
    <row r="452" spans="2:17" hidden="1" x14ac:dyDescent="0.25">
      <c r="B452" s="3">
        <v>3</v>
      </c>
      <c r="C452">
        <v>2</v>
      </c>
      <c r="D452">
        <v>8</v>
      </c>
      <c r="E452" s="29" t="s">
        <v>302</v>
      </c>
      <c r="F452" s="3">
        <v>1412</v>
      </c>
      <c r="G452" s="3">
        <v>1412</v>
      </c>
      <c r="H452" s="29" t="s">
        <v>44</v>
      </c>
      <c r="J452" s="7">
        <v>0.2722222222222222</v>
      </c>
      <c r="K452" s="7">
        <v>0.2722222222222222</v>
      </c>
      <c r="L452" s="3">
        <f t="shared" si="12"/>
        <v>1</v>
      </c>
      <c r="M452" s="3">
        <f t="shared" si="13"/>
        <v>1</v>
      </c>
      <c r="N452" s="29">
        <f>_xlfn.MAXIFS($G$7:G451,$E$7:E451,detalhe_carro1[[#This Row],[Nó]],$B$7:B451,detalhe_carro1[[#This Row],[Numero Voltas]],$L$7:L451,1)</f>
        <v>1333</v>
      </c>
      <c r="O452" s="3">
        <f>IF(OR(detalhe_carro1[[#This Row],[Ultima Chegada]]=0,detalhe_carro1[[#This Row],[Chegada]]=0),"",detalhe_carro1[[#This Row],[Hora Inicio]]-detalhe_carro1[[#This Row],[Ultima Chegada]])</f>
        <v>79</v>
      </c>
      <c r="P452" s="3">
        <f>IF(detalhe_carro1[[#This Row],[Tipo]]="Visitar Nó",((detalhe_carro1[[#This Row],[Hora Fim]]-detalhe_carro1[[#This Row],[Hora Inicio]])/60*velocidade_nos),0)</f>
        <v>0</v>
      </c>
      <c r="Q452" s="29">
        <f>detalhe_carro1[[#This Row],[Kms Nós]]+detalhe_carro1[[#This Row],[kms]]</f>
        <v>0</v>
      </c>
    </row>
    <row r="453" spans="2:17" hidden="1" x14ac:dyDescent="0.25">
      <c r="B453" s="3">
        <v>3</v>
      </c>
      <c r="C453">
        <v>2</v>
      </c>
      <c r="D453">
        <v>9</v>
      </c>
      <c r="E453" s="29" t="s">
        <v>303</v>
      </c>
      <c r="F453" s="3">
        <v>1418</v>
      </c>
      <c r="G453" s="3">
        <v>1418</v>
      </c>
      <c r="H453" s="29" t="s">
        <v>44</v>
      </c>
      <c r="J453" s="7">
        <v>0.27638888888888891</v>
      </c>
      <c r="K453" s="7">
        <v>0.27638888888888891</v>
      </c>
      <c r="L453" s="3">
        <f t="shared" si="12"/>
        <v>0</v>
      </c>
      <c r="M453" s="3">
        <f t="shared" si="13"/>
        <v>1</v>
      </c>
      <c r="N453" s="29">
        <f>_xlfn.MAXIFS($G$7:G452,$E$7:E452,detalhe_carro1[[#This Row],[Nó]],$B$7:B452,detalhe_carro1[[#This Row],[Numero Voltas]],$L$7:L452,1)</f>
        <v>1317</v>
      </c>
      <c r="O453" s="3">
        <f>IF(OR(detalhe_carro1[[#This Row],[Ultima Chegada]]=0,detalhe_carro1[[#This Row],[Chegada]]=0),"",detalhe_carro1[[#This Row],[Hora Inicio]]-detalhe_carro1[[#This Row],[Ultima Chegada]])</f>
        <v>101</v>
      </c>
      <c r="P453" s="3">
        <f>IF(detalhe_carro1[[#This Row],[Tipo]]="Visitar Nó",((detalhe_carro1[[#This Row],[Hora Fim]]-detalhe_carro1[[#This Row],[Hora Inicio]])/60*velocidade_nos),0)</f>
        <v>0</v>
      </c>
      <c r="Q453" s="29">
        <f>detalhe_carro1[[#This Row],[Kms Nós]]+detalhe_carro1[[#This Row],[kms]]</f>
        <v>0</v>
      </c>
    </row>
    <row r="454" spans="2:17" hidden="1" x14ac:dyDescent="0.25">
      <c r="B454" s="3">
        <v>3</v>
      </c>
      <c r="C454">
        <v>2</v>
      </c>
      <c r="D454">
        <v>9</v>
      </c>
      <c r="E454" s="29" t="s">
        <v>303</v>
      </c>
      <c r="F454" s="3">
        <v>1418</v>
      </c>
      <c r="G454" s="3">
        <v>1418</v>
      </c>
      <c r="H454" s="29" t="s">
        <v>44</v>
      </c>
      <c r="J454" s="7">
        <v>0.27638888888888891</v>
      </c>
      <c r="K454" s="7">
        <v>0.27638888888888891</v>
      </c>
      <c r="L454" s="3">
        <f t="shared" si="12"/>
        <v>1</v>
      </c>
      <c r="M454" s="3">
        <f t="shared" si="13"/>
        <v>0</v>
      </c>
      <c r="N454" s="29">
        <f>_xlfn.MAXIFS($G$7:G453,$E$7:E453,detalhe_carro1[[#This Row],[Nó]],$B$7:B453,detalhe_carro1[[#This Row],[Numero Voltas]],$L$7:L453,1)</f>
        <v>1317</v>
      </c>
      <c r="O454" s="3" t="str">
        <f>IF(OR(detalhe_carro1[[#This Row],[Ultima Chegada]]=0,detalhe_carro1[[#This Row],[Chegada]]=0),"",detalhe_carro1[[#This Row],[Hora Inicio]]-detalhe_carro1[[#This Row],[Ultima Chegada]])</f>
        <v/>
      </c>
      <c r="P454" s="3">
        <f>IF(detalhe_carro1[[#This Row],[Tipo]]="Visitar Nó",((detalhe_carro1[[#This Row],[Hora Fim]]-detalhe_carro1[[#This Row],[Hora Inicio]])/60*velocidade_nos),0)</f>
        <v>0</v>
      </c>
      <c r="Q454" s="29">
        <f>detalhe_carro1[[#This Row],[Kms Nós]]+detalhe_carro1[[#This Row],[kms]]</f>
        <v>0</v>
      </c>
    </row>
    <row r="455" spans="2:17" hidden="1" x14ac:dyDescent="0.25">
      <c r="B455" s="3">
        <v>3</v>
      </c>
      <c r="C455">
        <v>2</v>
      </c>
      <c r="D455">
        <v>8</v>
      </c>
      <c r="E455" s="29" t="s">
        <v>302</v>
      </c>
      <c r="F455" s="3">
        <v>1424</v>
      </c>
      <c r="G455" s="3">
        <v>1424</v>
      </c>
      <c r="H455" s="29" t="s">
        <v>44</v>
      </c>
      <c r="J455" s="7">
        <v>0.28055555555555556</v>
      </c>
      <c r="K455" s="7">
        <v>0.28055555555555556</v>
      </c>
      <c r="L455" s="3">
        <f t="shared" ref="L455:L462" si="14">IF(E455&lt;&gt;E456,1,0)</f>
        <v>1</v>
      </c>
      <c r="M455" s="3">
        <f t="shared" ref="M455:M462" si="15">IF(E455&lt;&gt;E454,1,0)</f>
        <v>1</v>
      </c>
      <c r="N455" s="29">
        <f>_xlfn.MAXIFS($G$7:G454,$E$7:E454,detalhe_carro1[[#This Row],[Nó]],$B$7:B454,detalhe_carro1[[#This Row],[Numero Voltas]],$L$7:L454,1)</f>
        <v>1412</v>
      </c>
      <c r="O455" s="3">
        <f>IF(OR(detalhe_carro1[[#This Row],[Ultima Chegada]]=0,detalhe_carro1[[#This Row],[Chegada]]=0),"",detalhe_carro1[[#This Row],[Hora Inicio]]-detalhe_carro1[[#This Row],[Ultima Chegada]])</f>
        <v>12</v>
      </c>
      <c r="P455" s="3">
        <f>IF(detalhe_carro1[[#This Row],[Tipo]]="Visitar Nó",((detalhe_carro1[[#This Row],[Hora Fim]]-detalhe_carro1[[#This Row],[Hora Inicio]])/60*velocidade_nos),0)</f>
        <v>0</v>
      </c>
      <c r="Q455" s="29">
        <f>detalhe_carro1[[#This Row],[Kms Nós]]+detalhe_carro1[[#This Row],[kms]]</f>
        <v>0</v>
      </c>
    </row>
    <row r="456" spans="2:17" hidden="1" x14ac:dyDescent="0.25">
      <c r="B456" s="3">
        <v>3</v>
      </c>
      <c r="C456">
        <v>2</v>
      </c>
      <c r="D456">
        <v>7</v>
      </c>
      <c r="E456" s="29" t="s">
        <v>301</v>
      </c>
      <c r="F456" s="3">
        <v>1430</v>
      </c>
      <c r="G456" s="3">
        <v>1430</v>
      </c>
      <c r="H456" s="29" t="s">
        <v>44</v>
      </c>
      <c r="J456" s="7">
        <v>0.28472222222222221</v>
      </c>
      <c r="K456" s="7">
        <v>0.28472222222222221</v>
      </c>
      <c r="L456" s="3">
        <f t="shared" si="14"/>
        <v>1</v>
      </c>
      <c r="M456" s="3">
        <f t="shared" si="15"/>
        <v>1</v>
      </c>
      <c r="N456" s="29">
        <f>_xlfn.MAXIFS($G$7:G455,$E$7:E455,detalhe_carro1[[#This Row],[Nó]],$B$7:B455,detalhe_carro1[[#This Row],[Numero Voltas]],$L$7:L455,1)</f>
        <v>1406</v>
      </c>
      <c r="O456" s="3">
        <f>IF(OR(detalhe_carro1[[#This Row],[Ultima Chegada]]=0,detalhe_carro1[[#This Row],[Chegada]]=0),"",detalhe_carro1[[#This Row],[Hora Inicio]]-detalhe_carro1[[#This Row],[Ultima Chegada]])</f>
        <v>24</v>
      </c>
      <c r="P456" s="3">
        <f>IF(detalhe_carro1[[#This Row],[Tipo]]="Visitar Nó",((detalhe_carro1[[#This Row],[Hora Fim]]-detalhe_carro1[[#This Row],[Hora Inicio]])/60*velocidade_nos),0)</f>
        <v>0</v>
      </c>
      <c r="Q456" s="29">
        <f>detalhe_carro1[[#This Row],[Kms Nós]]+detalhe_carro1[[#This Row],[kms]]</f>
        <v>0</v>
      </c>
    </row>
    <row r="457" spans="2:17" hidden="1" x14ac:dyDescent="0.25">
      <c r="B457" s="3">
        <v>3</v>
      </c>
      <c r="C457">
        <v>2</v>
      </c>
      <c r="D457">
        <v>6</v>
      </c>
      <c r="E457" s="29" t="s">
        <v>300</v>
      </c>
      <c r="F457" s="3">
        <v>1433</v>
      </c>
      <c r="G457" s="3">
        <v>1433</v>
      </c>
      <c r="H457" s="29" t="s">
        <v>44</v>
      </c>
      <c r="J457" s="7">
        <v>0.28680555555555554</v>
      </c>
      <c r="K457" s="7">
        <v>0.28680555555555554</v>
      </c>
      <c r="L457" s="3">
        <f t="shared" si="14"/>
        <v>0</v>
      </c>
      <c r="M457" s="3">
        <f t="shared" si="15"/>
        <v>1</v>
      </c>
      <c r="N457" s="29">
        <f>_xlfn.MAXIFS($G$7:G456,$E$7:E456,detalhe_carro1[[#This Row],[Nó]],$B$7:B456,detalhe_carro1[[#This Row],[Numero Voltas]],$L$7:L456,1)</f>
        <v>1403</v>
      </c>
      <c r="O457" s="3">
        <f>IF(OR(detalhe_carro1[[#This Row],[Ultima Chegada]]=0,detalhe_carro1[[#This Row],[Chegada]]=0),"",detalhe_carro1[[#This Row],[Hora Inicio]]-detalhe_carro1[[#This Row],[Ultima Chegada]])</f>
        <v>30</v>
      </c>
      <c r="P457" s="3">
        <f>IF(detalhe_carro1[[#This Row],[Tipo]]="Visitar Nó",((detalhe_carro1[[#This Row],[Hora Fim]]-detalhe_carro1[[#This Row],[Hora Inicio]])/60*velocidade_nos),0)</f>
        <v>0</v>
      </c>
      <c r="Q457" s="29">
        <f>detalhe_carro1[[#This Row],[Kms Nós]]+detalhe_carro1[[#This Row],[kms]]</f>
        <v>0</v>
      </c>
    </row>
    <row r="458" spans="2:17" hidden="1" x14ac:dyDescent="0.25">
      <c r="B458" s="3">
        <v>3</v>
      </c>
      <c r="C458">
        <v>2</v>
      </c>
      <c r="D458">
        <v>6</v>
      </c>
      <c r="E458" s="29" t="s">
        <v>300</v>
      </c>
      <c r="F458" s="3">
        <v>1433</v>
      </c>
      <c r="G458" s="3">
        <v>1433</v>
      </c>
      <c r="H458" s="29" t="s">
        <v>43</v>
      </c>
      <c r="J458" s="7">
        <v>0.28680555555555554</v>
      </c>
      <c r="K458" s="7">
        <v>0.28680555555555554</v>
      </c>
      <c r="L458" s="3">
        <f t="shared" si="14"/>
        <v>1</v>
      </c>
      <c r="M458" s="3">
        <f t="shared" si="15"/>
        <v>0</v>
      </c>
      <c r="N458" s="29">
        <f>_xlfn.MAXIFS($G$7:G457,$E$7:E457,detalhe_carro1[[#This Row],[Nó]],$B$7:B457,detalhe_carro1[[#This Row],[Numero Voltas]],$L$7:L457,1)</f>
        <v>1403</v>
      </c>
      <c r="O458" s="3" t="str">
        <f>IF(OR(detalhe_carro1[[#This Row],[Ultima Chegada]]=0,detalhe_carro1[[#This Row],[Chegada]]=0),"",detalhe_carro1[[#This Row],[Hora Inicio]]-detalhe_carro1[[#This Row],[Ultima Chegada]])</f>
        <v/>
      </c>
      <c r="P458" s="3">
        <f>IF(detalhe_carro1[[#This Row],[Tipo]]="Visitar Nó",((detalhe_carro1[[#This Row],[Hora Fim]]-detalhe_carro1[[#This Row],[Hora Inicio]])/60*velocidade_nos),0)</f>
        <v>0</v>
      </c>
      <c r="Q458" s="29">
        <f>detalhe_carro1[[#This Row],[Kms Nós]]+detalhe_carro1[[#This Row],[kms]]</f>
        <v>0</v>
      </c>
    </row>
    <row r="459" spans="2:17" hidden="1" x14ac:dyDescent="0.25">
      <c r="B459" s="3">
        <v>3</v>
      </c>
      <c r="C459">
        <v>2</v>
      </c>
      <c r="D459">
        <v>5</v>
      </c>
      <c r="E459" s="29" t="s">
        <v>215</v>
      </c>
      <c r="F459" s="3">
        <v>1437</v>
      </c>
      <c r="G459" s="3">
        <v>1437</v>
      </c>
      <c r="H459" s="29" t="s">
        <v>44</v>
      </c>
      <c r="J459" s="7">
        <v>0.28958333333333336</v>
      </c>
      <c r="K459" s="7">
        <v>0.28958333333333336</v>
      </c>
      <c r="L459" s="3">
        <f t="shared" si="14"/>
        <v>0</v>
      </c>
      <c r="M459" s="3">
        <f t="shared" si="15"/>
        <v>1</v>
      </c>
      <c r="N459" s="29">
        <f>_xlfn.MAXIFS($G$7:G458,$E$7:E458,detalhe_carro1[[#This Row],[Nó]],$B$7:B458,detalhe_carro1[[#This Row],[Numero Voltas]],$L$7:L458,1)</f>
        <v>1399</v>
      </c>
      <c r="O459" s="3">
        <f>IF(OR(detalhe_carro1[[#This Row],[Ultima Chegada]]=0,detalhe_carro1[[#This Row],[Chegada]]=0),"",detalhe_carro1[[#This Row],[Hora Inicio]]-detalhe_carro1[[#This Row],[Ultima Chegada]])</f>
        <v>38</v>
      </c>
      <c r="P459" s="3">
        <f>IF(detalhe_carro1[[#This Row],[Tipo]]="Visitar Nó",((detalhe_carro1[[#This Row],[Hora Fim]]-detalhe_carro1[[#This Row],[Hora Inicio]])/60*velocidade_nos),0)</f>
        <v>0</v>
      </c>
      <c r="Q459" s="29">
        <f>detalhe_carro1[[#This Row],[Kms Nós]]+detalhe_carro1[[#This Row],[kms]]</f>
        <v>0</v>
      </c>
    </row>
    <row r="460" spans="2:17" hidden="1" x14ac:dyDescent="0.25">
      <c r="B460" s="3">
        <v>3</v>
      </c>
      <c r="C460">
        <v>2</v>
      </c>
      <c r="D460">
        <v>5</v>
      </c>
      <c r="E460" s="29" t="s">
        <v>215</v>
      </c>
      <c r="F460" s="3">
        <v>1437</v>
      </c>
      <c r="G460" s="3">
        <v>1437</v>
      </c>
      <c r="H460" s="29" t="s">
        <v>43</v>
      </c>
      <c r="J460" s="7">
        <v>0.28958333333333336</v>
      </c>
      <c r="K460" s="7">
        <v>0.28958333333333336</v>
      </c>
      <c r="L460" s="3">
        <f t="shared" si="14"/>
        <v>1</v>
      </c>
      <c r="M460" s="3">
        <f t="shared" si="15"/>
        <v>0</v>
      </c>
      <c r="N460" s="29">
        <f>_xlfn.MAXIFS($G$7:G459,$E$7:E459,detalhe_carro1[[#This Row],[Nó]],$B$7:B459,detalhe_carro1[[#This Row],[Numero Voltas]],$L$7:L459,1)</f>
        <v>1399</v>
      </c>
      <c r="O460" s="3" t="str">
        <f>IF(OR(detalhe_carro1[[#This Row],[Ultima Chegada]]=0,detalhe_carro1[[#This Row],[Chegada]]=0),"",detalhe_carro1[[#This Row],[Hora Inicio]]-detalhe_carro1[[#This Row],[Ultima Chegada]])</f>
        <v/>
      </c>
      <c r="P460" s="3">
        <f>IF(detalhe_carro1[[#This Row],[Tipo]]="Visitar Nó",((detalhe_carro1[[#This Row],[Hora Fim]]-detalhe_carro1[[#This Row],[Hora Inicio]])/60*velocidade_nos),0)</f>
        <v>0</v>
      </c>
      <c r="Q460" s="29">
        <f>detalhe_carro1[[#This Row],[Kms Nós]]+detalhe_carro1[[#This Row],[kms]]</f>
        <v>0</v>
      </c>
    </row>
    <row r="461" spans="2:17" hidden="1" x14ac:dyDescent="0.25">
      <c r="B461" s="3">
        <v>3</v>
      </c>
      <c r="C461">
        <v>2</v>
      </c>
      <c r="D461">
        <v>4</v>
      </c>
      <c r="E461" s="29" t="s">
        <v>2</v>
      </c>
      <c r="F461" s="3">
        <v>1440</v>
      </c>
      <c r="G461" s="3">
        <v>1440</v>
      </c>
      <c r="H461" s="29" t="s">
        <v>44</v>
      </c>
      <c r="J461" s="7">
        <v>0.29166666666666669</v>
      </c>
      <c r="K461" s="7">
        <v>0.29166666666666669</v>
      </c>
      <c r="L461" s="3">
        <f t="shared" si="14"/>
        <v>0</v>
      </c>
      <c r="M461" s="3">
        <f t="shared" si="15"/>
        <v>1</v>
      </c>
      <c r="N461" s="29">
        <f>_xlfn.MAXIFS($G$7:G460,$E$7:E460,detalhe_carro1[[#This Row],[Nó]],$B$7:B460,detalhe_carro1[[#This Row],[Numero Voltas]],$L$7:L460,1)</f>
        <v>1396</v>
      </c>
      <c r="O461" s="3">
        <f>IF(OR(detalhe_carro1[[#This Row],[Ultima Chegada]]=0,detalhe_carro1[[#This Row],[Chegada]]=0),"",detalhe_carro1[[#This Row],[Hora Inicio]]-detalhe_carro1[[#This Row],[Ultima Chegada]])</f>
        <v>44</v>
      </c>
      <c r="P461" s="3">
        <f>IF(detalhe_carro1[[#This Row],[Tipo]]="Visitar Nó",((detalhe_carro1[[#This Row],[Hora Fim]]-detalhe_carro1[[#This Row],[Hora Inicio]])/60*velocidade_nos),0)</f>
        <v>0</v>
      </c>
      <c r="Q461" s="29">
        <f>detalhe_carro1[[#This Row],[Kms Nós]]+detalhe_carro1[[#This Row],[kms]]</f>
        <v>0</v>
      </c>
    </row>
    <row r="462" spans="2:17" hidden="1" x14ac:dyDescent="0.25">
      <c r="B462" s="3">
        <v>3</v>
      </c>
      <c r="C462">
        <v>2</v>
      </c>
      <c r="D462">
        <v>4</v>
      </c>
      <c r="E462" s="29" t="s">
        <v>2</v>
      </c>
      <c r="F462" s="3">
        <v>1440</v>
      </c>
      <c r="G462" s="3">
        <v>1440</v>
      </c>
      <c r="H462" s="29" t="s">
        <v>44</v>
      </c>
      <c r="J462" s="7">
        <v>0.29166666666666669</v>
      </c>
      <c r="K462" s="7">
        <v>0.29166666666666669</v>
      </c>
      <c r="L462" s="3">
        <f t="shared" si="14"/>
        <v>1</v>
      </c>
      <c r="M462" s="3">
        <f t="shared" si="15"/>
        <v>0</v>
      </c>
      <c r="N462" s="29">
        <f>_xlfn.MAXIFS($G$7:G461,$E$7:E461,detalhe_carro1[[#This Row],[Nó]],$B$7:B461,detalhe_carro1[[#This Row],[Numero Voltas]],$L$7:L461,1)</f>
        <v>1396</v>
      </c>
      <c r="O462" s="3" t="str">
        <f>IF(OR(detalhe_carro1[[#This Row],[Ultima Chegada]]=0,detalhe_carro1[[#This Row],[Chegada]]=0),"",detalhe_carro1[[#This Row],[Hora Inicio]]-detalhe_carro1[[#This Row],[Ultima Chegada]])</f>
        <v/>
      </c>
      <c r="P462" s="3">
        <f>IF(detalhe_carro1[[#This Row],[Tipo]]="Visitar Nó",((detalhe_carro1[[#This Row],[Hora Fim]]-detalhe_carro1[[#This Row],[Hora Inicio]])/60*velocidade_nos),0)</f>
        <v>0</v>
      </c>
      <c r="Q462" s="29">
        <f>detalhe_carro1[[#This Row],[Kms Nós]]+detalhe_carro1[[#This Row],[kms]]</f>
        <v>0</v>
      </c>
    </row>
  </sheetData>
  <mergeCells count="6">
    <mergeCell ref="A1:BG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60" zoomScaleNormal="60" workbookViewId="0">
      <selection sqref="A1:BE3"/>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8" bestFit="1" customWidth="1"/>
    <col min="21" max="21" width="24.140625" bestFit="1" customWidth="1"/>
    <col min="22" max="22" width="13" bestFit="1" customWidth="1"/>
    <col min="23" max="23" width="27.5703125" bestFit="1" customWidth="1"/>
    <col min="24" max="24" width="18" bestFit="1" customWidth="1"/>
    <col min="25" max="25" width="17.5703125" bestFit="1" customWidth="1"/>
    <col min="26" max="26" width="12.5703125" bestFit="1" customWidth="1"/>
    <col min="27" max="27" width="25.5703125" bestFit="1" customWidth="1"/>
  </cols>
  <sheetData>
    <row r="1" spans="1:57" x14ac:dyDescent="0.25">
      <c r="A1" s="86" t="s">
        <v>103</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row>
    <row r="2" spans="1:57"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row>
    <row r="3" spans="1:57"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row>
    <row r="6" spans="1:57" x14ac:dyDescent="0.25">
      <c r="Q6" s="58" t="s">
        <v>120</v>
      </c>
      <c r="R6" t="s">
        <v>157</v>
      </c>
      <c r="U6" t="s">
        <v>90</v>
      </c>
      <c r="V6" t="s">
        <v>120</v>
      </c>
      <c r="W6" t="s">
        <v>7</v>
      </c>
      <c r="X6" t="s">
        <v>9</v>
      </c>
      <c r="Y6" t="s">
        <v>155</v>
      </c>
      <c r="Z6" t="s">
        <v>156</v>
      </c>
      <c r="AA6" t="s">
        <v>87</v>
      </c>
    </row>
    <row r="7" spans="1:57" x14ac:dyDescent="0.25">
      <c r="Q7" s="58" t="s">
        <v>90</v>
      </c>
      <c r="R7" s="59">
        <v>2</v>
      </c>
      <c r="U7">
        <v>2</v>
      </c>
      <c r="V7">
        <v>2</v>
      </c>
      <c r="W7" s="20" t="s">
        <v>200</v>
      </c>
      <c r="X7">
        <v>1</v>
      </c>
      <c r="Y7" s="20" t="s">
        <v>127</v>
      </c>
      <c r="Z7" s="7">
        <v>1.3888888888888889E-3</v>
      </c>
      <c r="AA7" s="20" t="str">
        <f>grafico_sol1[[#This Row],[Value]]&amp;"|"&amp;grafico_sol1[[#This Row],[Numero Voltas]]</f>
        <v>0.00138888888888889|2</v>
      </c>
    </row>
    <row r="8" spans="1:57" x14ac:dyDescent="0.25">
      <c r="U8">
        <v>2</v>
      </c>
      <c r="V8">
        <v>2</v>
      </c>
      <c r="W8" s="20" t="s">
        <v>228</v>
      </c>
      <c r="X8">
        <v>2</v>
      </c>
      <c r="Y8" s="20" t="s">
        <v>126</v>
      </c>
      <c r="Z8" s="7">
        <v>2.0833333333333333E-3</v>
      </c>
      <c r="AA8" s="20" t="str">
        <f>grafico_sol1[[#This Row],[Value]]&amp;"|"&amp;grafico_sol1[[#This Row],[Numero Voltas]]</f>
        <v>0.00208333333333333|2</v>
      </c>
    </row>
    <row r="9" spans="1:57" x14ac:dyDescent="0.25">
      <c r="L9" s="61" t="s">
        <v>1</v>
      </c>
      <c r="M9" s="61" t="s">
        <v>7</v>
      </c>
      <c r="Q9" s="58" t="s">
        <v>156</v>
      </c>
      <c r="R9" s="58" t="s">
        <v>9</v>
      </c>
      <c r="U9">
        <v>2</v>
      </c>
      <c r="V9">
        <v>2</v>
      </c>
      <c r="W9" s="20" t="s">
        <v>228</v>
      </c>
      <c r="X9">
        <v>2</v>
      </c>
      <c r="Y9" s="20" t="s">
        <v>127</v>
      </c>
      <c r="Z9" s="7">
        <v>2.0833333333333333E-3</v>
      </c>
      <c r="AA9" s="20" t="str">
        <f>grafico_sol1[[#This Row],[Value]]&amp;"|"&amp;grafico_sol1[[#This Row],[Numero Voltas]]</f>
        <v>0.00208333333333333|2</v>
      </c>
    </row>
    <row r="10" spans="1:57" x14ac:dyDescent="0.25">
      <c r="L10" s="60">
        <f>IF(Q10&lt;&gt;"",Q10,#N/A)</f>
        <v>1.3888888888888889E-3</v>
      </c>
      <c r="M10" s="42">
        <f>IF(R10&lt;&gt;"",R10,#N/A)</f>
        <v>1</v>
      </c>
      <c r="Q10" s="7">
        <v>1.3888888888888889E-3</v>
      </c>
      <c r="R10">
        <v>1</v>
      </c>
      <c r="U10">
        <v>2</v>
      </c>
      <c r="V10">
        <v>2</v>
      </c>
      <c r="W10" s="20" t="s">
        <v>228</v>
      </c>
      <c r="X10">
        <v>2</v>
      </c>
      <c r="Y10" s="20" t="s">
        <v>126</v>
      </c>
      <c r="Z10" s="7">
        <v>2.0833333333333333E-3</v>
      </c>
      <c r="AA10" s="20" t="str">
        <f>grafico_sol1[[#This Row],[Value]]&amp;"|"&amp;grafico_sol1[[#This Row],[Numero Voltas]]</f>
        <v>0.00208333333333333|2</v>
      </c>
    </row>
    <row r="11" spans="1:57" x14ac:dyDescent="0.25">
      <c r="L11" s="60">
        <f t="shared" ref="L11:L74" si="0">IF(Q11&lt;&gt;"",Q11,#N/A)</f>
        <v>2.0833333333333333E-3</v>
      </c>
      <c r="M11" s="42">
        <f t="shared" ref="M11:M74" si="1">IF(R11&lt;&gt;"",R11,#N/A)</f>
        <v>2</v>
      </c>
      <c r="Q11" s="7">
        <v>2.0833333333333333E-3</v>
      </c>
      <c r="R11">
        <v>2</v>
      </c>
      <c r="U11">
        <v>3</v>
      </c>
      <c r="V11">
        <v>2</v>
      </c>
      <c r="W11" s="20" t="s">
        <v>2</v>
      </c>
      <c r="X11">
        <v>4</v>
      </c>
      <c r="Y11" s="20" t="s">
        <v>127</v>
      </c>
      <c r="Z11" s="7">
        <v>1.1111111111111112E-2</v>
      </c>
      <c r="AA11" s="20" t="str">
        <f>grafico_sol1[[#This Row],[Value]]&amp;"|"&amp;grafico_sol1[[#This Row],[Numero Voltas]]</f>
        <v>0.0111111111111111|3</v>
      </c>
    </row>
    <row r="12" spans="1:57" x14ac:dyDescent="0.25">
      <c r="L12" s="60">
        <f t="shared" si="0"/>
        <v>1.4583333333333332E-2</v>
      </c>
      <c r="M12" s="42">
        <f t="shared" si="1"/>
        <v>2</v>
      </c>
      <c r="Q12" s="7">
        <v>1.4583333333333332E-2</v>
      </c>
      <c r="R12">
        <v>2</v>
      </c>
      <c r="U12">
        <v>3</v>
      </c>
      <c r="V12">
        <v>2</v>
      </c>
      <c r="W12" s="20" t="s">
        <v>2</v>
      </c>
      <c r="X12">
        <v>4</v>
      </c>
      <c r="Y12" s="20" t="s">
        <v>126</v>
      </c>
      <c r="Z12" s="7">
        <v>1.1111111111111112E-2</v>
      </c>
      <c r="AA12" s="20" t="str">
        <f>grafico_sol1[[#This Row],[Value]]&amp;"|"&amp;grafico_sol1[[#This Row],[Numero Voltas]]</f>
        <v>0.0111111111111111|3</v>
      </c>
    </row>
    <row r="13" spans="1:57" x14ac:dyDescent="0.25">
      <c r="L13" s="60">
        <f t="shared" si="0"/>
        <v>1.6666666666666666E-2</v>
      </c>
      <c r="M13" s="42">
        <f t="shared" si="1"/>
        <v>3</v>
      </c>
      <c r="Q13" s="7">
        <v>1.6666666666666666E-2</v>
      </c>
      <c r="R13">
        <v>3</v>
      </c>
      <c r="U13">
        <v>2</v>
      </c>
      <c r="V13">
        <v>2</v>
      </c>
      <c r="W13" s="20" t="s">
        <v>228</v>
      </c>
      <c r="X13">
        <v>2</v>
      </c>
      <c r="Y13" s="20" t="s">
        <v>127</v>
      </c>
      <c r="Z13" s="7">
        <v>1.4583333333333334E-2</v>
      </c>
      <c r="AA13" s="20" t="str">
        <f>grafico_sol1[[#This Row],[Value]]&amp;"|"&amp;grafico_sol1[[#This Row],[Numero Voltas]]</f>
        <v>0.0145833333333333|2</v>
      </c>
    </row>
    <row r="14" spans="1:57" x14ac:dyDescent="0.25">
      <c r="L14" s="60">
        <f t="shared" si="0"/>
        <v>2.013888888888889E-2</v>
      </c>
      <c r="M14" s="42">
        <f t="shared" si="1"/>
        <v>4</v>
      </c>
      <c r="Q14" s="7">
        <v>2.013888888888889E-2</v>
      </c>
      <c r="R14">
        <v>4</v>
      </c>
      <c r="U14">
        <v>2</v>
      </c>
      <c r="V14">
        <v>2</v>
      </c>
      <c r="W14" s="20" t="s">
        <v>208</v>
      </c>
      <c r="X14">
        <v>3</v>
      </c>
      <c r="Y14" s="20" t="s">
        <v>126</v>
      </c>
      <c r="Z14" s="7">
        <v>1.6666666666666666E-2</v>
      </c>
      <c r="AA14" s="20" t="str">
        <f>grafico_sol1[[#This Row],[Value]]&amp;"|"&amp;grafico_sol1[[#This Row],[Numero Voltas]]</f>
        <v>0.0166666666666667|2</v>
      </c>
    </row>
    <row r="15" spans="1:57" x14ac:dyDescent="0.25">
      <c r="B15" s="58" t="s">
        <v>9</v>
      </c>
      <c r="C15" s="58" t="s">
        <v>7</v>
      </c>
      <c r="L15" s="60">
        <f t="shared" si="0"/>
        <v>2.9166666666666664E-2</v>
      </c>
      <c r="M15" s="42">
        <f t="shared" si="1"/>
        <v>4</v>
      </c>
      <c r="Q15" s="7">
        <v>2.9166666666666664E-2</v>
      </c>
      <c r="R15">
        <v>4</v>
      </c>
      <c r="U15">
        <v>2</v>
      </c>
      <c r="V15">
        <v>2</v>
      </c>
      <c r="W15" s="20" t="s">
        <v>208</v>
      </c>
      <c r="X15">
        <v>3</v>
      </c>
      <c r="Y15" s="20" t="s">
        <v>127</v>
      </c>
      <c r="Z15" s="7">
        <v>1.6666666666666666E-2</v>
      </c>
      <c r="AA15" s="20" t="str">
        <f>grafico_sol1[[#This Row],[Value]]&amp;"|"&amp;grafico_sol1[[#This Row],[Numero Voltas]]</f>
        <v>0.0166666666666667|2</v>
      </c>
    </row>
    <row r="16" spans="1:57" x14ac:dyDescent="0.25">
      <c r="B16">
        <v>9</v>
      </c>
      <c r="C16" t="s">
        <v>303</v>
      </c>
      <c r="L16" s="60">
        <f t="shared" si="0"/>
        <v>3.125E-2</v>
      </c>
      <c r="M16" s="42">
        <f t="shared" si="1"/>
        <v>5</v>
      </c>
      <c r="Q16" s="7">
        <v>3.125E-2</v>
      </c>
      <c r="R16">
        <v>5</v>
      </c>
      <c r="U16">
        <v>2</v>
      </c>
      <c r="V16">
        <v>2</v>
      </c>
      <c r="W16" s="20" t="s">
        <v>2</v>
      </c>
      <c r="X16">
        <v>4</v>
      </c>
      <c r="Y16" s="20" t="s">
        <v>126</v>
      </c>
      <c r="Z16" s="7">
        <v>2.013888888888889E-2</v>
      </c>
      <c r="AA16" s="20" t="str">
        <f>grafico_sol1[[#This Row],[Value]]&amp;"|"&amp;grafico_sol1[[#This Row],[Numero Voltas]]</f>
        <v>0.0201388888888889|2</v>
      </c>
    </row>
    <row r="17" spans="2:27" x14ac:dyDescent="0.25">
      <c r="B17">
        <v>8</v>
      </c>
      <c r="C17" t="s">
        <v>302</v>
      </c>
      <c r="L17" s="60">
        <f t="shared" si="0"/>
        <v>3.4027777777777775E-2</v>
      </c>
      <c r="M17" s="42">
        <f t="shared" si="1"/>
        <v>6</v>
      </c>
      <c r="Q17" s="7">
        <v>3.4027777777777775E-2</v>
      </c>
      <c r="R17">
        <v>6</v>
      </c>
      <c r="U17">
        <v>2</v>
      </c>
      <c r="V17">
        <v>2</v>
      </c>
      <c r="W17" s="20" t="s">
        <v>2</v>
      </c>
      <c r="X17">
        <v>4</v>
      </c>
      <c r="Y17" s="20" t="s">
        <v>127</v>
      </c>
      <c r="Z17" s="7">
        <v>2.013888888888889E-2</v>
      </c>
      <c r="AA17" s="20" t="str">
        <f>grafico_sol1[[#This Row],[Value]]&amp;"|"&amp;grafico_sol1[[#This Row],[Numero Voltas]]</f>
        <v>0.0201388888888889|2</v>
      </c>
    </row>
    <row r="18" spans="2:27" x14ac:dyDescent="0.25">
      <c r="B18">
        <v>7</v>
      </c>
      <c r="C18" t="s">
        <v>301</v>
      </c>
      <c r="L18" s="60">
        <f t="shared" si="0"/>
        <v>3.6111111111111115E-2</v>
      </c>
      <c r="M18" s="42">
        <f t="shared" si="1"/>
        <v>7</v>
      </c>
      <c r="Q18" s="7">
        <v>3.6111111111111115E-2</v>
      </c>
      <c r="R18">
        <v>7</v>
      </c>
      <c r="U18">
        <v>2</v>
      </c>
      <c r="V18">
        <v>2</v>
      </c>
      <c r="W18" s="20" t="s">
        <v>2</v>
      </c>
      <c r="X18">
        <v>4</v>
      </c>
      <c r="Y18" s="20" t="s">
        <v>126</v>
      </c>
      <c r="Z18" s="7">
        <v>2.013888888888889E-2</v>
      </c>
      <c r="AA18" s="20" t="str">
        <f>grafico_sol1[[#This Row],[Value]]&amp;"|"&amp;grafico_sol1[[#This Row],[Numero Voltas]]</f>
        <v>0.0201388888888889|2</v>
      </c>
    </row>
    <row r="19" spans="2:27" x14ac:dyDescent="0.25">
      <c r="B19">
        <v>6</v>
      </c>
      <c r="C19" t="s">
        <v>300</v>
      </c>
      <c r="L19" s="60">
        <f t="shared" si="0"/>
        <v>4.027777777777778E-2</v>
      </c>
      <c r="M19" s="42">
        <f t="shared" si="1"/>
        <v>8</v>
      </c>
      <c r="Q19" s="7">
        <v>4.027777777777778E-2</v>
      </c>
      <c r="R19">
        <v>8</v>
      </c>
      <c r="U19">
        <v>2</v>
      </c>
      <c r="V19">
        <v>2</v>
      </c>
      <c r="W19" s="20" t="s">
        <v>2</v>
      </c>
      <c r="X19">
        <v>4</v>
      </c>
      <c r="Y19" s="20" t="s">
        <v>127</v>
      </c>
      <c r="Z19" s="7">
        <v>2.9166666666666667E-2</v>
      </c>
      <c r="AA19" s="20" t="str">
        <f>grafico_sol1[[#This Row],[Value]]&amp;"|"&amp;grafico_sol1[[#This Row],[Numero Voltas]]</f>
        <v>0.0291666666666667|2</v>
      </c>
    </row>
    <row r="20" spans="2:27" x14ac:dyDescent="0.25">
      <c r="B20">
        <v>5</v>
      </c>
      <c r="C20" t="s">
        <v>215</v>
      </c>
      <c r="L20" s="60">
        <f t="shared" si="0"/>
        <v>4.7222222222222221E-2</v>
      </c>
      <c r="M20" s="42">
        <f t="shared" si="1"/>
        <v>8</v>
      </c>
      <c r="Q20" s="7">
        <v>4.7222222222222221E-2</v>
      </c>
      <c r="R20">
        <v>8</v>
      </c>
      <c r="U20">
        <v>3</v>
      </c>
      <c r="V20">
        <v>2</v>
      </c>
      <c r="W20" s="20" t="s">
        <v>2</v>
      </c>
      <c r="X20">
        <v>4</v>
      </c>
      <c r="Y20" s="20" t="s">
        <v>127</v>
      </c>
      <c r="Z20" s="7">
        <v>2.9861111111111113E-2</v>
      </c>
      <c r="AA20" s="20" t="str">
        <f>grafico_sol1[[#This Row],[Value]]&amp;"|"&amp;grafico_sol1[[#This Row],[Numero Voltas]]</f>
        <v>0.0298611111111111|3</v>
      </c>
    </row>
    <row r="21" spans="2:27" x14ac:dyDescent="0.25">
      <c r="B21">
        <v>4</v>
      </c>
      <c r="C21" t="s">
        <v>2</v>
      </c>
      <c r="L21" s="60">
        <f t="shared" si="0"/>
        <v>5.1388888888888894E-2</v>
      </c>
      <c r="M21" s="42">
        <f t="shared" si="1"/>
        <v>9</v>
      </c>
      <c r="Q21" s="7">
        <v>5.1388888888888894E-2</v>
      </c>
      <c r="R21">
        <v>9</v>
      </c>
      <c r="U21">
        <v>2</v>
      </c>
      <c r="V21">
        <v>2</v>
      </c>
      <c r="W21" s="20" t="s">
        <v>215</v>
      </c>
      <c r="X21">
        <v>5</v>
      </c>
      <c r="Y21" s="20" t="s">
        <v>126</v>
      </c>
      <c r="Z21" s="7">
        <v>3.125E-2</v>
      </c>
      <c r="AA21" s="20" t="str">
        <f>grafico_sol1[[#This Row],[Value]]&amp;"|"&amp;grafico_sol1[[#This Row],[Numero Voltas]]</f>
        <v>0.03125|2</v>
      </c>
    </row>
    <row r="22" spans="2:27" x14ac:dyDescent="0.25">
      <c r="B22">
        <v>3</v>
      </c>
      <c r="C22" t="s">
        <v>208</v>
      </c>
      <c r="L22" s="60">
        <f t="shared" si="0"/>
        <v>5.5555555555555552E-2</v>
      </c>
      <c r="M22" s="42">
        <f t="shared" si="1"/>
        <v>8</v>
      </c>
      <c r="Q22" s="7">
        <v>5.5555555555555552E-2</v>
      </c>
      <c r="R22">
        <v>8</v>
      </c>
      <c r="U22">
        <v>2</v>
      </c>
      <c r="V22">
        <v>2</v>
      </c>
      <c r="W22" s="20" t="s">
        <v>215</v>
      </c>
      <c r="X22">
        <v>5</v>
      </c>
      <c r="Y22" s="20" t="s">
        <v>127</v>
      </c>
      <c r="Z22" s="7">
        <v>3.125E-2</v>
      </c>
      <c r="AA22" s="20" t="str">
        <f>grafico_sol1[[#This Row],[Value]]&amp;"|"&amp;grafico_sol1[[#This Row],[Numero Voltas]]</f>
        <v>0.03125|2</v>
      </c>
    </row>
    <row r="23" spans="2:27" x14ac:dyDescent="0.25">
      <c r="B23">
        <v>2</v>
      </c>
      <c r="C23" t="s">
        <v>228</v>
      </c>
      <c r="L23" s="60">
        <f t="shared" si="0"/>
        <v>9.7222222222222224E-2</v>
      </c>
      <c r="M23" s="42">
        <f t="shared" si="1"/>
        <v>8</v>
      </c>
      <c r="Q23" s="7">
        <v>9.7222222222222224E-2</v>
      </c>
      <c r="R23">
        <v>8</v>
      </c>
      <c r="U23">
        <v>3</v>
      </c>
      <c r="V23">
        <v>2</v>
      </c>
      <c r="W23" s="20" t="s">
        <v>215</v>
      </c>
      <c r="X23">
        <v>5</v>
      </c>
      <c r="Y23" s="20" t="s">
        <v>126</v>
      </c>
      <c r="Z23" s="7">
        <v>3.1944444444444442E-2</v>
      </c>
      <c r="AA23" s="20" t="str">
        <f>grafico_sol1[[#This Row],[Value]]&amp;"|"&amp;grafico_sol1[[#This Row],[Numero Voltas]]</f>
        <v>0.0319444444444444|3</v>
      </c>
    </row>
    <row r="24" spans="2:27" x14ac:dyDescent="0.25">
      <c r="B24">
        <v>1</v>
      </c>
      <c r="C24" t="s">
        <v>200</v>
      </c>
      <c r="L24" s="60">
        <f t="shared" si="0"/>
        <v>0.10416666666666667</v>
      </c>
      <c r="M24" s="42">
        <f t="shared" si="1"/>
        <v>8</v>
      </c>
      <c r="Q24" s="7">
        <v>0.10416666666666667</v>
      </c>
      <c r="R24">
        <v>8</v>
      </c>
      <c r="U24">
        <v>3</v>
      </c>
      <c r="V24">
        <v>2</v>
      </c>
      <c r="W24" s="20" t="s">
        <v>215</v>
      </c>
      <c r="X24">
        <v>5</v>
      </c>
      <c r="Y24" s="20" t="s">
        <v>127</v>
      </c>
      <c r="Z24" s="7">
        <v>3.1944444444444442E-2</v>
      </c>
      <c r="AA24" s="20" t="str">
        <f>grafico_sol1[[#This Row],[Value]]&amp;"|"&amp;grafico_sol1[[#This Row],[Numero Voltas]]</f>
        <v>0.0319444444444444|3</v>
      </c>
    </row>
    <row r="25" spans="2:27" x14ac:dyDescent="0.25">
      <c r="B25">
        <v>0</v>
      </c>
      <c r="C25" t="s">
        <v>203</v>
      </c>
      <c r="L25" s="60">
        <f t="shared" si="0"/>
        <v>0.10833333333333334</v>
      </c>
      <c r="M25" s="42">
        <f t="shared" si="1"/>
        <v>7</v>
      </c>
      <c r="Q25" s="7">
        <v>0.10833333333333334</v>
      </c>
      <c r="R25">
        <v>7</v>
      </c>
      <c r="U25">
        <v>2</v>
      </c>
      <c r="V25">
        <v>2</v>
      </c>
      <c r="W25" s="20" t="s">
        <v>300</v>
      </c>
      <c r="X25">
        <v>6</v>
      </c>
      <c r="Y25" s="20" t="s">
        <v>126</v>
      </c>
      <c r="Z25" s="7">
        <v>3.4027777777777775E-2</v>
      </c>
      <c r="AA25" s="20" t="str">
        <f>grafico_sol1[[#This Row],[Value]]&amp;"|"&amp;grafico_sol1[[#This Row],[Numero Voltas]]</f>
        <v>0.0340277777777778|2</v>
      </c>
    </row>
    <row r="26" spans="2:27" x14ac:dyDescent="0.25">
      <c r="L26" s="60">
        <f t="shared" si="0"/>
        <v>0.11527777777777777</v>
      </c>
      <c r="M26" s="42">
        <f t="shared" si="1"/>
        <v>7</v>
      </c>
      <c r="Q26" s="7">
        <v>0.11527777777777777</v>
      </c>
      <c r="R26">
        <v>7</v>
      </c>
      <c r="U26">
        <v>2</v>
      </c>
      <c r="V26">
        <v>2</v>
      </c>
      <c r="W26" s="20" t="s">
        <v>300</v>
      </c>
      <c r="X26">
        <v>6</v>
      </c>
      <c r="Y26" s="20" t="s">
        <v>127</v>
      </c>
      <c r="Z26" s="7">
        <v>3.4027777777777775E-2</v>
      </c>
      <c r="AA26" s="20" t="str">
        <f>grafico_sol1[[#This Row],[Value]]&amp;"|"&amp;grafico_sol1[[#This Row],[Numero Voltas]]</f>
        <v>0.0340277777777778|2</v>
      </c>
    </row>
    <row r="27" spans="2:27" x14ac:dyDescent="0.25">
      <c r="L27" s="60">
        <f t="shared" si="0"/>
        <v>0.1173611111111111</v>
      </c>
      <c r="M27" s="42">
        <f t="shared" si="1"/>
        <v>6</v>
      </c>
      <c r="Q27" s="7">
        <v>0.1173611111111111</v>
      </c>
      <c r="R27">
        <v>6</v>
      </c>
      <c r="U27">
        <v>3</v>
      </c>
      <c r="V27">
        <v>2</v>
      </c>
      <c r="W27" s="20" t="s">
        <v>300</v>
      </c>
      <c r="X27">
        <v>6</v>
      </c>
      <c r="Y27" s="20" t="s">
        <v>126</v>
      </c>
      <c r="Z27" s="7">
        <v>3.4722222222222224E-2</v>
      </c>
      <c r="AA27" s="20" t="str">
        <f>grafico_sol1[[#This Row],[Value]]&amp;"|"&amp;grafico_sol1[[#This Row],[Numero Voltas]]</f>
        <v>0.0347222222222222|3</v>
      </c>
    </row>
    <row r="28" spans="2:27" x14ac:dyDescent="0.25">
      <c r="L28" s="60">
        <f t="shared" si="0"/>
        <v>0.12013888888888889</v>
      </c>
      <c r="M28" s="42">
        <f t="shared" si="1"/>
        <v>5</v>
      </c>
      <c r="Q28" s="7">
        <v>0.12013888888888889</v>
      </c>
      <c r="R28">
        <v>5</v>
      </c>
      <c r="U28">
        <v>3</v>
      </c>
      <c r="V28">
        <v>2</v>
      </c>
      <c r="W28" s="20" t="s">
        <v>300</v>
      </c>
      <c r="X28">
        <v>6</v>
      </c>
      <c r="Y28" s="20" t="s">
        <v>127</v>
      </c>
      <c r="Z28" s="7">
        <v>3.4722222222222224E-2</v>
      </c>
      <c r="AA28" s="20" t="str">
        <f>grafico_sol1[[#This Row],[Value]]&amp;"|"&amp;grafico_sol1[[#This Row],[Numero Voltas]]</f>
        <v>0.0347222222222222|3</v>
      </c>
    </row>
    <row r="29" spans="2:27" x14ac:dyDescent="0.25">
      <c r="L29" s="60">
        <f t="shared" si="0"/>
        <v>0.12222222222222223</v>
      </c>
      <c r="M29" s="42">
        <f t="shared" si="1"/>
        <v>4</v>
      </c>
      <c r="Q29" s="7">
        <v>0.12222222222222223</v>
      </c>
      <c r="R29">
        <v>4</v>
      </c>
      <c r="U29">
        <v>2</v>
      </c>
      <c r="V29">
        <v>2</v>
      </c>
      <c r="W29" s="20" t="s">
        <v>301</v>
      </c>
      <c r="X29">
        <v>7</v>
      </c>
      <c r="Y29" s="20" t="s">
        <v>126</v>
      </c>
      <c r="Z29" s="7">
        <v>3.6111111111111108E-2</v>
      </c>
      <c r="AA29" s="20" t="str">
        <f>grafico_sol1[[#This Row],[Value]]&amp;"|"&amp;grafico_sol1[[#This Row],[Numero Voltas]]</f>
        <v>0.0361111111111111|2</v>
      </c>
    </row>
    <row r="30" spans="2:27" x14ac:dyDescent="0.25">
      <c r="L30" s="60">
        <f t="shared" si="0"/>
        <v>0.13125000000000001</v>
      </c>
      <c r="M30" s="42">
        <f t="shared" si="1"/>
        <v>4</v>
      </c>
      <c r="Q30" s="7">
        <v>0.13125000000000001</v>
      </c>
      <c r="R30">
        <v>4</v>
      </c>
      <c r="U30">
        <v>2</v>
      </c>
      <c r="V30">
        <v>2</v>
      </c>
      <c r="W30" s="20" t="s">
        <v>301</v>
      </c>
      <c r="X30">
        <v>7</v>
      </c>
      <c r="Y30" s="20" t="s">
        <v>127</v>
      </c>
      <c r="Z30" s="7">
        <v>3.6111111111111108E-2</v>
      </c>
      <c r="AA30" s="20" t="str">
        <f>grafico_sol1[[#This Row],[Value]]&amp;"|"&amp;grafico_sol1[[#This Row],[Numero Voltas]]</f>
        <v>0.0361111111111111|2</v>
      </c>
    </row>
    <row r="31" spans="2:27" x14ac:dyDescent="0.25">
      <c r="L31" s="60">
        <f t="shared" si="0"/>
        <v>0.13472222222222222</v>
      </c>
      <c r="M31" s="42">
        <f t="shared" si="1"/>
        <v>3</v>
      </c>
      <c r="Q31" s="7">
        <v>0.13472222222222222</v>
      </c>
      <c r="R31">
        <v>3</v>
      </c>
      <c r="U31">
        <v>3</v>
      </c>
      <c r="V31">
        <v>2</v>
      </c>
      <c r="W31" s="20" t="s">
        <v>301</v>
      </c>
      <c r="X31">
        <v>7</v>
      </c>
      <c r="Y31" s="20" t="s">
        <v>126</v>
      </c>
      <c r="Z31" s="7">
        <v>3.6805555555555557E-2</v>
      </c>
      <c r="AA31" s="20" t="str">
        <f>grafico_sol1[[#This Row],[Value]]&amp;"|"&amp;grafico_sol1[[#This Row],[Numero Voltas]]</f>
        <v>0.0368055555555556|3</v>
      </c>
    </row>
    <row r="32" spans="2:27" x14ac:dyDescent="0.25">
      <c r="L32" s="60">
        <f t="shared" si="0"/>
        <v>0.14375000000000002</v>
      </c>
      <c r="M32" s="42">
        <f t="shared" si="1"/>
        <v>3</v>
      </c>
      <c r="Q32" s="7">
        <v>0.14375000000000002</v>
      </c>
      <c r="R32">
        <v>3</v>
      </c>
      <c r="U32">
        <v>3</v>
      </c>
      <c r="V32">
        <v>2</v>
      </c>
      <c r="W32" s="20" t="s">
        <v>301</v>
      </c>
      <c r="X32">
        <v>7</v>
      </c>
      <c r="Y32" s="20" t="s">
        <v>127</v>
      </c>
      <c r="Z32" s="7">
        <v>3.6805555555555557E-2</v>
      </c>
      <c r="AA32" s="20" t="str">
        <f>grafico_sol1[[#This Row],[Value]]&amp;"|"&amp;grafico_sol1[[#This Row],[Numero Voltas]]</f>
        <v>0.0368055555555556|3</v>
      </c>
    </row>
    <row r="33" spans="12:27" x14ac:dyDescent="0.25">
      <c r="L33" s="60">
        <f t="shared" si="0"/>
        <v>0.14583333333333334</v>
      </c>
      <c r="M33" s="42">
        <f t="shared" si="1"/>
        <v>2</v>
      </c>
      <c r="Q33" s="7">
        <v>0.14583333333333334</v>
      </c>
      <c r="R33">
        <v>2</v>
      </c>
      <c r="U33">
        <v>2</v>
      </c>
      <c r="V33">
        <v>2</v>
      </c>
      <c r="W33" s="20" t="s">
        <v>302</v>
      </c>
      <c r="X33">
        <v>8</v>
      </c>
      <c r="Y33" s="20" t="s">
        <v>126</v>
      </c>
      <c r="Z33" s="7">
        <v>4.027777777777778E-2</v>
      </c>
      <c r="AA33" s="20" t="str">
        <f>grafico_sol1[[#This Row],[Value]]&amp;"|"&amp;grafico_sol1[[#This Row],[Numero Voltas]]</f>
        <v>0.0402777777777778|2</v>
      </c>
    </row>
    <row r="34" spans="12:27" x14ac:dyDescent="0.25">
      <c r="L34" s="60">
        <f t="shared" si="0"/>
        <v>0.15833333333333333</v>
      </c>
      <c r="M34" s="42">
        <f t="shared" si="1"/>
        <v>2</v>
      </c>
      <c r="Q34" s="7">
        <v>0.15833333333333333</v>
      </c>
      <c r="R34">
        <v>2</v>
      </c>
      <c r="U34">
        <v>2</v>
      </c>
      <c r="V34">
        <v>2</v>
      </c>
      <c r="W34" s="20" t="s">
        <v>302</v>
      </c>
      <c r="X34">
        <v>8</v>
      </c>
      <c r="Y34" s="20" t="s">
        <v>127</v>
      </c>
      <c r="Z34" s="7">
        <v>4.027777777777778E-2</v>
      </c>
      <c r="AA34" s="20" t="str">
        <f>grafico_sol1[[#This Row],[Value]]&amp;"|"&amp;grafico_sol1[[#This Row],[Numero Voltas]]</f>
        <v>0.0402777777777778|2</v>
      </c>
    </row>
    <row r="35" spans="12:27" x14ac:dyDescent="0.25">
      <c r="L35" s="60">
        <f t="shared" si="0"/>
        <v>0.15902777777777777</v>
      </c>
      <c r="M35" s="42">
        <f t="shared" si="1"/>
        <v>1</v>
      </c>
      <c r="Q35" s="7">
        <v>0.15902777777777777</v>
      </c>
      <c r="R35">
        <v>1</v>
      </c>
      <c r="U35">
        <v>2</v>
      </c>
      <c r="V35">
        <v>2</v>
      </c>
      <c r="W35" s="20" t="s">
        <v>302</v>
      </c>
      <c r="X35">
        <v>8</v>
      </c>
      <c r="Y35" s="20" t="s">
        <v>126</v>
      </c>
      <c r="Z35" s="7">
        <v>4.027777777777778E-2</v>
      </c>
      <c r="AA35" s="20" t="str">
        <f>grafico_sol1[[#This Row],[Value]]&amp;"|"&amp;grafico_sol1[[#This Row],[Numero Voltas]]</f>
        <v>0.0402777777777778|2</v>
      </c>
    </row>
    <row r="36" spans="12:27" x14ac:dyDescent="0.25">
      <c r="L36" s="60">
        <f t="shared" si="0"/>
        <v>0.16180555555555556</v>
      </c>
      <c r="M36" s="42">
        <f t="shared" si="1"/>
        <v>1</v>
      </c>
      <c r="Q36" s="7">
        <v>0.16180555555555556</v>
      </c>
      <c r="R36">
        <v>1</v>
      </c>
      <c r="U36">
        <v>3</v>
      </c>
      <c r="V36">
        <v>2</v>
      </c>
      <c r="W36" s="20" t="s">
        <v>302</v>
      </c>
      <c r="X36">
        <v>8</v>
      </c>
      <c r="Y36" s="20" t="s">
        <v>126</v>
      </c>
      <c r="Z36" s="7">
        <v>4.0972222222222222E-2</v>
      </c>
      <c r="AA36" s="20" t="str">
        <f>grafico_sol1[[#This Row],[Value]]&amp;"|"&amp;grafico_sol1[[#This Row],[Numero Voltas]]</f>
        <v>0.0409722222222222|3</v>
      </c>
    </row>
    <row r="37" spans="12:27" x14ac:dyDescent="0.25">
      <c r="L37" s="60">
        <f t="shared" si="0"/>
        <v>0.16319444444444445</v>
      </c>
      <c r="M37" s="42">
        <f t="shared" si="1"/>
        <v>0</v>
      </c>
      <c r="Q37" s="7">
        <v>0.16319444444444445</v>
      </c>
      <c r="R37">
        <v>0</v>
      </c>
      <c r="U37">
        <v>3</v>
      </c>
      <c r="V37">
        <v>2</v>
      </c>
      <c r="W37" s="20" t="s">
        <v>302</v>
      </c>
      <c r="X37">
        <v>8</v>
      </c>
      <c r="Y37" s="20" t="s">
        <v>127</v>
      </c>
      <c r="Z37" s="7">
        <v>4.0972222222222222E-2</v>
      </c>
      <c r="AA37" s="20" t="str">
        <f>grafico_sol1[[#This Row],[Value]]&amp;"|"&amp;grafico_sol1[[#This Row],[Numero Voltas]]</f>
        <v>0.0409722222222222|3</v>
      </c>
    </row>
    <row r="38" spans="12:27" x14ac:dyDescent="0.25">
      <c r="L38" s="60">
        <f t="shared" si="0"/>
        <v>0.18333333333333335</v>
      </c>
      <c r="M38" s="42">
        <f t="shared" si="1"/>
        <v>0</v>
      </c>
      <c r="Q38" s="7">
        <v>0.18333333333333335</v>
      </c>
      <c r="R38">
        <v>0</v>
      </c>
      <c r="U38">
        <v>3</v>
      </c>
      <c r="V38">
        <v>2</v>
      </c>
      <c r="W38" s="20" t="s">
        <v>303</v>
      </c>
      <c r="X38">
        <v>9</v>
      </c>
      <c r="Y38" s="20" t="s">
        <v>126</v>
      </c>
      <c r="Z38" s="7">
        <v>4.5138888888888888E-2</v>
      </c>
      <c r="AA38" s="20" t="str">
        <f>grafico_sol1[[#This Row],[Value]]&amp;"|"&amp;grafico_sol1[[#This Row],[Numero Voltas]]</f>
        <v>0.0451388888888889|3</v>
      </c>
    </row>
    <row r="39" spans="12:27" x14ac:dyDescent="0.25">
      <c r="L39" s="60">
        <f t="shared" si="0"/>
        <v>0.20416666666666669</v>
      </c>
      <c r="M39" s="42">
        <f t="shared" si="1"/>
        <v>0</v>
      </c>
      <c r="Q39" s="7">
        <v>0.20416666666666669</v>
      </c>
      <c r="R39">
        <v>0</v>
      </c>
      <c r="U39">
        <v>3</v>
      </c>
      <c r="V39">
        <v>2</v>
      </c>
      <c r="W39" s="20" t="s">
        <v>303</v>
      </c>
      <c r="X39">
        <v>9</v>
      </c>
      <c r="Y39" s="20" t="s">
        <v>127</v>
      </c>
      <c r="Z39" s="7">
        <v>4.5138888888888888E-2</v>
      </c>
      <c r="AA39" s="20" t="str">
        <f>grafico_sol1[[#This Row],[Value]]&amp;"|"&amp;grafico_sol1[[#This Row],[Numero Voltas]]</f>
        <v>0.0451388888888889|3</v>
      </c>
    </row>
    <row r="40" spans="12:27" x14ac:dyDescent="0.25">
      <c r="L40" s="60">
        <f t="shared" si="0"/>
        <v>0.20972222222222223</v>
      </c>
      <c r="M40" s="42">
        <f t="shared" si="1"/>
        <v>0</v>
      </c>
      <c r="Q40" s="7">
        <v>0.20972222222222223</v>
      </c>
      <c r="R40">
        <v>0</v>
      </c>
      <c r="U40">
        <v>3</v>
      </c>
      <c r="V40">
        <v>2</v>
      </c>
      <c r="W40" s="20" t="s">
        <v>303</v>
      </c>
      <c r="X40">
        <v>9</v>
      </c>
      <c r="Y40" s="20" t="s">
        <v>126</v>
      </c>
      <c r="Z40" s="7">
        <v>4.5138888888888888E-2</v>
      </c>
      <c r="AA40" s="20" t="str">
        <f>grafico_sol1[[#This Row],[Value]]&amp;"|"&amp;grafico_sol1[[#This Row],[Numero Voltas]]</f>
        <v>0.0451388888888889|3</v>
      </c>
    </row>
    <row r="41" spans="12:27" x14ac:dyDescent="0.25">
      <c r="L41" s="60">
        <f t="shared" si="0"/>
        <v>0.21111111111111111</v>
      </c>
      <c r="M41" s="42">
        <f t="shared" si="1"/>
        <v>1</v>
      </c>
      <c r="Q41" s="7">
        <v>0.21111111111111111</v>
      </c>
      <c r="R41">
        <v>1</v>
      </c>
      <c r="U41">
        <v>3</v>
      </c>
      <c r="V41">
        <v>2</v>
      </c>
      <c r="W41" s="20" t="s">
        <v>303</v>
      </c>
      <c r="X41">
        <v>9</v>
      </c>
      <c r="Y41" s="20" t="s">
        <v>127</v>
      </c>
      <c r="Z41" s="7">
        <v>4.5138888888888888E-2</v>
      </c>
      <c r="AA41" s="20" t="str">
        <f>grafico_sol1[[#This Row],[Value]]&amp;"|"&amp;grafico_sol1[[#This Row],[Numero Voltas]]</f>
        <v>0.0451388888888889|3</v>
      </c>
    </row>
    <row r="42" spans="12:27" x14ac:dyDescent="0.25">
      <c r="L42" s="60">
        <f t="shared" si="0"/>
        <v>0.21180555555555555</v>
      </c>
      <c r="M42" s="42">
        <f t="shared" si="1"/>
        <v>2</v>
      </c>
      <c r="Q42" s="7">
        <v>0.21180555555555555</v>
      </c>
      <c r="R42">
        <v>2</v>
      </c>
      <c r="U42">
        <v>3</v>
      </c>
      <c r="V42">
        <v>2</v>
      </c>
      <c r="W42" s="20" t="s">
        <v>303</v>
      </c>
      <c r="X42">
        <v>9</v>
      </c>
      <c r="Y42" s="20" t="s">
        <v>126</v>
      </c>
      <c r="Z42" s="7">
        <v>4.5138888888888888E-2</v>
      </c>
      <c r="AA42" s="20" t="str">
        <f>grafico_sol1[[#This Row],[Value]]&amp;"|"&amp;grafico_sol1[[#This Row],[Numero Voltas]]</f>
        <v>0.0451388888888889|3</v>
      </c>
    </row>
    <row r="43" spans="12:27" x14ac:dyDescent="0.25">
      <c r="L43" s="60">
        <f t="shared" si="0"/>
        <v>0.21388888888888891</v>
      </c>
      <c r="M43" s="42">
        <f t="shared" si="1"/>
        <v>3</v>
      </c>
      <c r="Q43" s="7">
        <v>0.21388888888888891</v>
      </c>
      <c r="R43">
        <v>3</v>
      </c>
      <c r="U43">
        <v>2</v>
      </c>
      <c r="V43">
        <v>2</v>
      </c>
      <c r="W43" s="20" t="s">
        <v>302</v>
      </c>
      <c r="X43">
        <v>8</v>
      </c>
      <c r="Y43" s="20" t="s">
        <v>127</v>
      </c>
      <c r="Z43" s="7">
        <v>4.7222222222222221E-2</v>
      </c>
      <c r="AA43" s="20" t="str">
        <f>grafico_sol1[[#This Row],[Value]]&amp;"|"&amp;grafico_sol1[[#This Row],[Numero Voltas]]</f>
        <v>0.0472222222222222|2</v>
      </c>
    </row>
    <row r="44" spans="12:27" x14ac:dyDescent="0.25">
      <c r="L44" s="60">
        <f t="shared" si="0"/>
        <v>0.22291666666666665</v>
      </c>
      <c r="M44" s="42">
        <f t="shared" si="1"/>
        <v>3</v>
      </c>
      <c r="Q44" s="7">
        <v>0.22291666666666665</v>
      </c>
      <c r="R44">
        <v>3</v>
      </c>
      <c r="U44">
        <v>2</v>
      </c>
      <c r="V44">
        <v>2</v>
      </c>
      <c r="W44" s="20" t="s">
        <v>303</v>
      </c>
      <c r="X44">
        <v>9</v>
      </c>
      <c r="Y44" s="20" t="s">
        <v>126</v>
      </c>
      <c r="Z44" s="7">
        <v>5.1388888888888887E-2</v>
      </c>
      <c r="AA44" s="20" t="str">
        <f>grafico_sol1[[#This Row],[Value]]&amp;"|"&amp;grafico_sol1[[#This Row],[Numero Voltas]]</f>
        <v>0.0513888888888889|2</v>
      </c>
    </row>
    <row r="45" spans="12:27" x14ac:dyDescent="0.25">
      <c r="L45" s="60">
        <f t="shared" si="0"/>
        <v>0.22638888888888889</v>
      </c>
      <c r="M45" s="42">
        <f t="shared" si="1"/>
        <v>4</v>
      </c>
      <c r="Q45" s="7">
        <v>0.22638888888888889</v>
      </c>
      <c r="R45">
        <v>4</v>
      </c>
      <c r="U45">
        <v>2</v>
      </c>
      <c r="V45">
        <v>2</v>
      </c>
      <c r="W45" s="20" t="s">
        <v>303</v>
      </c>
      <c r="X45">
        <v>9</v>
      </c>
      <c r="Y45" s="20" t="s">
        <v>127</v>
      </c>
      <c r="Z45" s="7">
        <v>5.1388888888888887E-2</v>
      </c>
      <c r="AA45" s="20" t="str">
        <f>grafico_sol1[[#This Row],[Value]]&amp;"|"&amp;grafico_sol1[[#This Row],[Numero Voltas]]</f>
        <v>0.0513888888888889|2</v>
      </c>
    </row>
    <row r="46" spans="12:27" x14ac:dyDescent="0.25">
      <c r="L46" s="60">
        <f t="shared" si="0"/>
        <v>0.22847222222222222</v>
      </c>
      <c r="M46" s="42">
        <f t="shared" si="1"/>
        <v>5</v>
      </c>
      <c r="Q46" s="7">
        <v>0.22847222222222222</v>
      </c>
      <c r="R46">
        <v>5</v>
      </c>
      <c r="U46">
        <v>2</v>
      </c>
      <c r="V46">
        <v>2</v>
      </c>
      <c r="W46" s="20" t="s">
        <v>303</v>
      </c>
      <c r="X46">
        <v>9</v>
      </c>
      <c r="Y46" s="20" t="s">
        <v>126</v>
      </c>
      <c r="Z46" s="7">
        <v>5.1388888888888887E-2</v>
      </c>
      <c r="AA46" s="20" t="str">
        <f>grafico_sol1[[#This Row],[Value]]&amp;"|"&amp;grafico_sol1[[#This Row],[Numero Voltas]]</f>
        <v>0.0513888888888889|2</v>
      </c>
    </row>
    <row r="47" spans="12:27" x14ac:dyDescent="0.25">
      <c r="L47" s="60">
        <f t="shared" si="0"/>
        <v>0.23124999999999998</v>
      </c>
      <c r="M47" s="42">
        <f t="shared" si="1"/>
        <v>6</v>
      </c>
      <c r="Q47" s="7">
        <v>0.23124999999999998</v>
      </c>
      <c r="R47">
        <v>6</v>
      </c>
      <c r="U47">
        <v>2</v>
      </c>
      <c r="V47">
        <v>2</v>
      </c>
      <c r="W47" s="20" t="s">
        <v>303</v>
      </c>
      <c r="X47">
        <v>9</v>
      </c>
      <c r="Y47" s="20" t="s">
        <v>127</v>
      </c>
      <c r="Z47" s="7">
        <v>5.1388888888888887E-2</v>
      </c>
      <c r="AA47" s="20" t="str">
        <f>grafico_sol1[[#This Row],[Value]]&amp;"|"&amp;grafico_sol1[[#This Row],[Numero Voltas]]</f>
        <v>0.0513888888888889|2</v>
      </c>
    </row>
    <row r="48" spans="12:27" x14ac:dyDescent="0.25">
      <c r="L48" s="60">
        <f t="shared" si="0"/>
        <v>0.23333333333333331</v>
      </c>
      <c r="M48" s="42">
        <f t="shared" si="1"/>
        <v>7</v>
      </c>
      <c r="Q48" s="7">
        <v>0.23333333333333331</v>
      </c>
      <c r="R48">
        <v>7</v>
      </c>
      <c r="U48">
        <v>3</v>
      </c>
      <c r="V48">
        <v>2</v>
      </c>
      <c r="W48" s="20" t="s">
        <v>303</v>
      </c>
      <c r="X48">
        <v>9</v>
      </c>
      <c r="Y48" s="20" t="s">
        <v>127</v>
      </c>
      <c r="Z48" s="7">
        <v>5.2083333333333336E-2</v>
      </c>
      <c r="AA48" s="20" t="str">
        <f>grafico_sol1[[#This Row],[Value]]&amp;"|"&amp;grafico_sol1[[#This Row],[Numero Voltas]]</f>
        <v>0.0520833333333333|3</v>
      </c>
    </row>
    <row r="49" spans="12:27" x14ac:dyDescent="0.25">
      <c r="L49" s="60">
        <f t="shared" si="0"/>
        <v>0.24027777777777778</v>
      </c>
      <c r="M49" s="42">
        <f t="shared" si="1"/>
        <v>7</v>
      </c>
      <c r="Q49" s="7">
        <v>0.24027777777777778</v>
      </c>
      <c r="R49">
        <v>7</v>
      </c>
      <c r="U49">
        <v>2</v>
      </c>
      <c r="V49">
        <v>2</v>
      </c>
      <c r="W49" s="20" t="s">
        <v>302</v>
      </c>
      <c r="X49">
        <v>8</v>
      </c>
      <c r="Y49" s="20" t="s">
        <v>126</v>
      </c>
      <c r="Z49" s="7">
        <v>5.5555555555555552E-2</v>
      </c>
      <c r="AA49" s="20" t="str">
        <f>grafico_sol1[[#This Row],[Value]]&amp;"|"&amp;grafico_sol1[[#This Row],[Numero Voltas]]</f>
        <v>0.0555555555555556|2</v>
      </c>
    </row>
    <row r="50" spans="12:27" x14ac:dyDescent="0.25">
      <c r="L50" s="60">
        <f t="shared" si="0"/>
        <v>0.24444444444444446</v>
      </c>
      <c r="M50" s="42">
        <f t="shared" si="1"/>
        <v>8</v>
      </c>
      <c r="Q50" s="7">
        <v>0.24444444444444446</v>
      </c>
      <c r="R50">
        <v>8</v>
      </c>
      <c r="U50">
        <v>2</v>
      </c>
      <c r="V50">
        <v>2</v>
      </c>
      <c r="W50" s="20" t="s">
        <v>302</v>
      </c>
      <c r="X50">
        <v>8</v>
      </c>
      <c r="Y50" s="20" t="s">
        <v>127</v>
      </c>
      <c r="Z50" s="7">
        <v>5.5555555555555552E-2</v>
      </c>
      <c r="AA50" s="20" t="str">
        <f>grafico_sol1[[#This Row],[Value]]&amp;"|"&amp;grafico_sol1[[#This Row],[Numero Voltas]]</f>
        <v>0.0555555555555556|2</v>
      </c>
    </row>
    <row r="51" spans="12:27" x14ac:dyDescent="0.25">
      <c r="L51" s="60">
        <f t="shared" si="0"/>
        <v>0.24861111111111112</v>
      </c>
      <c r="M51" s="42">
        <f t="shared" si="1"/>
        <v>9</v>
      </c>
      <c r="Q51" s="7">
        <v>0.24861111111111112</v>
      </c>
      <c r="R51">
        <v>9</v>
      </c>
      <c r="U51">
        <v>2</v>
      </c>
      <c r="V51">
        <v>2</v>
      </c>
      <c r="W51" s="20" t="s">
        <v>302</v>
      </c>
      <c r="X51">
        <v>8</v>
      </c>
      <c r="Y51" s="20" t="s">
        <v>126</v>
      </c>
      <c r="Z51" s="7">
        <v>5.5555555555555552E-2</v>
      </c>
      <c r="AA51" s="20" t="str">
        <f>grafico_sol1[[#This Row],[Value]]&amp;"|"&amp;grafico_sol1[[#This Row],[Numero Voltas]]</f>
        <v>0.0555555555555556|2</v>
      </c>
    </row>
    <row r="52" spans="12:27" x14ac:dyDescent="0.25">
      <c r="L52" s="60">
        <f t="shared" si="0"/>
        <v>0.25555555555555559</v>
      </c>
      <c r="M52" s="42">
        <f t="shared" si="1"/>
        <v>9</v>
      </c>
      <c r="Q52" s="7">
        <v>0.25555555555555559</v>
      </c>
      <c r="R52">
        <v>9</v>
      </c>
      <c r="U52">
        <v>3</v>
      </c>
      <c r="V52">
        <v>2</v>
      </c>
      <c r="W52" s="20" t="s">
        <v>302</v>
      </c>
      <c r="X52">
        <v>8</v>
      </c>
      <c r="Y52" s="20" t="s">
        <v>126</v>
      </c>
      <c r="Z52" s="7">
        <v>5.6250000000000001E-2</v>
      </c>
      <c r="AA52" s="20" t="str">
        <f>grafico_sol1[[#This Row],[Value]]&amp;"|"&amp;grafico_sol1[[#This Row],[Numero Voltas]]</f>
        <v>0.05625|3</v>
      </c>
    </row>
    <row r="53" spans="12:27" x14ac:dyDescent="0.25">
      <c r="L53" s="60">
        <f t="shared" si="0"/>
        <v>0.25972222222222224</v>
      </c>
      <c r="M53" s="42">
        <f t="shared" si="1"/>
        <v>8</v>
      </c>
      <c r="Q53" s="7">
        <v>0.25972222222222224</v>
      </c>
      <c r="R53">
        <v>8</v>
      </c>
      <c r="U53">
        <v>3</v>
      </c>
      <c r="V53">
        <v>2</v>
      </c>
      <c r="W53" s="20" t="s">
        <v>302</v>
      </c>
      <c r="X53">
        <v>8</v>
      </c>
      <c r="Y53" s="20" t="s">
        <v>127</v>
      </c>
      <c r="Z53" s="7">
        <v>5.6250000000000001E-2</v>
      </c>
      <c r="AA53" s="20" t="str">
        <f>grafico_sol1[[#This Row],[Value]]&amp;"|"&amp;grafico_sol1[[#This Row],[Numero Voltas]]</f>
        <v>0.05625|3</v>
      </c>
    </row>
    <row r="54" spans="12:27" x14ac:dyDescent="0.25">
      <c r="L54" s="60">
        <f t="shared" si="0"/>
        <v>0.2638888888888889</v>
      </c>
      <c r="M54" s="42">
        <f t="shared" si="1"/>
        <v>7</v>
      </c>
      <c r="Q54" s="7">
        <v>0.2638888888888889</v>
      </c>
      <c r="R54">
        <v>7</v>
      </c>
      <c r="U54">
        <v>3</v>
      </c>
      <c r="V54">
        <v>2</v>
      </c>
      <c r="W54" s="20" t="s">
        <v>302</v>
      </c>
      <c r="X54">
        <v>8</v>
      </c>
      <c r="Y54" s="20" t="s">
        <v>126</v>
      </c>
      <c r="Z54" s="7">
        <v>5.6250000000000001E-2</v>
      </c>
      <c r="AA54" s="20" t="str">
        <f>grafico_sol1[[#This Row],[Value]]&amp;"|"&amp;grafico_sol1[[#This Row],[Numero Voltas]]</f>
        <v>0.05625|3</v>
      </c>
    </row>
    <row r="55" spans="12:27" x14ac:dyDescent="0.25">
      <c r="L55" s="60">
        <f t="shared" si="0"/>
        <v>0.26597222222222222</v>
      </c>
      <c r="M55" s="42">
        <f t="shared" si="1"/>
        <v>6</v>
      </c>
      <c r="Q55" s="7">
        <v>0.26597222222222222</v>
      </c>
      <c r="R55">
        <v>6</v>
      </c>
      <c r="U55">
        <v>2</v>
      </c>
      <c r="V55">
        <v>2</v>
      </c>
      <c r="W55" s="20" t="s">
        <v>302</v>
      </c>
      <c r="X55">
        <v>8</v>
      </c>
      <c r="Y55" s="20" t="s">
        <v>127</v>
      </c>
      <c r="Z55" s="7">
        <v>9.7222222222222224E-2</v>
      </c>
      <c r="AA55" s="20" t="str">
        <f>grafico_sol1[[#This Row],[Value]]&amp;"|"&amp;grafico_sol1[[#This Row],[Numero Voltas]]</f>
        <v>0.0972222222222222|2</v>
      </c>
    </row>
    <row r="56" spans="12:27" x14ac:dyDescent="0.25">
      <c r="L56" s="60">
        <f t="shared" si="0"/>
        <v>0.26874999999999999</v>
      </c>
      <c r="M56" s="42">
        <f t="shared" si="1"/>
        <v>5</v>
      </c>
      <c r="Q56" s="7">
        <v>0.26874999999999999</v>
      </c>
      <c r="R56">
        <v>5</v>
      </c>
      <c r="U56">
        <v>2</v>
      </c>
      <c r="V56">
        <v>2</v>
      </c>
      <c r="W56" s="20" t="s">
        <v>302</v>
      </c>
      <c r="X56">
        <v>8</v>
      </c>
      <c r="Y56" s="20" t="s">
        <v>126</v>
      </c>
      <c r="Z56" s="7">
        <v>9.7222222222222224E-2</v>
      </c>
      <c r="AA56" s="20" t="str">
        <f>grafico_sol1[[#This Row],[Value]]&amp;"|"&amp;grafico_sol1[[#This Row],[Numero Voltas]]</f>
        <v>0.0972222222222222|2</v>
      </c>
    </row>
    <row r="57" spans="12:27" x14ac:dyDescent="0.25">
      <c r="L57" s="60">
        <f t="shared" si="0"/>
        <v>0.27083333333333331</v>
      </c>
      <c r="M57" s="42">
        <f t="shared" si="1"/>
        <v>4</v>
      </c>
      <c r="Q57" s="7">
        <v>0.27083333333333331</v>
      </c>
      <c r="R57">
        <v>4</v>
      </c>
      <c r="U57">
        <v>3</v>
      </c>
      <c r="V57">
        <v>2</v>
      </c>
      <c r="W57" s="20" t="s">
        <v>302</v>
      </c>
      <c r="X57">
        <v>8</v>
      </c>
      <c r="Y57" s="20" t="s">
        <v>127</v>
      </c>
      <c r="Z57" s="7">
        <v>9.7916666666666666E-2</v>
      </c>
      <c r="AA57" s="20" t="str">
        <f>grafico_sol1[[#This Row],[Value]]&amp;"|"&amp;grafico_sol1[[#This Row],[Numero Voltas]]</f>
        <v>0.0979166666666667|3</v>
      </c>
    </row>
    <row r="58" spans="12:27" x14ac:dyDescent="0.25">
      <c r="L58" s="60">
        <f t="shared" si="0"/>
        <v>0.29166666666666669</v>
      </c>
      <c r="M58" s="42">
        <f t="shared" si="1"/>
        <v>4</v>
      </c>
      <c r="Q58" s="7">
        <v>0.29166666666666669</v>
      </c>
      <c r="R58">
        <v>4</v>
      </c>
      <c r="U58">
        <v>3</v>
      </c>
      <c r="V58">
        <v>2</v>
      </c>
      <c r="W58" s="20" t="s">
        <v>301</v>
      </c>
      <c r="X58">
        <v>7</v>
      </c>
      <c r="Y58" s="20" t="s">
        <v>126</v>
      </c>
      <c r="Z58" s="7">
        <v>0.10208333333333333</v>
      </c>
      <c r="AA58" s="20" t="str">
        <f>grafico_sol1[[#This Row],[Value]]&amp;"|"&amp;grafico_sol1[[#This Row],[Numero Voltas]]</f>
        <v>0.102083333333333|3</v>
      </c>
    </row>
    <row r="59" spans="12:27" x14ac:dyDescent="0.25">
      <c r="L59" s="60">
        <f t="shared" si="0"/>
        <v>0.2951388888888889</v>
      </c>
      <c r="M59" s="42">
        <f t="shared" si="1"/>
        <v>3</v>
      </c>
      <c r="Q59" s="7">
        <v>0.2951388888888889</v>
      </c>
      <c r="R59">
        <v>3</v>
      </c>
      <c r="U59">
        <v>3</v>
      </c>
      <c r="V59">
        <v>2</v>
      </c>
      <c r="W59" s="20" t="s">
        <v>301</v>
      </c>
      <c r="X59">
        <v>7</v>
      </c>
      <c r="Y59" s="20" t="s">
        <v>127</v>
      </c>
      <c r="Z59" s="7">
        <v>0.10208333333333333</v>
      </c>
      <c r="AA59" s="20" t="str">
        <f>grafico_sol1[[#This Row],[Value]]&amp;"|"&amp;grafico_sol1[[#This Row],[Numero Voltas]]</f>
        <v>0.102083333333333|3</v>
      </c>
    </row>
    <row r="60" spans="12:27" x14ac:dyDescent="0.25">
      <c r="L60" s="60">
        <f t="shared" si="0"/>
        <v>0.29722222222222222</v>
      </c>
      <c r="M60" s="42">
        <f t="shared" si="1"/>
        <v>2</v>
      </c>
      <c r="Q60" s="7">
        <v>0.29722222222222222</v>
      </c>
      <c r="R60">
        <v>2</v>
      </c>
      <c r="U60">
        <v>3</v>
      </c>
      <c r="V60">
        <v>2</v>
      </c>
      <c r="W60" s="20" t="s">
        <v>301</v>
      </c>
      <c r="X60">
        <v>7</v>
      </c>
      <c r="Y60" s="20" t="s">
        <v>126</v>
      </c>
      <c r="Z60" s="7">
        <v>0.10208333333333333</v>
      </c>
      <c r="AA60" s="20" t="str">
        <f>grafico_sol1[[#This Row],[Value]]&amp;"|"&amp;grafico_sol1[[#This Row],[Numero Voltas]]</f>
        <v>0.102083333333333|3</v>
      </c>
    </row>
    <row r="61" spans="12:27" x14ac:dyDescent="0.25">
      <c r="L61" s="60">
        <f t="shared" si="0"/>
        <v>0.29791666666666666</v>
      </c>
      <c r="M61" s="42">
        <f t="shared" si="1"/>
        <v>1</v>
      </c>
      <c r="Q61" s="7">
        <v>0.29791666666666666</v>
      </c>
      <c r="R61">
        <v>1</v>
      </c>
      <c r="U61">
        <v>2</v>
      </c>
      <c r="V61">
        <v>2</v>
      </c>
      <c r="W61" s="20" t="s">
        <v>302</v>
      </c>
      <c r="X61">
        <v>8</v>
      </c>
      <c r="Y61" s="20" t="s">
        <v>127</v>
      </c>
      <c r="Z61" s="7">
        <v>0.10416666666666667</v>
      </c>
      <c r="AA61" s="20" t="str">
        <f>grafico_sol1[[#This Row],[Value]]&amp;"|"&amp;grafico_sol1[[#This Row],[Numero Voltas]]</f>
        <v>0.104166666666667|2</v>
      </c>
    </row>
    <row r="62" spans="12:27" x14ac:dyDescent="0.25">
      <c r="L62" s="60">
        <f t="shared" si="0"/>
        <v>0.29930555555555555</v>
      </c>
      <c r="M62" s="42">
        <f t="shared" si="1"/>
        <v>0</v>
      </c>
      <c r="Q62" s="7">
        <v>0.29930555555555555</v>
      </c>
      <c r="R62">
        <v>0</v>
      </c>
      <c r="U62">
        <v>2</v>
      </c>
      <c r="V62">
        <v>2</v>
      </c>
      <c r="W62" s="20" t="s">
        <v>301</v>
      </c>
      <c r="X62">
        <v>7</v>
      </c>
      <c r="Y62" s="20" t="s">
        <v>126</v>
      </c>
      <c r="Z62" s="7">
        <v>0.10833333333333334</v>
      </c>
      <c r="AA62" s="20" t="str">
        <f>grafico_sol1[[#This Row],[Value]]&amp;"|"&amp;grafico_sol1[[#This Row],[Numero Voltas]]</f>
        <v>0.108333333333333|2</v>
      </c>
    </row>
    <row r="63" spans="12:27" x14ac:dyDescent="0.25">
      <c r="L63" s="60">
        <f t="shared" si="0"/>
        <v>0.32013888888888892</v>
      </c>
      <c r="M63" s="42">
        <f t="shared" si="1"/>
        <v>0</v>
      </c>
      <c r="Q63" s="7">
        <v>0.32013888888888892</v>
      </c>
      <c r="R63">
        <v>0</v>
      </c>
      <c r="U63">
        <v>2</v>
      </c>
      <c r="V63">
        <v>2</v>
      </c>
      <c r="W63" s="20" t="s">
        <v>301</v>
      </c>
      <c r="X63">
        <v>7</v>
      </c>
      <c r="Y63" s="20" t="s">
        <v>127</v>
      </c>
      <c r="Z63" s="7">
        <v>0.10833333333333334</v>
      </c>
      <c r="AA63" s="20" t="str">
        <f>grafico_sol1[[#This Row],[Value]]&amp;"|"&amp;grafico_sol1[[#This Row],[Numero Voltas]]</f>
        <v>0.108333333333333|2</v>
      </c>
    </row>
    <row r="64" spans="12:27" x14ac:dyDescent="0.25">
      <c r="L64" s="60">
        <f t="shared" si="0"/>
        <v>0.3215277777777778</v>
      </c>
      <c r="M64" s="42">
        <f t="shared" si="1"/>
        <v>1</v>
      </c>
      <c r="Q64" s="7">
        <v>0.3215277777777778</v>
      </c>
      <c r="R64">
        <v>1</v>
      </c>
      <c r="U64">
        <v>2</v>
      </c>
      <c r="V64">
        <v>2</v>
      </c>
      <c r="W64" s="20" t="s">
        <v>301</v>
      </c>
      <c r="X64">
        <v>7</v>
      </c>
      <c r="Y64" s="20" t="s">
        <v>126</v>
      </c>
      <c r="Z64" s="7">
        <v>0.10833333333333334</v>
      </c>
      <c r="AA64" s="20" t="str">
        <f>grafico_sol1[[#This Row],[Value]]&amp;"|"&amp;grafico_sol1[[#This Row],[Numero Voltas]]</f>
        <v>0.108333333333333|2</v>
      </c>
    </row>
    <row r="65" spans="12:27" x14ac:dyDescent="0.25">
      <c r="L65" s="60">
        <f t="shared" si="0"/>
        <v>0.32430555555555557</v>
      </c>
      <c r="M65" s="42">
        <f t="shared" si="1"/>
        <v>1</v>
      </c>
      <c r="Q65" s="7">
        <v>0.32430555555555557</v>
      </c>
      <c r="R65">
        <v>1</v>
      </c>
      <c r="U65">
        <v>3</v>
      </c>
      <c r="V65">
        <v>2</v>
      </c>
      <c r="W65" s="20" t="s">
        <v>301</v>
      </c>
      <c r="X65">
        <v>7</v>
      </c>
      <c r="Y65" s="20" t="s">
        <v>127</v>
      </c>
      <c r="Z65" s="7">
        <v>0.10902777777777778</v>
      </c>
      <c r="AA65" s="20" t="str">
        <f>grafico_sol1[[#This Row],[Value]]&amp;"|"&amp;grafico_sol1[[#This Row],[Numero Voltas]]</f>
        <v>0.109027777777778|3</v>
      </c>
    </row>
    <row r="66" spans="12:27" x14ac:dyDescent="0.25">
      <c r="L66" s="60">
        <f t="shared" si="0"/>
        <v>0.32500000000000001</v>
      </c>
      <c r="M66" s="42">
        <f t="shared" si="1"/>
        <v>2</v>
      </c>
      <c r="Q66" s="7">
        <v>0.32500000000000001</v>
      </c>
      <c r="R66">
        <v>2</v>
      </c>
      <c r="U66">
        <v>3</v>
      </c>
      <c r="V66">
        <v>2</v>
      </c>
      <c r="W66" s="20" t="s">
        <v>300</v>
      </c>
      <c r="X66">
        <v>6</v>
      </c>
      <c r="Y66" s="20" t="s">
        <v>126</v>
      </c>
      <c r="Z66" s="7">
        <v>0.1111111111111111</v>
      </c>
      <c r="AA66" s="20" t="str">
        <f>grafico_sol1[[#This Row],[Value]]&amp;"|"&amp;grafico_sol1[[#This Row],[Numero Voltas]]</f>
        <v>0.111111111111111|3</v>
      </c>
    </row>
    <row r="67" spans="12:27" x14ac:dyDescent="0.25">
      <c r="L67" s="60">
        <f t="shared" si="0"/>
        <v>0.33749999999999997</v>
      </c>
      <c r="M67" s="42">
        <f t="shared" si="1"/>
        <v>2</v>
      </c>
      <c r="Q67" s="7">
        <v>0.33749999999999997</v>
      </c>
      <c r="R67">
        <v>2</v>
      </c>
      <c r="U67">
        <v>3</v>
      </c>
      <c r="V67">
        <v>2</v>
      </c>
      <c r="W67" s="20" t="s">
        <v>300</v>
      </c>
      <c r="X67">
        <v>6</v>
      </c>
      <c r="Y67" s="20" t="s">
        <v>127</v>
      </c>
      <c r="Z67" s="7">
        <v>0.1111111111111111</v>
      </c>
      <c r="AA67" s="20" t="str">
        <f>grafico_sol1[[#This Row],[Value]]&amp;"|"&amp;grafico_sol1[[#This Row],[Numero Voltas]]</f>
        <v>0.111111111111111|3</v>
      </c>
    </row>
    <row r="68" spans="12:27" x14ac:dyDescent="0.25">
      <c r="L68" s="60">
        <f t="shared" si="0"/>
        <v>0.33958333333333335</v>
      </c>
      <c r="M68" s="42">
        <f t="shared" si="1"/>
        <v>3</v>
      </c>
      <c r="Q68" s="7">
        <v>0.33958333333333335</v>
      </c>
      <c r="R68">
        <v>3</v>
      </c>
      <c r="U68">
        <v>3</v>
      </c>
      <c r="V68">
        <v>2</v>
      </c>
      <c r="W68" s="20" t="s">
        <v>215</v>
      </c>
      <c r="X68">
        <v>5</v>
      </c>
      <c r="Y68" s="20" t="s">
        <v>126</v>
      </c>
      <c r="Z68" s="7">
        <v>0.11388888888888889</v>
      </c>
      <c r="AA68" s="20" t="str">
        <f>grafico_sol1[[#This Row],[Value]]&amp;"|"&amp;grafico_sol1[[#This Row],[Numero Voltas]]</f>
        <v>0.113888888888889|3</v>
      </c>
    </row>
    <row r="69" spans="12:27" x14ac:dyDescent="0.25">
      <c r="L69" s="60">
        <f t="shared" si="0"/>
        <v>0.3430555555555555</v>
      </c>
      <c r="M69" s="42">
        <f t="shared" si="1"/>
        <v>4</v>
      </c>
      <c r="Q69" s="7">
        <v>0.3430555555555555</v>
      </c>
      <c r="R69">
        <v>4</v>
      </c>
      <c r="U69">
        <v>3</v>
      </c>
      <c r="V69">
        <v>2</v>
      </c>
      <c r="W69" s="20" t="s">
        <v>215</v>
      </c>
      <c r="X69">
        <v>5</v>
      </c>
      <c r="Y69" s="20" t="s">
        <v>127</v>
      </c>
      <c r="Z69" s="7">
        <v>0.11388888888888889</v>
      </c>
      <c r="AA69" s="20" t="str">
        <f>grafico_sol1[[#This Row],[Value]]&amp;"|"&amp;grafico_sol1[[#This Row],[Numero Voltas]]</f>
        <v>0.113888888888889|3</v>
      </c>
    </row>
    <row r="70" spans="12:27" x14ac:dyDescent="0.25">
      <c r="L70" s="60">
        <f t="shared" si="0"/>
        <v>0.3520833333333333</v>
      </c>
      <c r="M70" s="42">
        <f t="shared" si="1"/>
        <v>4</v>
      </c>
      <c r="Q70" s="7">
        <v>0.3520833333333333</v>
      </c>
      <c r="R70">
        <v>4</v>
      </c>
      <c r="U70">
        <v>2</v>
      </c>
      <c r="V70">
        <v>2</v>
      </c>
      <c r="W70" s="20" t="s">
        <v>301</v>
      </c>
      <c r="X70">
        <v>7</v>
      </c>
      <c r="Y70" s="20" t="s">
        <v>127</v>
      </c>
      <c r="Z70" s="7">
        <v>0.11527777777777778</v>
      </c>
      <c r="AA70" s="20" t="str">
        <f>grafico_sol1[[#This Row],[Value]]&amp;"|"&amp;grafico_sol1[[#This Row],[Numero Voltas]]</f>
        <v>0.115277777777778|2</v>
      </c>
    </row>
    <row r="71" spans="12:27" x14ac:dyDescent="0.25">
      <c r="L71" s="60">
        <f t="shared" si="0"/>
        <v>0.35416666666666669</v>
      </c>
      <c r="M71" s="42">
        <f t="shared" si="1"/>
        <v>5</v>
      </c>
      <c r="Q71" s="7">
        <v>0.35416666666666669</v>
      </c>
      <c r="R71">
        <v>5</v>
      </c>
      <c r="U71">
        <v>3</v>
      </c>
      <c r="V71">
        <v>2</v>
      </c>
      <c r="W71" s="20" t="s">
        <v>2</v>
      </c>
      <c r="X71">
        <v>4</v>
      </c>
      <c r="Y71" s="20" t="s">
        <v>126</v>
      </c>
      <c r="Z71" s="7">
        <v>0.11597222222222223</v>
      </c>
      <c r="AA71" s="20" t="str">
        <f>grafico_sol1[[#This Row],[Value]]&amp;"|"&amp;grafico_sol1[[#This Row],[Numero Voltas]]</f>
        <v>0.115972222222222|3</v>
      </c>
    </row>
    <row r="72" spans="12:27" x14ac:dyDescent="0.25">
      <c r="L72" s="60">
        <f t="shared" si="0"/>
        <v>0.35694444444444445</v>
      </c>
      <c r="M72" s="42">
        <f t="shared" si="1"/>
        <v>6</v>
      </c>
      <c r="Q72" s="7">
        <v>0.35694444444444445</v>
      </c>
      <c r="R72">
        <v>6</v>
      </c>
      <c r="U72">
        <v>3</v>
      </c>
      <c r="V72">
        <v>2</v>
      </c>
      <c r="W72" s="20" t="s">
        <v>2</v>
      </c>
      <c r="X72">
        <v>4</v>
      </c>
      <c r="Y72" s="20" t="s">
        <v>127</v>
      </c>
      <c r="Z72" s="7">
        <v>0.11597222222222223</v>
      </c>
      <c r="AA72" s="20" t="str">
        <f>grafico_sol1[[#This Row],[Value]]&amp;"|"&amp;grafico_sol1[[#This Row],[Numero Voltas]]</f>
        <v>0.115972222222222|3</v>
      </c>
    </row>
    <row r="73" spans="12:27" x14ac:dyDescent="0.25">
      <c r="L73" s="60">
        <f t="shared" si="0"/>
        <v>0.35902777777777778</v>
      </c>
      <c r="M73" s="42">
        <f t="shared" si="1"/>
        <v>7</v>
      </c>
      <c r="Q73" s="7">
        <v>0.35902777777777778</v>
      </c>
      <c r="R73">
        <v>7</v>
      </c>
      <c r="U73">
        <v>2</v>
      </c>
      <c r="V73">
        <v>2</v>
      </c>
      <c r="W73" s="20" t="s">
        <v>300</v>
      </c>
      <c r="X73">
        <v>6</v>
      </c>
      <c r="Y73" s="20" t="s">
        <v>126</v>
      </c>
      <c r="Z73" s="7">
        <v>0.11736111111111111</v>
      </c>
      <c r="AA73" s="20" t="str">
        <f>grafico_sol1[[#This Row],[Value]]&amp;"|"&amp;grafico_sol1[[#This Row],[Numero Voltas]]</f>
        <v>0.117361111111111|2</v>
      </c>
    </row>
    <row r="74" spans="12:27" x14ac:dyDescent="0.25">
      <c r="L74" s="60">
        <f t="shared" si="0"/>
        <v>0.36319444444444443</v>
      </c>
      <c r="M74" s="42">
        <f t="shared" si="1"/>
        <v>8</v>
      </c>
      <c r="Q74" s="7">
        <v>0.36319444444444443</v>
      </c>
      <c r="R74">
        <v>8</v>
      </c>
      <c r="U74">
        <v>2</v>
      </c>
      <c r="V74">
        <v>2</v>
      </c>
      <c r="W74" s="20" t="s">
        <v>300</v>
      </c>
      <c r="X74">
        <v>6</v>
      </c>
      <c r="Y74" s="20" t="s">
        <v>127</v>
      </c>
      <c r="Z74" s="7">
        <v>0.11736111111111111</v>
      </c>
      <c r="AA74" s="20" t="str">
        <f>grafico_sol1[[#This Row],[Value]]&amp;"|"&amp;grafico_sol1[[#This Row],[Numero Voltas]]</f>
        <v>0.117361111111111|2</v>
      </c>
    </row>
    <row r="75" spans="12:27" x14ac:dyDescent="0.25">
      <c r="L75" s="60">
        <f t="shared" ref="L75:L138" si="2">IF(Q75&lt;&gt;"",Q75,#N/A)</f>
        <v>0.36736111111111108</v>
      </c>
      <c r="M75" s="42">
        <f t="shared" ref="M75:M138" si="3">IF(R75&lt;&gt;"",R75,#N/A)</f>
        <v>9</v>
      </c>
      <c r="Q75" s="7">
        <v>0.36736111111111108</v>
      </c>
      <c r="R75">
        <v>9</v>
      </c>
      <c r="U75">
        <v>3</v>
      </c>
      <c r="V75">
        <v>2</v>
      </c>
      <c r="W75" s="20" t="s">
        <v>208</v>
      </c>
      <c r="X75">
        <v>3</v>
      </c>
      <c r="Y75" s="20" t="s">
        <v>126</v>
      </c>
      <c r="Z75" s="7">
        <v>0.11944444444444445</v>
      </c>
      <c r="AA75" s="20" t="str">
        <f>grafico_sol1[[#This Row],[Value]]&amp;"|"&amp;grafico_sol1[[#This Row],[Numero Voltas]]</f>
        <v>0.119444444444444|3</v>
      </c>
    </row>
    <row r="76" spans="12:27" x14ac:dyDescent="0.25">
      <c r="L76" s="60">
        <f t="shared" si="2"/>
        <v>0.3743055555555555</v>
      </c>
      <c r="M76" s="42">
        <f t="shared" si="3"/>
        <v>9</v>
      </c>
      <c r="Q76" s="7">
        <v>0.3743055555555555</v>
      </c>
      <c r="R76">
        <v>9</v>
      </c>
      <c r="U76">
        <v>3</v>
      </c>
      <c r="V76">
        <v>2</v>
      </c>
      <c r="W76" s="20" t="s">
        <v>208</v>
      </c>
      <c r="X76">
        <v>3</v>
      </c>
      <c r="Y76" s="20" t="s">
        <v>127</v>
      </c>
      <c r="Z76" s="7">
        <v>0.11944444444444445</v>
      </c>
      <c r="AA76" s="20" t="str">
        <f>grafico_sol1[[#This Row],[Value]]&amp;"|"&amp;grafico_sol1[[#This Row],[Numero Voltas]]</f>
        <v>0.119444444444444|3</v>
      </c>
    </row>
    <row r="77" spans="12:27" x14ac:dyDescent="0.25">
      <c r="L77" s="60">
        <f t="shared" si="2"/>
        <v>0.37847222222222227</v>
      </c>
      <c r="M77" s="42">
        <f t="shared" si="3"/>
        <v>8</v>
      </c>
      <c r="Q77" s="7">
        <v>0.37847222222222227</v>
      </c>
      <c r="R77">
        <v>8</v>
      </c>
      <c r="U77">
        <v>2</v>
      </c>
      <c r="V77">
        <v>2</v>
      </c>
      <c r="W77" s="20" t="s">
        <v>215</v>
      </c>
      <c r="X77">
        <v>5</v>
      </c>
      <c r="Y77" s="20" t="s">
        <v>126</v>
      </c>
      <c r="Z77" s="7">
        <v>0.12013888888888889</v>
      </c>
      <c r="AA77" s="20" t="str">
        <f>grafico_sol1[[#This Row],[Value]]&amp;"|"&amp;grafico_sol1[[#This Row],[Numero Voltas]]</f>
        <v>0.120138888888889|2</v>
      </c>
    </row>
    <row r="78" spans="12:27" x14ac:dyDescent="0.25">
      <c r="L78" s="60">
        <f t="shared" si="2"/>
        <v>0.38541666666666669</v>
      </c>
      <c r="M78" s="42">
        <f t="shared" si="3"/>
        <v>8</v>
      </c>
      <c r="Q78" s="7">
        <v>0.38541666666666669</v>
      </c>
      <c r="R78">
        <v>8</v>
      </c>
      <c r="U78">
        <v>2</v>
      </c>
      <c r="V78">
        <v>2</v>
      </c>
      <c r="W78" s="20" t="s">
        <v>215</v>
      </c>
      <c r="X78">
        <v>5</v>
      </c>
      <c r="Y78" s="20" t="s">
        <v>127</v>
      </c>
      <c r="Z78" s="7">
        <v>0.12013888888888889</v>
      </c>
      <c r="AA78" s="20" t="str">
        <f>grafico_sol1[[#This Row],[Value]]&amp;"|"&amp;grafico_sol1[[#This Row],[Numero Voltas]]</f>
        <v>0.120138888888889|2</v>
      </c>
    </row>
    <row r="79" spans="12:27" x14ac:dyDescent="0.25">
      <c r="L79" s="60">
        <f t="shared" si="2"/>
        <v>0.38958333333333334</v>
      </c>
      <c r="M79" s="42">
        <f t="shared" si="3"/>
        <v>7</v>
      </c>
      <c r="Q79" s="7">
        <v>0.38958333333333334</v>
      </c>
      <c r="R79">
        <v>7</v>
      </c>
      <c r="U79">
        <v>3</v>
      </c>
      <c r="V79">
        <v>2</v>
      </c>
      <c r="W79" s="20" t="s">
        <v>228</v>
      </c>
      <c r="X79">
        <v>2</v>
      </c>
      <c r="Y79" s="20" t="s">
        <v>126</v>
      </c>
      <c r="Z79" s="7">
        <v>0.12152777777777778</v>
      </c>
      <c r="AA79" s="20" t="str">
        <f>grafico_sol1[[#This Row],[Value]]&amp;"|"&amp;grafico_sol1[[#This Row],[Numero Voltas]]</f>
        <v>0.121527777777778|3</v>
      </c>
    </row>
    <row r="80" spans="12:27" x14ac:dyDescent="0.25">
      <c r="L80" s="60">
        <f t="shared" si="2"/>
        <v>0.39652777777777781</v>
      </c>
      <c r="M80" s="42">
        <f t="shared" si="3"/>
        <v>7</v>
      </c>
      <c r="Q80" s="7">
        <v>0.39652777777777781</v>
      </c>
      <c r="R80">
        <v>7</v>
      </c>
      <c r="U80">
        <v>3</v>
      </c>
      <c r="V80">
        <v>2</v>
      </c>
      <c r="W80" s="20" t="s">
        <v>228</v>
      </c>
      <c r="X80">
        <v>2</v>
      </c>
      <c r="Y80" s="20" t="s">
        <v>127</v>
      </c>
      <c r="Z80" s="7">
        <v>0.12152777777777778</v>
      </c>
      <c r="AA80" s="20" t="str">
        <f>grafico_sol1[[#This Row],[Value]]&amp;"|"&amp;grafico_sol1[[#This Row],[Numero Voltas]]</f>
        <v>0.121527777777778|3</v>
      </c>
    </row>
    <row r="81" spans="12:27" x14ac:dyDescent="0.25">
      <c r="L81" s="60">
        <f t="shared" si="2"/>
        <v>0.39861111111111108</v>
      </c>
      <c r="M81" s="42">
        <f t="shared" si="3"/>
        <v>6</v>
      </c>
      <c r="Q81" s="7">
        <v>0.39861111111111108</v>
      </c>
      <c r="R81">
        <v>6</v>
      </c>
      <c r="U81">
        <v>3</v>
      </c>
      <c r="V81">
        <v>2</v>
      </c>
      <c r="W81" s="20" t="s">
        <v>228</v>
      </c>
      <c r="X81">
        <v>2</v>
      </c>
      <c r="Y81" s="20" t="s">
        <v>126</v>
      </c>
      <c r="Z81" s="7">
        <v>0.12152777777777778</v>
      </c>
      <c r="AA81" s="20" t="str">
        <f>grafico_sol1[[#This Row],[Value]]&amp;"|"&amp;grafico_sol1[[#This Row],[Numero Voltas]]</f>
        <v>0.121527777777778|3</v>
      </c>
    </row>
    <row r="82" spans="12:27" x14ac:dyDescent="0.25">
      <c r="L82" s="60">
        <f t="shared" si="2"/>
        <v>0.40138888888888885</v>
      </c>
      <c r="M82" s="42">
        <f t="shared" si="3"/>
        <v>5</v>
      </c>
      <c r="Q82" s="7">
        <v>0.40138888888888885</v>
      </c>
      <c r="R82">
        <v>5</v>
      </c>
      <c r="U82">
        <v>2</v>
      </c>
      <c r="V82">
        <v>2</v>
      </c>
      <c r="W82" s="20" t="s">
        <v>2</v>
      </c>
      <c r="X82">
        <v>4</v>
      </c>
      <c r="Y82" s="20" t="s">
        <v>126</v>
      </c>
      <c r="Z82" s="7">
        <v>0.12222222222222222</v>
      </c>
      <c r="AA82" s="20" t="str">
        <f>grafico_sol1[[#This Row],[Value]]&amp;"|"&amp;grafico_sol1[[#This Row],[Numero Voltas]]</f>
        <v>0.122222222222222|2</v>
      </c>
    </row>
    <row r="83" spans="12:27" x14ac:dyDescent="0.25">
      <c r="L83" s="60">
        <f t="shared" si="2"/>
        <v>0.40347222222222223</v>
      </c>
      <c r="M83" s="42">
        <f t="shared" si="3"/>
        <v>4</v>
      </c>
      <c r="Q83" s="7">
        <v>0.40347222222222223</v>
      </c>
      <c r="R83">
        <v>4</v>
      </c>
      <c r="U83">
        <v>2</v>
      </c>
      <c r="V83">
        <v>2</v>
      </c>
      <c r="W83" s="20" t="s">
        <v>2</v>
      </c>
      <c r="X83">
        <v>4</v>
      </c>
      <c r="Y83" s="20" t="s">
        <v>127</v>
      </c>
      <c r="Z83" s="7">
        <v>0.12222222222222222</v>
      </c>
      <c r="AA83" s="20" t="str">
        <f>grafico_sol1[[#This Row],[Value]]&amp;"|"&amp;grafico_sol1[[#This Row],[Numero Voltas]]</f>
        <v>0.122222222222222|2</v>
      </c>
    </row>
    <row r="84" spans="12:27" x14ac:dyDescent="0.25">
      <c r="L84" s="60">
        <f t="shared" si="2"/>
        <v>0.41388888888888892</v>
      </c>
      <c r="M84" s="42">
        <f t="shared" si="3"/>
        <v>4</v>
      </c>
      <c r="Q84" s="7">
        <v>0.41388888888888892</v>
      </c>
      <c r="R84">
        <v>4</v>
      </c>
      <c r="U84">
        <v>2</v>
      </c>
      <c r="V84">
        <v>2</v>
      </c>
      <c r="W84" s="20" t="s">
        <v>2</v>
      </c>
      <c r="X84">
        <v>4</v>
      </c>
      <c r="Y84" s="20" t="s">
        <v>126</v>
      </c>
      <c r="Z84" s="7">
        <v>0.12222222222222222</v>
      </c>
      <c r="AA84" s="20" t="str">
        <f>grafico_sol1[[#This Row],[Value]]&amp;"|"&amp;grafico_sol1[[#This Row],[Numero Voltas]]</f>
        <v>0.122222222222222|2</v>
      </c>
    </row>
    <row r="85" spans="12:27" x14ac:dyDescent="0.25">
      <c r="L85" s="60">
        <f t="shared" si="2"/>
        <v>0.42291666666666666</v>
      </c>
      <c r="M85" s="42">
        <f t="shared" si="3"/>
        <v>4</v>
      </c>
      <c r="Q85" s="7">
        <v>0.42291666666666666</v>
      </c>
      <c r="R85">
        <v>4</v>
      </c>
      <c r="U85">
        <v>2</v>
      </c>
      <c r="V85">
        <v>2</v>
      </c>
      <c r="W85" s="20" t="s">
        <v>2</v>
      </c>
      <c r="X85">
        <v>4</v>
      </c>
      <c r="Y85" s="20" t="s">
        <v>127</v>
      </c>
      <c r="Z85" s="7">
        <v>0.13125000000000001</v>
      </c>
      <c r="AA85" s="20" t="str">
        <f>grafico_sol1[[#This Row],[Value]]&amp;"|"&amp;grafico_sol1[[#This Row],[Numero Voltas]]</f>
        <v>0.13125|2</v>
      </c>
    </row>
    <row r="86" spans="12:27" x14ac:dyDescent="0.25">
      <c r="L86" s="60">
        <f t="shared" si="2"/>
        <v>0.42638888888888887</v>
      </c>
      <c r="M86" s="42">
        <f t="shared" si="3"/>
        <v>3</v>
      </c>
      <c r="Q86" s="7">
        <v>0.42638888888888887</v>
      </c>
      <c r="R86">
        <v>3</v>
      </c>
      <c r="U86">
        <v>3</v>
      </c>
      <c r="V86">
        <v>2</v>
      </c>
      <c r="W86" s="20" t="s">
        <v>228</v>
      </c>
      <c r="X86">
        <v>2</v>
      </c>
      <c r="Y86" s="20" t="s">
        <v>127</v>
      </c>
      <c r="Z86" s="7">
        <v>0.13402777777777777</v>
      </c>
      <c r="AA86" s="20" t="str">
        <f>grafico_sol1[[#This Row],[Value]]&amp;"|"&amp;grafico_sol1[[#This Row],[Numero Voltas]]</f>
        <v>0.134027777777778|3</v>
      </c>
    </row>
    <row r="87" spans="12:27" x14ac:dyDescent="0.25">
      <c r="L87" s="60">
        <f t="shared" si="2"/>
        <v>0.4680555555555555</v>
      </c>
      <c r="M87" s="42">
        <f t="shared" si="3"/>
        <v>3</v>
      </c>
      <c r="Q87" s="7">
        <v>0.4680555555555555</v>
      </c>
      <c r="R87">
        <v>3</v>
      </c>
      <c r="U87">
        <v>2</v>
      </c>
      <c r="V87">
        <v>2</v>
      </c>
      <c r="W87" s="20" t="s">
        <v>208</v>
      </c>
      <c r="X87">
        <v>3</v>
      </c>
      <c r="Y87" s="20" t="s">
        <v>126</v>
      </c>
      <c r="Z87" s="7">
        <v>0.13472222222222222</v>
      </c>
      <c r="AA87" s="20" t="str">
        <f>grafico_sol1[[#This Row],[Value]]&amp;"|"&amp;grafico_sol1[[#This Row],[Numero Voltas]]</f>
        <v>0.134722222222222|2</v>
      </c>
    </row>
    <row r="88" spans="12:27" x14ac:dyDescent="0.25">
      <c r="L88" s="60">
        <f t="shared" si="2"/>
        <v>0.4770833333333333</v>
      </c>
      <c r="M88" s="42">
        <f t="shared" si="3"/>
        <v>3</v>
      </c>
      <c r="Q88" s="7">
        <v>0.4770833333333333</v>
      </c>
      <c r="R88">
        <v>3</v>
      </c>
      <c r="U88">
        <v>2</v>
      </c>
      <c r="V88">
        <v>2</v>
      </c>
      <c r="W88" s="20" t="s">
        <v>208</v>
      </c>
      <c r="X88">
        <v>3</v>
      </c>
      <c r="Y88" s="20" t="s">
        <v>127</v>
      </c>
      <c r="Z88" s="7">
        <v>0.13472222222222222</v>
      </c>
      <c r="AA88" s="20" t="str">
        <f>grafico_sol1[[#This Row],[Value]]&amp;"|"&amp;grafico_sol1[[#This Row],[Numero Voltas]]</f>
        <v>0.134722222222222|2</v>
      </c>
    </row>
    <row r="89" spans="12:27" x14ac:dyDescent="0.25">
      <c r="L89" s="60">
        <f t="shared" si="2"/>
        <v>0.47916666666666669</v>
      </c>
      <c r="M89" s="42">
        <f t="shared" si="3"/>
        <v>2</v>
      </c>
      <c r="Q89" s="7">
        <v>0.47916666666666669</v>
      </c>
      <c r="R89">
        <v>2</v>
      </c>
      <c r="U89">
        <v>2</v>
      </c>
      <c r="V89">
        <v>2</v>
      </c>
      <c r="W89" s="20" t="s">
        <v>208</v>
      </c>
      <c r="X89">
        <v>3</v>
      </c>
      <c r="Y89" s="20" t="s">
        <v>126</v>
      </c>
      <c r="Z89" s="7">
        <v>0.13472222222222222</v>
      </c>
      <c r="AA89" s="20" t="str">
        <f>grafico_sol1[[#This Row],[Value]]&amp;"|"&amp;grafico_sol1[[#This Row],[Numero Voltas]]</f>
        <v>0.134722222222222|2</v>
      </c>
    </row>
    <row r="90" spans="12:27" x14ac:dyDescent="0.25">
      <c r="L90" s="60">
        <f t="shared" si="2"/>
        <v>0.4916666666666667</v>
      </c>
      <c r="M90" s="42">
        <f t="shared" si="3"/>
        <v>2</v>
      </c>
      <c r="Q90" s="7">
        <v>0.4916666666666667</v>
      </c>
      <c r="R90">
        <v>2</v>
      </c>
      <c r="U90">
        <v>3</v>
      </c>
      <c r="V90">
        <v>2</v>
      </c>
      <c r="W90" s="20" t="s">
        <v>200</v>
      </c>
      <c r="X90">
        <v>1</v>
      </c>
      <c r="Y90" s="20" t="s">
        <v>126</v>
      </c>
      <c r="Z90" s="7">
        <v>0.13472222222222222</v>
      </c>
      <c r="AA90" s="20" t="str">
        <f>grafico_sol1[[#This Row],[Value]]&amp;"|"&amp;grafico_sol1[[#This Row],[Numero Voltas]]</f>
        <v>0.134722222222222|3</v>
      </c>
    </row>
    <row r="91" spans="12:27" x14ac:dyDescent="0.25">
      <c r="L91" s="60">
        <f t="shared" si="2"/>
        <v>0.49236111111111108</v>
      </c>
      <c r="M91" s="42">
        <f t="shared" si="3"/>
        <v>1</v>
      </c>
      <c r="Q91" s="7">
        <v>0.49236111111111108</v>
      </c>
      <c r="R91">
        <v>1</v>
      </c>
      <c r="U91">
        <v>3</v>
      </c>
      <c r="V91">
        <v>2</v>
      </c>
      <c r="W91" s="20" t="s">
        <v>200</v>
      </c>
      <c r="X91">
        <v>1</v>
      </c>
      <c r="Y91" s="20" t="s">
        <v>127</v>
      </c>
      <c r="Z91" s="7">
        <v>0.13472222222222222</v>
      </c>
      <c r="AA91" s="20" t="str">
        <f>grafico_sol1[[#This Row],[Value]]&amp;"|"&amp;grafico_sol1[[#This Row],[Numero Voltas]]</f>
        <v>0.134722222222222|3</v>
      </c>
    </row>
    <row r="92" spans="12:27" x14ac:dyDescent="0.25">
      <c r="L92" s="60">
        <f t="shared" si="2"/>
        <v>0.49513888888888885</v>
      </c>
      <c r="M92" s="42">
        <f t="shared" si="3"/>
        <v>1</v>
      </c>
      <c r="Q92" s="7">
        <v>0.49513888888888885</v>
      </c>
      <c r="R92">
        <v>1</v>
      </c>
      <c r="U92">
        <v>3</v>
      </c>
      <c r="V92">
        <v>2</v>
      </c>
      <c r="W92" s="20" t="s">
        <v>203</v>
      </c>
      <c r="X92">
        <v>0</v>
      </c>
      <c r="Y92" s="20" t="s">
        <v>126</v>
      </c>
      <c r="Z92" s="7">
        <v>0.1361111111111111</v>
      </c>
      <c r="AA92" s="20" t="str">
        <f>grafico_sol1[[#This Row],[Value]]&amp;"|"&amp;grafico_sol1[[#This Row],[Numero Voltas]]</f>
        <v>0.136111111111111|3</v>
      </c>
    </row>
    <row r="93" spans="12:27" x14ac:dyDescent="0.25">
      <c r="L93" s="60">
        <f t="shared" si="2"/>
        <v>0.49652777777777773</v>
      </c>
      <c r="M93" s="42">
        <f t="shared" si="3"/>
        <v>0</v>
      </c>
      <c r="Q93" s="7">
        <v>0.49652777777777773</v>
      </c>
      <c r="R93">
        <v>0</v>
      </c>
      <c r="U93">
        <v>3</v>
      </c>
      <c r="V93">
        <v>2</v>
      </c>
      <c r="W93" s="20" t="s">
        <v>203</v>
      </c>
      <c r="X93">
        <v>0</v>
      </c>
      <c r="Y93" s="20" t="s">
        <v>127</v>
      </c>
      <c r="Z93" s="7">
        <v>0.1361111111111111</v>
      </c>
      <c r="AA93" s="20" t="str">
        <f>grafico_sol1[[#This Row],[Value]]&amp;"|"&amp;grafico_sol1[[#This Row],[Numero Voltas]]</f>
        <v>0.136111111111111|3</v>
      </c>
    </row>
    <row r="94" spans="12:27" x14ac:dyDescent="0.25">
      <c r="L94" s="60">
        <f t="shared" si="2"/>
        <v>0.51666666666666672</v>
      </c>
      <c r="M94" s="42">
        <f t="shared" si="3"/>
        <v>0</v>
      </c>
      <c r="Q94" s="7">
        <v>0.51666666666666672</v>
      </c>
      <c r="R94">
        <v>0</v>
      </c>
      <c r="U94">
        <v>3</v>
      </c>
      <c r="V94">
        <v>2</v>
      </c>
      <c r="W94" s="20" t="s">
        <v>203</v>
      </c>
      <c r="X94">
        <v>0</v>
      </c>
      <c r="Y94" s="20" t="s">
        <v>126</v>
      </c>
      <c r="Z94" s="7">
        <v>0.1361111111111111</v>
      </c>
      <c r="AA94" s="20" t="str">
        <f>grafico_sol1[[#This Row],[Value]]&amp;"|"&amp;grafico_sol1[[#This Row],[Numero Voltas]]</f>
        <v>0.136111111111111|3</v>
      </c>
    </row>
    <row r="95" spans="12:27" x14ac:dyDescent="0.25">
      <c r="L95" s="60">
        <f t="shared" si="2"/>
        <v>0.53749999999999998</v>
      </c>
      <c r="M95" s="42">
        <f t="shared" si="3"/>
        <v>0</v>
      </c>
      <c r="Q95" s="7">
        <v>0.53749999999999998</v>
      </c>
      <c r="R95">
        <v>0</v>
      </c>
      <c r="U95">
        <v>3</v>
      </c>
      <c r="V95">
        <v>2</v>
      </c>
      <c r="W95" s="20" t="s">
        <v>203</v>
      </c>
      <c r="X95">
        <v>0</v>
      </c>
      <c r="Y95" s="20" t="s">
        <v>127</v>
      </c>
      <c r="Z95" s="7">
        <v>0.1361111111111111</v>
      </c>
      <c r="AA95" s="20" t="str">
        <f>grafico_sol1[[#This Row],[Value]]&amp;"|"&amp;grafico_sol1[[#This Row],[Numero Voltas]]</f>
        <v>0.136111111111111|3</v>
      </c>
    </row>
    <row r="96" spans="12:27" x14ac:dyDescent="0.25">
      <c r="L96" s="60">
        <f t="shared" si="2"/>
        <v>0.54305555555555551</v>
      </c>
      <c r="M96" s="42">
        <f t="shared" si="3"/>
        <v>0</v>
      </c>
      <c r="Q96" s="7">
        <v>0.54305555555555551</v>
      </c>
      <c r="R96">
        <v>0</v>
      </c>
      <c r="U96">
        <v>3</v>
      </c>
      <c r="V96">
        <v>2</v>
      </c>
      <c r="W96" s="20" t="s">
        <v>200</v>
      </c>
      <c r="X96">
        <v>1</v>
      </c>
      <c r="Y96" s="20" t="s">
        <v>126</v>
      </c>
      <c r="Z96" s="7">
        <v>0.13750000000000001</v>
      </c>
      <c r="AA96" s="20" t="str">
        <f>grafico_sol1[[#This Row],[Value]]&amp;"|"&amp;grafico_sol1[[#This Row],[Numero Voltas]]</f>
        <v>0.1375|3</v>
      </c>
    </row>
    <row r="97" spans="12:27" x14ac:dyDescent="0.25">
      <c r="L97" s="60">
        <f t="shared" si="2"/>
        <v>0.5444444444444444</v>
      </c>
      <c r="M97" s="42">
        <f t="shared" si="3"/>
        <v>1</v>
      </c>
      <c r="Q97" s="7">
        <v>0.5444444444444444</v>
      </c>
      <c r="R97">
        <v>1</v>
      </c>
      <c r="U97">
        <v>3</v>
      </c>
      <c r="V97">
        <v>2</v>
      </c>
      <c r="W97" s="20" t="s">
        <v>200</v>
      </c>
      <c r="X97">
        <v>1</v>
      </c>
      <c r="Y97" s="20" t="s">
        <v>127</v>
      </c>
      <c r="Z97" s="7">
        <v>0.13750000000000001</v>
      </c>
      <c r="AA97" s="20" t="str">
        <f>grafico_sol1[[#This Row],[Value]]&amp;"|"&amp;grafico_sol1[[#This Row],[Numero Voltas]]</f>
        <v>0.1375|3</v>
      </c>
    </row>
    <row r="98" spans="12:27" x14ac:dyDescent="0.25">
      <c r="L98" s="60">
        <f t="shared" si="2"/>
        <v>0.54513888888888895</v>
      </c>
      <c r="M98" s="42">
        <f t="shared" si="3"/>
        <v>2</v>
      </c>
      <c r="Q98" s="7">
        <v>0.54513888888888895</v>
      </c>
      <c r="R98">
        <v>2</v>
      </c>
      <c r="U98">
        <v>3</v>
      </c>
      <c r="V98">
        <v>2</v>
      </c>
      <c r="W98" s="20" t="s">
        <v>200</v>
      </c>
      <c r="X98">
        <v>1</v>
      </c>
      <c r="Y98" s="20" t="s">
        <v>126</v>
      </c>
      <c r="Z98" s="7">
        <v>0.13750000000000001</v>
      </c>
      <c r="AA98" s="20" t="str">
        <f>grafico_sol1[[#This Row],[Value]]&amp;"|"&amp;grafico_sol1[[#This Row],[Numero Voltas]]</f>
        <v>0.1375|3</v>
      </c>
    </row>
    <row r="99" spans="12:27" x14ac:dyDescent="0.25">
      <c r="L99" s="60">
        <f t="shared" si="2"/>
        <v>0.54722222222222217</v>
      </c>
      <c r="M99" s="42">
        <f t="shared" si="3"/>
        <v>3</v>
      </c>
      <c r="Q99" s="7">
        <v>0.54722222222222217</v>
      </c>
      <c r="R99">
        <v>3</v>
      </c>
      <c r="U99">
        <v>3</v>
      </c>
      <c r="V99">
        <v>2</v>
      </c>
      <c r="W99" s="20" t="s">
        <v>200</v>
      </c>
      <c r="X99">
        <v>1</v>
      </c>
      <c r="Y99" s="20" t="s">
        <v>127</v>
      </c>
      <c r="Z99" s="7">
        <v>0.14027777777777778</v>
      </c>
      <c r="AA99" s="20" t="str">
        <f>grafico_sol1[[#This Row],[Value]]&amp;"|"&amp;grafico_sol1[[#This Row],[Numero Voltas]]</f>
        <v>0.140277777777778|3</v>
      </c>
    </row>
    <row r="100" spans="12:27" x14ac:dyDescent="0.25">
      <c r="L100" s="60">
        <f t="shared" si="2"/>
        <v>0.55625000000000002</v>
      </c>
      <c r="M100" s="42">
        <f t="shared" si="3"/>
        <v>3</v>
      </c>
      <c r="Q100" s="7">
        <v>0.55625000000000002</v>
      </c>
      <c r="R100">
        <v>3</v>
      </c>
      <c r="U100">
        <v>3</v>
      </c>
      <c r="V100">
        <v>2</v>
      </c>
      <c r="W100" s="20" t="s">
        <v>228</v>
      </c>
      <c r="X100">
        <v>2</v>
      </c>
      <c r="Y100" s="20" t="s">
        <v>126</v>
      </c>
      <c r="Z100" s="7">
        <v>0.14097222222222222</v>
      </c>
      <c r="AA100" s="20" t="str">
        <f>grafico_sol1[[#This Row],[Value]]&amp;"|"&amp;grafico_sol1[[#This Row],[Numero Voltas]]</f>
        <v>0.140972222222222|3</v>
      </c>
    </row>
    <row r="101" spans="12:27" x14ac:dyDescent="0.25">
      <c r="L101" s="60">
        <f t="shared" si="2"/>
        <v>0.55972222222222223</v>
      </c>
      <c r="M101" s="42">
        <f t="shared" si="3"/>
        <v>4</v>
      </c>
      <c r="Q101" s="7">
        <v>0.55972222222222223</v>
      </c>
      <c r="R101">
        <v>4</v>
      </c>
      <c r="U101">
        <v>3</v>
      </c>
      <c r="V101">
        <v>2</v>
      </c>
      <c r="W101" s="20" t="s">
        <v>228</v>
      </c>
      <c r="X101">
        <v>2</v>
      </c>
      <c r="Y101" s="20" t="s">
        <v>127</v>
      </c>
      <c r="Z101" s="7">
        <v>0.14097222222222222</v>
      </c>
      <c r="AA101" s="20" t="str">
        <f>grafico_sol1[[#This Row],[Value]]&amp;"|"&amp;grafico_sol1[[#This Row],[Numero Voltas]]</f>
        <v>0.140972222222222|3</v>
      </c>
    </row>
    <row r="102" spans="12:27" x14ac:dyDescent="0.25">
      <c r="L102" s="60">
        <f t="shared" si="2"/>
        <v>0.56180555555555556</v>
      </c>
      <c r="M102" s="42">
        <f t="shared" si="3"/>
        <v>5</v>
      </c>
      <c r="Q102" s="7">
        <v>0.56180555555555556</v>
      </c>
      <c r="R102">
        <v>5</v>
      </c>
      <c r="U102">
        <v>3</v>
      </c>
      <c r="V102">
        <v>2</v>
      </c>
      <c r="W102" s="20" t="s">
        <v>228</v>
      </c>
      <c r="X102">
        <v>2</v>
      </c>
      <c r="Y102" s="20" t="s">
        <v>126</v>
      </c>
      <c r="Z102" s="7">
        <v>0.14097222222222222</v>
      </c>
      <c r="AA102" s="20" t="str">
        <f>grafico_sol1[[#This Row],[Value]]&amp;"|"&amp;grafico_sol1[[#This Row],[Numero Voltas]]</f>
        <v>0.140972222222222|3</v>
      </c>
    </row>
    <row r="103" spans="12:27" x14ac:dyDescent="0.25">
      <c r="L103" s="60">
        <f t="shared" si="2"/>
        <v>0.56458333333333333</v>
      </c>
      <c r="M103" s="42">
        <f t="shared" si="3"/>
        <v>6</v>
      </c>
      <c r="Q103" s="7">
        <v>0.56458333333333333</v>
      </c>
      <c r="R103">
        <v>6</v>
      </c>
      <c r="U103">
        <v>2</v>
      </c>
      <c r="V103">
        <v>2</v>
      </c>
      <c r="W103" s="20" t="s">
        <v>208</v>
      </c>
      <c r="X103">
        <v>3</v>
      </c>
      <c r="Y103" s="20" t="s">
        <v>127</v>
      </c>
      <c r="Z103" s="7">
        <v>0.14374999999999999</v>
      </c>
      <c r="AA103" s="20" t="str">
        <f>grafico_sol1[[#This Row],[Value]]&amp;"|"&amp;grafico_sol1[[#This Row],[Numero Voltas]]</f>
        <v>0.14375|2</v>
      </c>
    </row>
    <row r="104" spans="12:27" x14ac:dyDescent="0.25">
      <c r="L104" s="60">
        <f t="shared" si="2"/>
        <v>0.56666666666666665</v>
      </c>
      <c r="M104" s="42">
        <f t="shared" si="3"/>
        <v>7</v>
      </c>
      <c r="Q104" s="7">
        <v>0.56666666666666665</v>
      </c>
      <c r="R104">
        <v>7</v>
      </c>
      <c r="U104">
        <v>2</v>
      </c>
      <c r="V104">
        <v>2</v>
      </c>
      <c r="W104" s="20" t="s">
        <v>228</v>
      </c>
      <c r="X104">
        <v>2</v>
      </c>
      <c r="Y104" s="20" t="s">
        <v>126</v>
      </c>
      <c r="Z104" s="7">
        <v>0.14583333333333334</v>
      </c>
      <c r="AA104" s="20" t="str">
        <f>grafico_sol1[[#This Row],[Value]]&amp;"|"&amp;grafico_sol1[[#This Row],[Numero Voltas]]</f>
        <v>0.145833333333333|2</v>
      </c>
    </row>
    <row r="105" spans="12:27" x14ac:dyDescent="0.25">
      <c r="L105" s="60">
        <f t="shared" si="2"/>
        <v>0.57361111111111118</v>
      </c>
      <c r="M105" s="42">
        <f t="shared" si="3"/>
        <v>7</v>
      </c>
      <c r="Q105" s="7">
        <v>0.57361111111111118</v>
      </c>
      <c r="R105">
        <v>7</v>
      </c>
      <c r="U105">
        <v>2</v>
      </c>
      <c r="V105">
        <v>2</v>
      </c>
      <c r="W105" s="20" t="s">
        <v>228</v>
      </c>
      <c r="X105">
        <v>2</v>
      </c>
      <c r="Y105" s="20" t="s">
        <v>127</v>
      </c>
      <c r="Z105" s="7">
        <v>0.14583333333333334</v>
      </c>
      <c r="AA105" s="20" t="str">
        <f>grafico_sol1[[#This Row],[Value]]&amp;"|"&amp;grafico_sol1[[#This Row],[Numero Voltas]]</f>
        <v>0.145833333333333|2</v>
      </c>
    </row>
    <row r="106" spans="12:27" x14ac:dyDescent="0.25">
      <c r="L106" s="60">
        <f t="shared" si="2"/>
        <v>0.57777777777777783</v>
      </c>
      <c r="M106" s="42">
        <f t="shared" si="3"/>
        <v>8</v>
      </c>
      <c r="Q106" s="7">
        <v>0.57777777777777783</v>
      </c>
      <c r="R106">
        <v>8</v>
      </c>
      <c r="U106">
        <v>2</v>
      </c>
      <c r="V106">
        <v>2</v>
      </c>
      <c r="W106" s="20" t="s">
        <v>228</v>
      </c>
      <c r="X106">
        <v>2</v>
      </c>
      <c r="Y106" s="20" t="s">
        <v>126</v>
      </c>
      <c r="Z106" s="7">
        <v>0.14583333333333334</v>
      </c>
      <c r="AA106" s="20" t="str">
        <f>grafico_sol1[[#This Row],[Value]]&amp;"|"&amp;grafico_sol1[[#This Row],[Numero Voltas]]</f>
        <v>0.145833333333333|2</v>
      </c>
    </row>
    <row r="107" spans="12:27" x14ac:dyDescent="0.25">
      <c r="L107" s="60">
        <f t="shared" si="2"/>
        <v>0.58472222222222225</v>
      </c>
      <c r="M107" s="42">
        <f t="shared" si="3"/>
        <v>8</v>
      </c>
      <c r="Q107" s="7">
        <v>0.58472222222222225</v>
      </c>
      <c r="R107">
        <v>8</v>
      </c>
      <c r="U107">
        <v>3</v>
      </c>
      <c r="V107">
        <v>2</v>
      </c>
      <c r="W107" s="20" t="s">
        <v>228</v>
      </c>
      <c r="X107">
        <v>2</v>
      </c>
      <c r="Y107" s="20" t="s">
        <v>127</v>
      </c>
      <c r="Z107" s="7">
        <v>0.15347222222222223</v>
      </c>
      <c r="AA107" s="20" t="str">
        <f>grafico_sol1[[#This Row],[Value]]&amp;"|"&amp;grafico_sol1[[#This Row],[Numero Voltas]]</f>
        <v>0.153472222222222|3</v>
      </c>
    </row>
    <row r="108" spans="12:27" x14ac:dyDescent="0.25">
      <c r="L108" s="60">
        <f t="shared" si="2"/>
        <v>0.58888888888888891</v>
      </c>
      <c r="M108" s="42">
        <f t="shared" si="3"/>
        <v>9</v>
      </c>
      <c r="Q108" s="7">
        <v>0.58888888888888891</v>
      </c>
      <c r="R108">
        <v>9</v>
      </c>
      <c r="U108">
        <v>3</v>
      </c>
      <c r="V108">
        <v>2</v>
      </c>
      <c r="W108" s="20" t="s">
        <v>208</v>
      </c>
      <c r="X108">
        <v>3</v>
      </c>
      <c r="Y108" s="20" t="s">
        <v>126</v>
      </c>
      <c r="Z108" s="7">
        <v>0.15555555555555556</v>
      </c>
      <c r="AA108" s="20" t="str">
        <f>grafico_sol1[[#This Row],[Value]]&amp;"|"&amp;grafico_sol1[[#This Row],[Numero Voltas]]</f>
        <v>0.155555555555556|3</v>
      </c>
    </row>
    <row r="109" spans="12:27" x14ac:dyDescent="0.25">
      <c r="L109" s="60">
        <f t="shared" si="2"/>
        <v>0.59305555555555556</v>
      </c>
      <c r="M109" s="42">
        <f t="shared" si="3"/>
        <v>8</v>
      </c>
      <c r="Q109" s="7">
        <v>0.59305555555555556</v>
      </c>
      <c r="R109">
        <v>8</v>
      </c>
      <c r="U109">
        <v>3</v>
      </c>
      <c r="V109">
        <v>2</v>
      </c>
      <c r="W109" s="20" t="s">
        <v>208</v>
      </c>
      <c r="X109">
        <v>3</v>
      </c>
      <c r="Y109" s="20" t="s">
        <v>127</v>
      </c>
      <c r="Z109" s="7">
        <v>0.15555555555555556</v>
      </c>
      <c r="AA109" s="20" t="str">
        <f>grafico_sol1[[#This Row],[Value]]&amp;"|"&amp;grafico_sol1[[#This Row],[Numero Voltas]]</f>
        <v>0.155555555555556|3</v>
      </c>
    </row>
    <row r="110" spans="12:27" x14ac:dyDescent="0.25">
      <c r="L110" s="60">
        <f t="shared" si="2"/>
        <v>0.59722222222222221</v>
      </c>
      <c r="M110" s="42">
        <f t="shared" si="3"/>
        <v>7</v>
      </c>
      <c r="Q110" s="7">
        <v>0.59722222222222221</v>
      </c>
      <c r="R110">
        <v>7</v>
      </c>
      <c r="U110">
        <v>3</v>
      </c>
      <c r="V110">
        <v>2</v>
      </c>
      <c r="W110" s="20" t="s">
        <v>208</v>
      </c>
      <c r="X110">
        <v>3</v>
      </c>
      <c r="Y110" s="20" t="s">
        <v>126</v>
      </c>
      <c r="Z110" s="7">
        <v>0.15555555555555556</v>
      </c>
      <c r="AA110" s="20" t="str">
        <f>grafico_sol1[[#This Row],[Value]]&amp;"|"&amp;grafico_sol1[[#This Row],[Numero Voltas]]</f>
        <v>0.155555555555556|3</v>
      </c>
    </row>
    <row r="111" spans="12:27" x14ac:dyDescent="0.25">
      <c r="L111" s="60">
        <f t="shared" si="2"/>
        <v>0.59930555555555554</v>
      </c>
      <c r="M111" s="42">
        <f t="shared" si="3"/>
        <v>6</v>
      </c>
      <c r="Q111" s="7">
        <v>0.59930555555555554</v>
      </c>
      <c r="R111">
        <v>6</v>
      </c>
      <c r="U111">
        <v>2</v>
      </c>
      <c r="V111">
        <v>2</v>
      </c>
      <c r="W111" s="20" t="s">
        <v>228</v>
      </c>
      <c r="X111">
        <v>2</v>
      </c>
      <c r="Y111" s="20" t="s">
        <v>127</v>
      </c>
      <c r="Z111" s="7">
        <v>0.15833333333333333</v>
      </c>
      <c r="AA111" s="20" t="str">
        <f>grafico_sol1[[#This Row],[Value]]&amp;"|"&amp;grafico_sol1[[#This Row],[Numero Voltas]]</f>
        <v>0.158333333333333|2</v>
      </c>
    </row>
    <row r="112" spans="12:27" x14ac:dyDescent="0.25">
      <c r="L112" s="60">
        <f t="shared" si="2"/>
        <v>0.6020833333333333</v>
      </c>
      <c r="M112" s="42">
        <f t="shared" si="3"/>
        <v>5</v>
      </c>
      <c r="Q112" s="7">
        <v>0.6020833333333333</v>
      </c>
      <c r="R112">
        <v>5</v>
      </c>
      <c r="U112">
        <v>2</v>
      </c>
      <c r="V112">
        <v>2</v>
      </c>
      <c r="W112" s="20" t="s">
        <v>200</v>
      </c>
      <c r="X112">
        <v>1</v>
      </c>
      <c r="Y112" s="20" t="s">
        <v>126</v>
      </c>
      <c r="Z112" s="7">
        <v>0.15902777777777777</v>
      </c>
      <c r="AA112" s="20" t="str">
        <f>grafico_sol1[[#This Row],[Value]]&amp;"|"&amp;grafico_sol1[[#This Row],[Numero Voltas]]</f>
        <v>0.159027777777778|2</v>
      </c>
    </row>
    <row r="113" spans="12:27" x14ac:dyDescent="0.25">
      <c r="L113" s="60">
        <f t="shared" si="2"/>
        <v>0.60416666666666663</v>
      </c>
      <c r="M113" s="42">
        <f t="shared" si="3"/>
        <v>4</v>
      </c>
      <c r="Q113" s="7">
        <v>0.60416666666666663</v>
      </c>
      <c r="R113">
        <v>4</v>
      </c>
      <c r="U113">
        <v>2</v>
      </c>
      <c r="V113">
        <v>2</v>
      </c>
      <c r="W113" s="20" t="s">
        <v>200</v>
      </c>
      <c r="X113">
        <v>1</v>
      </c>
      <c r="Y113" s="20" t="s">
        <v>127</v>
      </c>
      <c r="Z113" s="7">
        <v>0.15902777777777777</v>
      </c>
      <c r="AA113" s="20" t="str">
        <f>grafico_sol1[[#This Row],[Value]]&amp;"|"&amp;grafico_sol1[[#This Row],[Numero Voltas]]</f>
        <v>0.159027777777778|2</v>
      </c>
    </row>
    <row r="114" spans="12:27" x14ac:dyDescent="0.25">
      <c r="L114" s="60">
        <f t="shared" si="2"/>
        <v>0.625</v>
      </c>
      <c r="M114" s="42">
        <f t="shared" si="3"/>
        <v>4</v>
      </c>
      <c r="Q114" s="7">
        <v>0.625</v>
      </c>
      <c r="R114">
        <v>4</v>
      </c>
      <c r="U114">
        <v>2</v>
      </c>
      <c r="V114">
        <v>2</v>
      </c>
      <c r="W114" s="20" t="s">
        <v>200</v>
      </c>
      <c r="X114">
        <v>1</v>
      </c>
      <c r="Y114" s="20" t="s">
        <v>126</v>
      </c>
      <c r="Z114" s="7">
        <v>0.15902777777777777</v>
      </c>
      <c r="AA114" s="20" t="str">
        <f>grafico_sol1[[#This Row],[Value]]&amp;"|"&amp;grafico_sol1[[#This Row],[Numero Voltas]]</f>
        <v>0.159027777777778|2</v>
      </c>
    </row>
    <row r="115" spans="12:27" x14ac:dyDescent="0.25">
      <c r="L115" s="60">
        <f t="shared" si="2"/>
        <v>0.63541666666666663</v>
      </c>
      <c r="M115" s="42">
        <f t="shared" si="3"/>
        <v>4</v>
      </c>
      <c r="Q115" s="7">
        <v>0.63541666666666663</v>
      </c>
      <c r="R115">
        <v>4</v>
      </c>
      <c r="U115">
        <v>2</v>
      </c>
      <c r="V115">
        <v>2</v>
      </c>
      <c r="W115" s="20" t="s">
        <v>200</v>
      </c>
      <c r="X115">
        <v>1</v>
      </c>
      <c r="Y115" s="20" t="s">
        <v>127</v>
      </c>
      <c r="Z115" s="7">
        <v>0.16180555555555556</v>
      </c>
      <c r="AA115" s="20" t="str">
        <f>grafico_sol1[[#This Row],[Value]]&amp;"|"&amp;grafico_sol1[[#This Row],[Numero Voltas]]</f>
        <v>0.161805555555556|2</v>
      </c>
    </row>
    <row r="116" spans="12:27" x14ac:dyDescent="0.25">
      <c r="L116" s="60">
        <f t="shared" si="2"/>
        <v>0.63888888888888895</v>
      </c>
      <c r="M116" s="42">
        <f t="shared" si="3"/>
        <v>3</v>
      </c>
      <c r="Q116" s="7">
        <v>0.63888888888888895</v>
      </c>
      <c r="R116">
        <v>3</v>
      </c>
      <c r="U116">
        <v>2</v>
      </c>
      <c r="V116">
        <v>2</v>
      </c>
      <c r="W116" s="20" t="s">
        <v>203</v>
      </c>
      <c r="X116">
        <v>0</v>
      </c>
      <c r="Y116" s="20" t="s">
        <v>126</v>
      </c>
      <c r="Z116" s="7">
        <v>0.16319444444444445</v>
      </c>
      <c r="AA116" s="20" t="str">
        <f>grafico_sol1[[#This Row],[Value]]&amp;"|"&amp;grafico_sol1[[#This Row],[Numero Voltas]]</f>
        <v>0.163194444444444|2</v>
      </c>
    </row>
    <row r="117" spans="12:27" x14ac:dyDescent="0.25">
      <c r="L117" s="60">
        <f t="shared" si="2"/>
        <v>0.6479166666666667</v>
      </c>
      <c r="M117" s="42">
        <f t="shared" si="3"/>
        <v>3</v>
      </c>
      <c r="Q117" s="7">
        <v>0.6479166666666667</v>
      </c>
      <c r="R117">
        <v>3</v>
      </c>
      <c r="U117">
        <v>2</v>
      </c>
      <c r="V117">
        <v>2</v>
      </c>
      <c r="W117" s="20" t="s">
        <v>203</v>
      </c>
      <c r="X117">
        <v>0</v>
      </c>
      <c r="Y117" s="20" t="s">
        <v>127</v>
      </c>
      <c r="Z117" s="7">
        <v>0.16319444444444445</v>
      </c>
      <c r="AA117" s="20" t="str">
        <f>grafico_sol1[[#This Row],[Value]]&amp;"|"&amp;grafico_sol1[[#This Row],[Numero Voltas]]</f>
        <v>0.163194444444444|2</v>
      </c>
    </row>
    <row r="118" spans="12:27" x14ac:dyDescent="0.25">
      <c r="L118" s="60">
        <f t="shared" si="2"/>
        <v>0.65</v>
      </c>
      <c r="M118" s="42">
        <f t="shared" si="3"/>
        <v>2</v>
      </c>
      <c r="Q118" s="7">
        <v>0.65</v>
      </c>
      <c r="R118">
        <v>2</v>
      </c>
      <c r="U118">
        <v>2</v>
      </c>
      <c r="V118">
        <v>2</v>
      </c>
      <c r="W118" s="20" t="s">
        <v>203</v>
      </c>
      <c r="X118">
        <v>0</v>
      </c>
      <c r="Y118" s="20" t="s">
        <v>126</v>
      </c>
      <c r="Z118" s="7">
        <v>0.16319444444444445</v>
      </c>
      <c r="AA118" s="20" t="str">
        <f>grafico_sol1[[#This Row],[Value]]&amp;"|"&amp;grafico_sol1[[#This Row],[Numero Voltas]]</f>
        <v>0.163194444444444|2</v>
      </c>
    </row>
    <row r="119" spans="12:27" x14ac:dyDescent="0.25">
      <c r="L119" s="60">
        <f t="shared" si="2"/>
        <v>0.65069444444444446</v>
      </c>
      <c r="M119" s="42">
        <f t="shared" si="3"/>
        <v>1</v>
      </c>
      <c r="Q119" s="7">
        <v>0.65069444444444446</v>
      </c>
      <c r="R119">
        <v>1</v>
      </c>
      <c r="U119">
        <v>3</v>
      </c>
      <c r="V119">
        <v>2</v>
      </c>
      <c r="W119" s="20" t="s">
        <v>208</v>
      </c>
      <c r="X119">
        <v>3</v>
      </c>
      <c r="Y119" s="20" t="s">
        <v>127</v>
      </c>
      <c r="Z119" s="7">
        <v>0.16458333333333333</v>
      </c>
      <c r="AA119" s="20" t="str">
        <f>grafico_sol1[[#This Row],[Value]]&amp;"|"&amp;grafico_sol1[[#This Row],[Numero Voltas]]</f>
        <v>0.164583333333333|3</v>
      </c>
    </row>
    <row r="120" spans="12:27" x14ac:dyDescent="0.25">
      <c r="L120" s="60">
        <f t="shared" si="2"/>
        <v>0.65208333333333335</v>
      </c>
      <c r="M120" s="42">
        <f t="shared" si="3"/>
        <v>0</v>
      </c>
      <c r="Q120" s="7">
        <v>0.65208333333333335</v>
      </c>
      <c r="R120">
        <v>0</v>
      </c>
      <c r="U120">
        <v>3</v>
      </c>
      <c r="V120">
        <v>2</v>
      </c>
      <c r="W120" s="20" t="s">
        <v>2</v>
      </c>
      <c r="X120">
        <v>4</v>
      </c>
      <c r="Y120" s="20" t="s">
        <v>126</v>
      </c>
      <c r="Z120" s="7">
        <v>0.16805555555555557</v>
      </c>
      <c r="AA120" s="20" t="str">
        <f>grafico_sol1[[#This Row],[Value]]&amp;"|"&amp;grafico_sol1[[#This Row],[Numero Voltas]]</f>
        <v>0.168055555555556|3</v>
      </c>
    </row>
    <row r="121" spans="12:27" x14ac:dyDescent="0.25">
      <c r="L121" s="60">
        <f t="shared" si="2"/>
        <v>0.67291666666666661</v>
      </c>
      <c r="M121" s="42">
        <f t="shared" si="3"/>
        <v>0</v>
      </c>
      <c r="Q121" s="7">
        <v>0.67291666666666661</v>
      </c>
      <c r="R121">
        <v>0</v>
      </c>
      <c r="U121">
        <v>3</v>
      </c>
      <c r="V121">
        <v>2</v>
      </c>
      <c r="W121" s="20" t="s">
        <v>2</v>
      </c>
      <c r="X121">
        <v>4</v>
      </c>
      <c r="Y121" s="20" t="s">
        <v>127</v>
      </c>
      <c r="Z121" s="7">
        <v>0.16805555555555557</v>
      </c>
      <c r="AA121" s="20" t="str">
        <f>grafico_sol1[[#This Row],[Value]]&amp;"|"&amp;grafico_sol1[[#This Row],[Numero Voltas]]</f>
        <v>0.168055555555556|3</v>
      </c>
    </row>
    <row r="122" spans="12:27" x14ac:dyDescent="0.25">
      <c r="L122" s="60">
        <f t="shared" si="2"/>
        <v>0.6743055555555556</v>
      </c>
      <c r="M122" s="42">
        <f t="shared" si="3"/>
        <v>1</v>
      </c>
      <c r="Q122" s="7">
        <v>0.6743055555555556</v>
      </c>
      <c r="R122">
        <v>1</v>
      </c>
      <c r="U122">
        <v>3</v>
      </c>
      <c r="V122">
        <v>2</v>
      </c>
      <c r="W122" s="20" t="s">
        <v>2</v>
      </c>
      <c r="X122">
        <v>4</v>
      </c>
      <c r="Y122" s="20" t="s">
        <v>126</v>
      </c>
      <c r="Z122" s="7">
        <v>0.16805555555555557</v>
      </c>
      <c r="AA122" s="20" t="str">
        <f>grafico_sol1[[#This Row],[Value]]&amp;"|"&amp;grafico_sol1[[#This Row],[Numero Voltas]]</f>
        <v>0.168055555555556|3</v>
      </c>
    </row>
    <row r="123" spans="12:27" x14ac:dyDescent="0.25">
      <c r="L123" s="60">
        <f t="shared" si="2"/>
        <v>0.67708333333333337</v>
      </c>
      <c r="M123" s="42">
        <f t="shared" si="3"/>
        <v>1</v>
      </c>
      <c r="Q123" s="7">
        <v>0.67708333333333337</v>
      </c>
      <c r="R123">
        <v>1</v>
      </c>
      <c r="U123">
        <v>3</v>
      </c>
      <c r="V123">
        <v>2</v>
      </c>
      <c r="W123" s="20" t="s">
        <v>2</v>
      </c>
      <c r="X123">
        <v>4</v>
      </c>
      <c r="Y123" s="20" t="s">
        <v>127</v>
      </c>
      <c r="Z123" s="7">
        <v>0.17708333333333334</v>
      </c>
      <c r="AA123" s="20" t="str">
        <f>grafico_sol1[[#This Row],[Value]]&amp;"|"&amp;grafico_sol1[[#This Row],[Numero Voltas]]</f>
        <v>0.177083333333333|3</v>
      </c>
    </row>
    <row r="124" spans="12:27" x14ac:dyDescent="0.25">
      <c r="L124" s="60">
        <f t="shared" si="2"/>
        <v>0.6777777777777777</v>
      </c>
      <c r="M124" s="42">
        <f t="shared" si="3"/>
        <v>2</v>
      </c>
      <c r="Q124" s="7">
        <v>0.6777777777777777</v>
      </c>
      <c r="R124">
        <v>2</v>
      </c>
      <c r="U124">
        <v>3</v>
      </c>
      <c r="V124">
        <v>2</v>
      </c>
      <c r="W124" s="20" t="s">
        <v>215</v>
      </c>
      <c r="X124">
        <v>5</v>
      </c>
      <c r="Y124" s="20" t="s">
        <v>126</v>
      </c>
      <c r="Z124" s="7">
        <v>0.17916666666666667</v>
      </c>
      <c r="AA124" s="20" t="str">
        <f>grafico_sol1[[#This Row],[Value]]&amp;"|"&amp;grafico_sol1[[#This Row],[Numero Voltas]]</f>
        <v>0.179166666666667|3</v>
      </c>
    </row>
    <row r="125" spans="12:27" x14ac:dyDescent="0.25">
      <c r="L125" s="60">
        <f t="shared" si="2"/>
        <v>0.69027777777777777</v>
      </c>
      <c r="M125" s="42">
        <f t="shared" si="3"/>
        <v>2</v>
      </c>
      <c r="Q125" s="7">
        <v>0.69027777777777777</v>
      </c>
      <c r="R125">
        <v>2</v>
      </c>
      <c r="U125">
        <v>3</v>
      </c>
      <c r="V125">
        <v>2</v>
      </c>
      <c r="W125" s="20" t="s">
        <v>215</v>
      </c>
      <c r="X125">
        <v>5</v>
      </c>
      <c r="Y125" s="20" t="s">
        <v>127</v>
      </c>
      <c r="Z125" s="7">
        <v>0.17916666666666667</v>
      </c>
      <c r="AA125" s="20" t="str">
        <f>grafico_sol1[[#This Row],[Value]]&amp;"|"&amp;grafico_sol1[[#This Row],[Numero Voltas]]</f>
        <v>0.179166666666667|3</v>
      </c>
    </row>
    <row r="126" spans="12:27" x14ac:dyDescent="0.25">
      <c r="L126" s="60">
        <f t="shared" si="2"/>
        <v>0.69236111111111109</v>
      </c>
      <c r="M126" s="42">
        <f t="shared" si="3"/>
        <v>3</v>
      </c>
      <c r="Q126" s="7">
        <v>0.69236111111111109</v>
      </c>
      <c r="R126">
        <v>3</v>
      </c>
      <c r="U126">
        <v>3</v>
      </c>
      <c r="V126">
        <v>2</v>
      </c>
      <c r="W126" s="20" t="s">
        <v>300</v>
      </c>
      <c r="X126">
        <v>6</v>
      </c>
      <c r="Y126" s="20" t="s">
        <v>126</v>
      </c>
      <c r="Z126" s="7">
        <v>0.18194444444444444</v>
      </c>
      <c r="AA126" s="20" t="str">
        <f>grafico_sol1[[#This Row],[Value]]&amp;"|"&amp;grafico_sol1[[#This Row],[Numero Voltas]]</f>
        <v>0.181944444444444|3</v>
      </c>
    </row>
    <row r="127" spans="12:27" x14ac:dyDescent="0.25">
      <c r="L127" s="60">
        <f t="shared" si="2"/>
        <v>0.70138888888888884</v>
      </c>
      <c r="M127" s="42">
        <f t="shared" si="3"/>
        <v>3</v>
      </c>
      <c r="Q127" s="7">
        <v>0.70138888888888884</v>
      </c>
      <c r="R127">
        <v>3</v>
      </c>
      <c r="U127">
        <v>3</v>
      </c>
      <c r="V127">
        <v>2</v>
      </c>
      <c r="W127" s="20" t="s">
        <v>300</v>
      </c>
      <c r="X127">
        <v>6</v>
      </c>
      <c r="Y127" s="20" t="s">
        <v>127</v>
      </c>
      <c r="Z127" s="7">
        <v>0.18194444444444444</v>
      </c>
      <c r="AA127" s="20" t="str">
        <f>grafico_sol1[[#This Row],[Value]]&amp;"|"&amp;grafico_sol1[[#This Row],[Numero Voltas]]</f>
        <v>0.181944444444444|3</v>
      </c>
    </row>
    <row r="128" spans="12:27" x14ac:dyDescent="0.25">
      <c r="L128" s="60">
        <f t="shared" si="2"/>
        <v>0.70486111111111116</v>
      </c>
      <c r="M128" s="42">
        <f t="shared" si="3"/>
        <v>4</v>
      </c>
      <c r="Q128" s="7">
        <v>0.70486111111111116</v>
      </c>
      <c r="R128">
        <v>4</v>
      </c>
      <c r="U128">
        <v>2</v>
      </c>
      <c r="V128">
        <v>2</v>
      </c>
      <c r="W128" s="20" t="s">
        <v>203</v>
      </c>
      <c r="X128">
        <v>0</v>
      </c>
      <c r="Y128" s="20" t="s">
        <v>127</v>
      </c>
      <c r="Z128" s="7">
        <v>0.18333333333333332</v>
      </c>
      <c r="AA128" s="20" t="str">
        <f>grafico_sol1[[#This Row],[Value]]&amp;"|"&amp;grafico_sol1[[#This Row],[Numero Voltas]]</f>
        <v>0.183333333333333|2</v>
      </c>
    </row>
    <row r="129" spans="12:27" x14ac:dyDescent="0.25">
      <c r="L129" s="60">
        <f t="shared" si="2"/>
        <v>0.71388888888888891</v>
      </c>
      <c r="M129" s="42">
        <f t="shared" si="3"/>
        <v>4</v>
      </c>
      <c r="Q129" s="7">
        <v>0.71388888888888891</v>
      </c>
      <c r="R129">
        <v>4</v>
      </c>
      <c r="U129">
        <v>2</v>
      </c>
      <c r="V129">
        <v>2</v>
      </c>
      <c r="W129" s="20" t="s">
        <v>203</v>
      </c>
      <c r="X129">
        <v>0</v>
      </c>
      <c r="Y129" s="20" t="s">
        <v>126</v>
      </c>
      <c r="Z129" s="7">
        <v>0.18333333333333332</v>
      </c>
      <c r="AA129" s="20" t="str">
        <f>grafico_sol1[[#This Row],[Value]]&amp;"|"&amp;grafico_sol1[[#This Row],[Numero Voltas]]</f>
        <v>0.183333333333333|2</v>
      </c>
    </row>
    <row r="130" spans="12:27" x14ac:dyDescent="0.25">
      <c r="L130" s="60">
        <f t="shared" si="2"/>
        <v>0.71597222222222223</v>
      </c>
      <c r="M130" s="42">
        <f t="shared" si="3"/>
        <v>5</v>
      </c>
      <c r="Q130" s="7">
        <v>0.71597222222222223</v>
      </c>
      <c r="R130">
        <v>5</v>
      </c>
      <c r="U130">
        <v>3</v>
      </c>
      <c r="V130">
        <v>2</v>
      </c>
      <c r="W130" s="20" t="s">
        <v>301</v>
      </c>
      <c r="X130">
        <v>7</v>
      </c>
      <c r="Y130" s="20" t="s">
        <v>126</v>
      </c>
      <c r="Z130" s="7">
        <v>0.18402777777777779</v>
      </c>
      <c r="AA130" s="20" t="str">
        <f>grafico_sol1[[#This Row],[Value]]&amp;"|"&amp;grafico_sol1[[#This Row],[Numero Voltas]]</f>
        <v>0.184027777777778|3</v>
      </c>
    </row>
    <row r="131" spans="12:27" x14ac:dyDescent="0.25">
      <c r="L131" s="60">
        <f t="shared" si="2"/>
        <v>0.71875</v>
      </c>
      <c r="M131" s="42">
        <f t="shared" si="3"/>
        <v>6</v>
      </c>
      <c r="Q131" s="7">
        <v>0.71875</v>
      </c>
      <c r="R131">
        <v>6</v>
      </c>
      <c r="U131">
        <v>3</v>
      </c>
      <c r="V131">
        <v>2</v>
      </c>
      <c r="W131" s="20" t="s">
        <v>301</v>
      </c>
      <c r="X131">
        <v>7</v>
      </c>
      <c r="Y131" s="20" t="s">
        <v>127</v>
      </c>
      <c r="Z131" s="7">
        <v>0.18402777777777779</v>
      </c>
      <c r="AA131" s="20" t="str">
        <f>grafico_sol1[[#This Row],[Value]]&amp;"|"&amp;grafico_sol1[[#This Row],[Numero Voltas]]</f>
        <v>0.184027777777778|3</v>
      </c>
    </row>
    <row r="132" spans="12:27" x14ac:dyDescent="0.25">
      <c r="L132" s="60">
        <f t="shared" si="2"/>
        <v>0.72083333333333333</v>
      </c>
      <c r="M132" s="42">
        <f t="shared" si="3"/>
        <v>7</v>
      </c>
      <c r="Q132" s="7">
        <v>0.72083333333333333</v>
      </c>
      <c r="R132">
        <v>7</v>
      </c>
      <c r="U132">
        <v>3</v>
      </c>
      <c r="V132">
        <v>2</v>
      </c>
      <c r="W132" s="20" t="s">
        <v>301</v>
      </c>
      <c r="X132">
        <v>7</v>
      </c>
      <c r="Y132" s="20" t="s">
        <v>126</v>
      </c>
      <c r="Z132" s="7">
        <v>0.18402777777777779</v>
      </c>
      <c r="AA132" s="20" t="str">
        <f>grafico_sol1[[#This Row],[Value]]&amp;"|"&amp;grafico_sol1[[#This Row],[Numero Voltas]]</f>
        <v>0.184027777777778|3</v>
      </c>
    </row>
    <row r="133" spans="12:27" x14ac:dyDescent="0.25">
      <c r="L133" s="60">
        <f t="shared" si="2"/>
        <v>0.72777777777777775</v>
      </c>
      <c r="M133" s="42">
        <f t="shared" si="3"/>
        <v>7</v>
      </c>
      <c r="Q133" s="7">
        <v>0.72777777777777775</v>
      </c>
      <c r="R133">
        <v>7</v>
      </c>
      <c r="U133">
        <v>3</v>
      </c>
      <c r="V133">
        <v>2</v>
      </c>
      <c r="W133" s="20" t="s">
        <v>301</v>
      </c>
      <c r="X133">
        <v>7</v>
      </c>
      <c r="Y133" s="20" t="s">
        <v>127</v>
      </c>
      <c r="Z133" s="7">
        <v>0.19097222222222221</v>
      </c>
      <c r="AA133" s="20" t="str">
        <f>grafico_sol1[[#This Row],[Value]]&amp;"|"&amp;grafico_sol1[[#This Row],[Numero Voltas]]</f>
        <v>0.190972222222222|3</v>
      </c>
    </row>
    <row r="134" spans="12:27" x14ac:dyDescent="0.25">
      <c r="L134" s="60">
        <f t="shared" si="2"/>
        <v>0.7319444444444444</v>
      </c>
      <c r="M134" s="42">
        <f t="shared" si="3"/>
        <v>8</v>
      </c>
      <c r="Q134" s="7">
        <v>0.7319444444444444</v>
      </c>
      <c r="R134">
        <v>8</v>
      </c>
      <c r="U134">
        <v>3</v>
      </c>
      <c r="V134">
        <v>2</v>
      </c>
      <c r="W134" s="20" t="s">
        <v>302</v>
      </c>
      <c r="X134">
        <v>8</v>
      </c>
      <c r="Y134" s="20" t="s">
        <v>126</v>
      </c>
      <c r="Z134" s="7">
        <v>0.19513888888888889</v>
      </c>
      <c r="AA134" s="20" t="str">
        <f>grafico_sol1[[#This Row],[Value]]&amp;"|"&amp;grafico_sol1[[#This Row],[Numero Voltas]]</f>
        <v>0.195138888888889|3</v>
      </c>
    </row>
    <row r="135" spans="12:27" x14ac:dyDescent="0.25">
      <c r="L135" s="60">
        <f t="shared" si="2"/>
        <v>0.77361111111111114</v>
      </c>
      <c r="M135" s="42">
        <f t="shared" si="3"/>
        <v>8</v>
      </c>
      <c r="Q135" s="7">
        <v>0.77361111111111114</v>
      </c>
      <c r="R135">
        <v>8</v>
      </c>
      <c r="U135">
        <v>3</v>
      </c>
      <c r="V135">
        <v>2</v>
      </c>
      <c r="W135" s="20" t="s">
        <v>302</v>
      </c>
      <c r="X135">
        <v>8</v>
      </c>
      <c r="Y135" s="20" t="s">
        <v>127</v>
      </c>
      <c r="Z135" s="7">
        <v>0.19513888888888889</v>
      </c>
      <c r="AA135" s="20" t="str">
        <f>grafico_sol1[[#This Row],[Value]]&amp;"|"&amp;grafico_sol1[[#This Row],[Numero Voltas]]</f>
        <v>0.195138888888889|3</v>
      </c>
    </row>
    <row r="136" spans="12:27" x14ac:dyDescent="0.25">
      <c r="L136" s="60">
        <f t="shared" si="2"/>
        <v>0.78055555555555556</v>
      </c>
      <c r="M136" s="42">
        <f t="shared" si="3"/>
        <v>8</v>
      </c>
      <c r="Q136" s="7">
        <v>0.78055555555555556</v>
      </c>
      <c r="R136">
        <v>8</v>
      </c>
      <c r="U136">
        <v>3</v>
      </c>
      <c r="V136">
        <v>2</v>
      </c>
      <c r="W136" s="20" t="s">
        <v>302</v>
      </c>
      <c r="X136">
        <v>8</v>
      </c>
      <c r="Y136" s="20" t="s">
        <v>126</v>
      </c>
      <c r="Z136" s="7">
        <v>0.19513888888888889</v>
      </c>
      <c r="AA136" s="20" t="str">
        <f>grafico_sol1[[#This Row],[Value]]&amp;"|"&amp;grafico_sol1[[#This Row],[Numero Voltas]]</f>
        <v>0.195138888888889|3</v>
      </c>
    </row>
    <row r="137" spans="12:27" x14ac:dyDescent="0.25">
      <c r="L137" s="60">
        <f t="shared" si="2"/>
        <v>0.78472222222222221</v>
      </c>
      <c r="M137" s="42">
        <f t="shared" si="3"/>
        <v>9</v>
      </c>
      <c r="Q137" s="7">
        <v>0.78472222222222221</v>
      </c>
      <c r="R137">
        <v>9</v>
      </c>
      <c r="U137">
        <v>3</v>
      </c>
      <c r="V137">
        <v>2</v>
      </c>
      <c r="W137" s="20" t="s">
        <v>302</v>
      </c>
      <c r="X137">
        <v>8</v>
      </c>
      <c r="Y137" s="20" t="s">
        <v>127</v>
      </c>
      <c r="Z137" s="7">
        <v>0.20208333333333334</v>
      </c>
      <c r="AA137" s="20" t="str">
        <f>grafico_sol1[[#This Row],[Value]]&amp;"|"&amp;grafico_sol1[[#This Row],[Numero Voltas]]</f>
        <v>0.202083333333333|3</v>
      </c>
    </row>
    <row r="138" spans="12:27" x14ac:dyDescent="0.25">
      <c r="L138" s="60">
        <f t="shared" si="2"/>
        <v>0.79166666666666663</v>
      </c>
      <c r="M138" s="42">
        <f t="shared" si="3"/>
        <v>9</v>
      </c>
      <c r="Q138" s="7">
        <v>0.79166666666666663</v>
      </c>
      <c r="R138">
        <v>9</v>
      </c>
      <c r="U138">
        <v>2</v>
      </c>
      <c r="V138">
        <v>2</v>
      </c>
      <c r="W138" s="20" t="s">
        <v>203</v>
      </c>
      <c r="X138">
        <v>0</v>
      </c>
      <c r="Y138" s="20" t="s">
        <v>127</v>
      </c>
      <c r="Z138" s="7">
        <v>0.20416666666666666</v>
      </c>
      <c r="AA138" s="20" t="str">
        <f>grafico_sol1[[#This Row],[Value]]&amp;"|"&amp;grafico_sol1[[#This Row],[Numero Voltas]]</f>
        <v>0.204166666666667|2</v>
      </c>
    </row>
    <row r="139" spans="12:27" x14ac:dyDescent="0.25">
      <c r="L139" s="60">
        <f t="shared" ref="L139:L202" si="4">IF(Q139&lt;&gt;"",Q139,#N/A)</f>
        <v>0.79583333333333339</v>
      </c>
      <c r="M139" s="42">
        <f t="shared" ref="M139:M202" si="5">IF(R139&lt;&gt;"",R139,#N/A)</f>
        <v>8</v>
      </c>
      <c r="Q139" s="7">
        <v>0.79583333333333339</v>
      </c>
      <c r="R139">
        <v>8</v>
      </c>
      <c r="U139">
        <v>2</v>
      </c>
      <c r="V139">
        <v>2</v>
      </c>
      <c r="W139" s="20" t="s">
        <v>203</v>
      </c>
      <c r="X139">
        <v>0</v>
      </c>
      <c r="Y139" s="20" t="s">
        <v>126</v>
      </c>
      <c r="Z139" s="7">
        <v>0.20416666666666666</v>
      </c>
      <c r="AA139" s="20" t="str">
        <f>grafico_sol1[[#This Row],[Value]]&amp;"|"&amp;grafico_sol1[[#This Row],[Numero Voltas]]</f>
        <v>0.204166666666667|2</v>
      </c>
    </row>
    <row r="140" spans="12:27" x14ac:dyDescent="0.25">
      <c r="L140" s="60">
        <f t="shared" si="4"/>
        <v>0.79999999999999993</v>
      </c>
      <c r="M140" s="42">
        <f t="shared" si="5"/>
        <v>7</v>
      </c>
      <c r="Q140" s="7">
        <v>0.79999999999999993</v>
      </c>
      <c r="R140">
        <v>7</v>
      </c>
      <c r="U140">
        <v>2</v>
      </c>
      <c r="V140">
        <v>2</v>
      </c>
      <c r="W140" s="20" t="s">
        <v>203</v>
      </c>
      <c r="X140">
        <v>0</v>
      </c>
      <c r="Y140" s="20" t="s">
        <v>127</v>
      </c>
      <c r="Z140" s="7">
        <v>0.20416666666666666</v>
      </c>
      <c r="AA140" s="20" t="str">
        <f>grafico_sol1[[#This Row],[Value]]&amp;"|"&amp;grafico_sol1[[#This Row],[Numero Voltas]]</f>
        <v>0.204166666666667|2</v>
      </c>
    </row>
    <row r="141" spans="12:27" x14ac:dyDescent="0.25">
      <c r="L141" s="60">
        <f t="shared" si="4"/>
        <v>0.80208333333333337</v>
      </c>
      <c r="M141" s="42">
        <f t="shared" si="5"/>
        <v>6</v>
      </c>
      <c r="Q141" s="7">
        <v>0.80208333333333337</v>
      </c>
      <c r="R141">
        <v>6</v>
      </c>
      <c r="U141">
        <v>2</v>
      </c>
      <c r="V141">
        <v>2</v>
      </c>
      <c r="W141" s="20" t="s">
        <v>203</v>
      </c>
      <c r="X141">
        <v>0</v>
      </c>
      <c r="Y141" s="20" t="s">
        <v>126</v>
      </c>
      <c r="Z141" s="7">
        <v>0.20416666666666666</v>
      </c>
      <c r="AA141" s="20" t="str">
        <f>grafico_sol1[[#This Row],[Value]]&amp;"|"&amp;grafico_sol1[[#This Row],[Numero Voltas]]</f>
        <v>0.204166666666667|2</v>
      </c>
    </row>
    <row r="142" spans="12:27" x14ac:dyDescent="0.25">
      <c r="L142" s="60">
        <f t="shared" si="4"/>
        <v>0.80486111111111114</v>
      </c>
      <c r="M142" s="42">
        <f t="shared" si="5"/>
        <v>5</v>
      </c>
      <c r="Q142" s="7">
        <v>0.80486111111111114</v>
      </c>
      <c r="R142">
        <v>5</v>
      </c>
      <c r="U142">
        <v>3</v>
      </c>
      <c r="V142">
        <v>2</v>
      </c>
      <c r="W142" s="20" t="s">
        <v>303</v>
      </c>
      <c r="X142">
        <v>9</v>
      </c>
      <c r="Y142" s="20" t="s">
        <v>126</v>
      </c>
      <c r="Z142" s="7">
        <v>0.20624999999999999</v>
      </c>
      <c r="AA142" s="20" t="str">
        <f>grafico_sol1[[#This Row],[Value]]&amp;"|"&amp;grafico_sol1[[#This Row],[Numero Voltas]]</f>
        <v>0.20625|3</v>
      </c>
    </row>
    <row r="143" spans="12:27" x14ac:dyDescent="0.25">
      <c r="L143" s="60">
        <f t="shared" si="4"/>
        <v>0.80694444444444446</v>
      </c>
      <c r="M143" s="42">
        <f t="shared" si="5"/>
        <v>4</v>
      </c>
      <c r="Q143" s="7">
        <v>0.80694444444444446</v>
      </c>
      <c r="R143">
        <v>4</v>
      </c>
      <c r="U143">
        <v>3</v>
      </c>
      <c r="V143">
        <v>2</v>
      </c>
      <c r="W143" s="20" t="s">
        <v>303</v>
      </c>
      <c r="X143">
        <v>9</v>
      </c>
      <c r="Y143" s="20" t="s">
        <v>127</v>
      </c>
      <c r="Z143" s="7">
        <v>0.20624999999999999</v>
      </c>
      <c r="AA143" s="20" t="str">
        <f>grafico_sol1[[#This Row],[Value]]&amp;"|"&amp;grafico_sol1[[#This Row],[Numero Voltas]]</f>
        <v>0.20625|3</v>
      </c>
    </row>
    <row r="144" spans="12:27" x14ac:dyDescent="0.25">
      <c r="L144" s="60">
        <f t="shared" si="4"/>
        <v>0.81597222222222221</v>
      </c>
      <c r="M144" s="42">
        <f t="shared" si="5"/>
        <v>4</v>
      </c>
      <c r="Q144" s="7">
        <v>0.81597222222222221</v>
      </c>
      <c r="R144">
        <v>4</v>
      </c>
      <c r="U144">
        <v>3</v>
      </c>
      <c r="V144">
        <v>2</v>
      </c>
      <c r="W144" s="20" t="s">
        <v>303</v>
      </c>
      <c r="X144">
        <v>9</v>
      </c>
      <c r="Y144" s="20" t="s">
        <v>126</v>
      </c>
      <c r="Z144" s="7">
        <v>0.20624999999999999</v>
      </c>
      <c r="AA144" s="20" t="str">
        <f>grafico_sol1[[#This Row],[Value]]&amp;"|"&amp;grafico_sol1[[#This Row],[Numero Voltas]]</f>
        <v>0.20625|3</v>
      </c>
    </row>
    <row r="145" spans="12:27" x14ac:dyDescent="0.25">
      <c r="L145" s="60">
        <f t="shared" si="4"/>
        <v>0.81944444444444453</v>
      </c>
      <c r="M145" s="42">
        <f t="shared" si="5"/>
        <v>3</v>
      </c>
      <c r="Q145" s="7">
        <v>0.81944444444444453</v>
      </c>
      <c r="R145">
        <v>3</v>
      </c>
      <c r="U145">
        <v>3</v>
      </c>
      <c r="V145">
        <v>2</v>
      </c>
      <c r="W145" s="20" t="s">
        <v>303</v>
      </c>
      <c r="X145">
        <v>9</v>
      </c>
      <c r="Y145" s="20" t="s">
        <v>127</v>
      </c>
      <c r="Z145" s="7">
        <v>0.20624999999999999</v>
      </c>
      <c r="AA145" s="20" t="str">
        <f>grafico_sol1[[#This Row],[Value]]&amp;"|"&amp;grafico_sol1[[#This Row],[Numero Voltas]]</f>
        <v>0.20625|3</v>
      </c>
    </row>
    <row r="146" spans="12:27" x14ac:dyDescent="0.25">
      <c r="L146" s="60">
        <f t="shared" si="4"/>
        <v>0.82152777777777775</v>
      </c>
      <c r="M146" s="42">
        <f t="shared" si="5"/>
        <v>2</v>
      </c>
      <c r="Q146" s="7">
        <v>0.82152777777777775</v>
      </c>
      <c r="R146">
        <v>2</v>
      </c>
      <c r="U146">
        <v>2</v>
      </c>
      <c r="V146">
        <v>2</v>
      </c>
      <c r="W146" s="20" t="s">
        <v>203</v>
      </c>
      <c r="X146">
        <v>0</v>
      </c>
      <c r="Y146" s="20" t="s">
        <v>127</v>
      </c>
      <c r="Z146" s="7">
        <v>0.20972222222222223</v>
      </c>
      <c r="AA146" s="20" t="str">
        <f>grafico_sol1[[#This Row],[Value]]&amp;"|"&amp;grafico_sol1[[#This Row],[Numero Voltas]]</f>
        <v>0.209722222222222|2</v>
      </c>
    </row>
    <row r="147" spans="12:27" x14ac:dyDescent="0.25">
      <c r="L147" s="60">
        <f t="shared" si="4"/>
        <v>0.8340277777777777</v>
      </c>
      <c r="M147" s="42">
        <f t="shared" si="5"/>
        <v>2</v>
      </c>
      <c r="Q147" s="7">
        <v>0.8340277777777777</v>
      </c>
      <c r="R147">
        <v>2</v>
      </c>
      <c r="U147">
        <v>3</v>
      </c>
      <c r="V147">
        <v>2</v>
      </c>
      <c r="W147" s="20" t="s">
        <v>302</v>
      </c>
      <c r="X147">
        <v>8</v>
      </c>
      <c r="Y147" s="20" t="s">
        <v>126</v>
      </c>
      <c r="Z147" s="7">
        <v>0.21041666666666667</v>
      </c>
      <c r="AA147" s="20" t="str">
        <f>grafico_sol1[[#This Row],[Value]]&amp;"|"&amp;grafico_sol1[[#This Row],[Numero Voltas]]</f>
        <v>0.210416666666667|3</v>
      </c>
    </row>
    <row r="148" spans="12:27" x14ac:dyDescent="0.25">
      <c r="L148" s="60">
        <f t="shared" si="4"/>
        <v>0.83472222222222225</v>
      </c>
      <c r="M148" s="42">
        <f t="shared" si="5"/>
        <v>1</v>
      </c>
      <c r="Q148" s="7">
        <v>0.83472222222222225</v>
      </c>
      <c r="R148">
        <v>1</v>
      </c>
      <c r="U148">
        <v>3</v>
      </c>
      <c r="V148">
        <v>2</v>
      </c>
      <c r="W148" s="20" t="s">
        <v>302</v>
      </c>
      <c r="X148">
        <v>8</v>
      </c>
      <c r="Y148" s="20" t="s">
        <v>127</v>
      </c>
      <c r="Z148" s="7">
        <v>0.21041666666666667</v>
      </c>
      <c r="AA148" s="20" t="str">
        <f>grafico_sol1[[#This Row],[Value]]&amp;"|"&amp;grafico_sol1[[#This Row],[Numero Voltas]]</f>
        <v>0.210416666666667|3</v>
      </c>
    </row>
    <row r="149" spans="12:27" x14ac:dyDescent="0.25">
      <c r="L149" s="60">
        <f t="shared" si="4"/>
        <v>0.83750000000000002</v>
      </c>
      <c r="M149" s="42">
        <f t="shared" si="5"/>
        <v>1</v>
      </c>
      <c r="Q149" s="7">
        <v>0.83750000000000002</v>
      </c>
      <c r="R149">
        <v>1</v>
      </c>
      <c r="U149">
        <v>3</v>
      </c>
      <c r="V149">
        <v>2</v>
      </c>
      <c r="W149" s="20" t="s">
        <v>302</v>
      </c>
      <c r="X149">
        <v>8</v>
      </c>
      <c r="Y149" s="20" t="s">
        <v>126</v>
      </c>
      <c r="Z149" s="7">
        <v>0.21041666666666667</v>
      </c>
      <c r="AA149" s="20" t="str">
        <f>grafico_sol1[[#This Row],[Value]]&amp;"|"&amp;grafico_sol1[[#This Row],[Numero Voltas]]</f>
        <v>0.210416666666667|3</v>
      </c>
    </row>
    <row r="150" spans="12:27" x14ac:dyDescent="0.25">
      <c r="L150" s="60">
        <f t="shared" si="4"/>
        <v>0.83888888888888891</v>
      </c>
      <c r="M150" s="42">
        <f t="shared" si="5"/>
        <v>0</v>
      </c>
      <c r="Q150" s="7">
        <v>0.83888888888888891</v>
      </c>
      <c r="R150">
        <v>0</v>
      </c>
      <c r="U150">
        <v>2</v>
      </c>
      <c r="V150">
        <v>2</v>
      </c>
      <c r="W150" s="20" t="s">
        <v>200</v>
      </c>
      <c r="X150">
        <v>1</v>
      </c>
      <c r="Y150" s="20" t="s">
        <v>126</v>
      </c>
      <c r="Z150" s="7">
        <v>0.21111111111111111</v>
      </c>
      <c r="AA150" s="20" t="str">
        <f>grafico_sol1[[#This Row],[Value]]&amp;"|"&amp;grafico_sol1[[#This Row],[Numero Voltas]]</f>
        <v>0.211111111111111|2</v>
      </c>
    </row>
    <row r="151" spans="12:27" x14ac:dyDescent="0.25">
      <c r="L151" s="60">
        <f t="shared" si="4"/>
        <v>0.85972222222222217</v>
      </c>
      <c r="M151" s="42">
        <f t="shared" si="5"/>
        <v>0</v>
      </c>
      <c r="Q151" s="7">
        <v>0.85972222222222217</v>
      </c>
      <c r="R151">
        <v>0</v>
      </c>
      <c r="U151">
        <v>2</v>
      </c>
      <c r="V151">
        <v>2</v>
      </c>
      <c r="W151" s="20" t="s">
        <v>200</v>
      </c>
      <c r="X151">
        <v>1</v>
      </c>
      <c r="Y151" s="20" t="s">
        <v>127</v>
      </c>
      <c r="Z151" s="7">
        <v>0.21111111111111111</v>
      </c>
      <c r="AA151" s="20" t="str">
        <f>grafico_sol1[[#This Row],[Value]]&amp;"|"&amp;grafico_sol1[[#This Row],[Numero Voltas]]</f>
        <v>0.211111111111111|2</v>
      </c>
    </row>
    <row r="152" spans="12:27" x14ac:dyDescent="0.25">
      <c r="L152" s="60">
        <f t="shared" si="4"/>
        <v>0.8652777777777777</v>
      </c>
      <c r="M152" s="42">
        <f t="shared" si="5"/>
        <v>0</v>
      </c>
      <c r="Q152" s="7">
        <v>0.8652777777777777</v>
      </c>
      <c r="R152">
        <v>0</v>
      </c>
      <c r="U152">
        <v>2</v>
      </c>
      <c r="V152">
        <v>2</v>
      </c>
      <c r="W152" s="20" t="s">
        <v>228</v>
      </c>
      <c r="X152">
        <v>2</v>
      </c>
      <c r="Y152" s="20" t="s">
        <v>126</v>
      </c>
      <c r="Z152" s="7">
        <v>0.21180555555555555</v>
      </c>
      <c r="AA152" s="20" t="str">
        <f>grafico_sol1[[#This Row],[Value]]&amp;"|"&amp;grafico_sol1[[#This Row],[Numero Voltas]]</f>
        <v>0.211805555555556|2</v>
      </c>
    </row>
    <row r="153" spans="12:27" x14ac:dyDescent="0.25">
      <c r="L153" s="60">
        <f t="shared" si="4"/>
        <v>0.8666666666666667</v>
      </c>
      <c r="M153" s="42">
        <f t="shared" si="5"/>
        <v>1</v>
      </c>
      <c r="Q153" s="7">
        <v>0.8666666666666667</v>
      </c>
      <c r="R153">
        <v>1</v>
      </c>
      <c r="U153">
        <v>2</v>
      </c>
      <c r="V153">
        <v>2</v>
      </c>
      <c r="W153" s="20" t="s">
        <v>228</v>
      </c>
      <c r="X153">
        <v>2</v>
      </c>
      <c r="Y153" s="20" t="s">
        <v>127</v>
      </c>
      <c r="Z153" s="7">
        <v>0.21180555555555555</v>
      </c>
      <c r="AA153" s="20" t="str">
        <f>grafico_sol1[[#This Row],[Value]]&amp;"|"&amp;grafico_sol1[[#This Row],[Numero Voltas]]</f>
        <v>0.211805555555556|2</v>
      </c>
    </row>
    <row r="154" spans="12:27" x14ac:dyDescent="0.25">
      <c r="L154" s="60">
        <f t="shared" si="4"/>
        <v>0.8666666666666667</v>
      </c>
      <c r="M154" s="42">
        <f t="shared" si="5"/>
        <v>2</v>
      </c>
      <c r="Q154" s="7">
        <v>0.8666666666666667</v>
      </c>
      <c r="R154">
        <v>2</v>
      </c>
      <c r="U154">
        <v>2</v>
      </c>
      <c r="V154">
        <v>2</v>
      </c>
      <c r="W154" s="20" t="s">
        <v>208</v>
      </c>
      <c r="X154">
        <v>3</v>
      </c>
      <c r="Y154" s="20" t="s">
        <v>126</v>
      </c>
      <c r="Z154" s="7">
        <v>0.21388888888888888</v>
      </c>
      <c r="AA154" s="20" t="str">
        <f>grafico_sol1[[#This Row],[Value]]&amp;"|"&amp;grafico_sol1[[#This Row],[Numero Voltas]]</f>
        <v>0.213888888888889|2</v>
      </c>
    </row>
    <row r="155" spans="12:27" x14ac:dyDescent="0.25">
      <c r="L155" s="60">
        <f t="shared" si="4"/>
        <v>0.86944444444444446</v>
      </c>
      <c r="M155" s="42">
        <f t="shared" si="5"/>
        <v>3</v>
      </c>
      <c r="Q155" s="7">
        <v>0.86944444444444446</v>
      </c>
      <c r="R155">
        <v>3</v>
      </c>
      <c r="U155">
        <v>2</v>
      </c>
      <c r="V155">
        <v>2</v>
      </c>
      <c r="W155" s="20" t="s">
        <v>208</v>
      </c>
      <c r="X155">
        <v>3</v>
      </c>
      <c r="Y155" s="20" t="s">
        <v>127</v>
      </c>
      <c r="Z155" s="7">
        <v>0.21388888888888888</v>
      </c>
      <c r="AA155" s="20" t="str">
        <f>grafico_sol1[[#This Row],[Value]]&amp;"|"&amp;grafico_sol1[[#This Row],[Numero Voltas]]</f>
        <v>0.213888888888889|2</v>
      </c>
    </row>
    <row r="156" spans="12:27" x14ac:dyDescent="0.25">
      <c r="L156" s="60">
        <f t="shared" si="4"/>
        <v>0.87222222222222223</v>
      </c>
      <c r="M156" s="42">
        <f t="shared" si="5"/>
        <v>4</v>
      </c>
      <c r="Q156" s="7">
        <v>0.87222222222222223</v>
      </c>
      <c r="R156">
        <v>4</v>
      </c>
      <c r="U156">
        <v>2</v>
      </c>
      <c r="V156">
        <v>2</v>
      </c>
      <c r="W156" s="20" t="s">
        <v>208</v>
      </c>
      <c r="X156">
        <v>3</v>
      </c>
      <c r="Y156" s="20" t="s">
        <v>126</v>
      </c>
      <c r="Z156" s="7">
        <v>0.21388888888888888</v>
      </c>
      <c r="AA156" s="20" t="str">
        <f>grafico_sol1[[#This Row],[Value]]&amp;"|"&amp;grafico_sol1[[#This Row],[Numero Voltas]]</f>
        <v>0.213888888888889|2</v>
      </c>
    </row>
    <row r="157" spans="12:27" x14ac:dyDescent="0.25">
      <c r="L157" s="60">
        <f t="shared" si="4"/>
        <v>0.875</v>
      </c>
      <c r="M157" s="42">
        <f t="shared" si="5"/>
        <v>5</v>
      </c>
      <c r="Q157" s="7">
        <v>0.875</v>
      </c>
      <c r="R157">
        <v>5</v>
      </c>
      <c r="U157">
        <v>3</v>
      </c>
      <c r="V157">
        <v>2</v>
      </c>
      <c r="W157" s="20" t="s">
        <v>302</v>
      </c>
      <c r="X157">
        <v>8</v>
      </c>
      <c r="Y157" s="20" t="s">
        <v>127</v>
      </c>
      <c r="Z157" s="7">
        <v>0.21736111111111112</v>
      </c>
      <c r="AA157" s="20" t="str">
        <f>grafico_sol1[[#This Row],[Value]]&amp;"|"&amp;grafico_sol1[[#This Row],[Numero Voltas]]</f>
        <v>0.217361111111111|3</v>
      </c>
    </row>
    <row r="158" spans="12:27" x14ac:dyDescent="0.25">
      <c r="L158" s="60">
        <f t="shared" si="4"/>
        <v>0.87777777777777777</v>
      </c>
      <c r="M158" s="42">
        <f t="shared" si="5"/>
        <v>6</v>
      </c>
      <c r="Q158" s="7">
        <v>0.87777777777777777</v>
      </c>
      <c r="R158">
        <v>6</v>
      </c>
      <c r="U158">
        <v>3</v>
      </c>
      <c r="V158">
        <v>2</v>
      </c>
      <c r="W158" s="20" t="s">
        <v>301</v>
      </c>
      <c r="X158">
        <v>7</v>
      </c>
      <c r="Y158" s="20" t="s">
        <v>126</v>
      </c>
      <c r="Z158" s="7">
        <v>0.22152777777777777</v>
      </c>
      <c r="AA158" s="20" t="str">
        <f>grafico_sol1[[#This Row],[Value]]&amp;"|"&amp;grafico_sol1[[#This Row],[Numero Voltas]]</f>
        <v>0.221527777777778|3</v>
      </c>
    </row>
    <row r="159" spans="12:27" x14ac:dyDescent="0.25">
      <c r="L159" s="60">
        <f t="shared" si="4"/>
        <v>0.87916666666666676</v>
      </c>
      <c r="M159" s="42">
        <f t="shared" si="5"/>
        <v>7</v>
      </c>
      <c r="Q159" s="7">
        <v>0.87916666666666676</v>
      </c>
      <c r="R159">
        <v>7</v>
      </c>
      <c r="U159">
        <v>3</v>
      </c>
      <c r="V159">
        <v>2</v>
      </c>
      <c r="W159" s="20" t="s">
        <v>301</v>
      </c>
      <c r="X159">
        <v>7</v>
      </c>
      <c r="Y159" s="20" t="s">
        <v>127</v>
      </c>
      <c r="Z159" s="7">
        <v>0.22152777777777777</v>
      </c>
      <c r="AA159" s="20" t="str">
        <f>grafico_sol1[[#This Row],[Value]]&amp;"|"&amp;grafico_sol1[[#This Row],[Numero Voltas]]</f>
        <v>0.221527777777778|3</v>
      </c>
    </row>
    <row r="160" spans="12:27" x14ac:dyDescent="0.25">
      <c r="L160" s="60">
        <f t="shared" si="4"/>
        <v>0.8833333333333333</v>
      </c>
      <c r="M160" s="42">
        <f t="shared" si="5"/>
        <v>8</v>
      </c>
      <c r="Q160" s="7">
        <v>0.8833333333333333</v>
      </c>
      <c r="R160">
        <v>8</v>
      </c>
      <c r="U160">
        <v>2</v>
      </c>
      <c r="V160">
        <v>2</v>
      </c>
      <c r="W160" s="20" t="s">
        <v>208</v>
      </c>
      <c r="X160">
        <v>3</v>
      </c>
      <c r="Y160" s="20" t="s">
        <v>127</v>
      </c>
      <c r="Z160" s="7">
        <v>0.22291666666666668</v>
      </c>
      <c r="AA160" s="20" t="str">
        <f>grafico_sol1[[#This Row],[Value]]&amp;"|"&amp;grafico_sol1[[#This Row],[Numero Voltas]]</f>
        <v>0.222916666666667|2</v>
      </c>
    </row>
    <row r="161" spans="12:27" x14ac:dyDescent="0.25">
      <c r="L161" s="60">
        <f t="shared" si="4"/>
        <v>0.88750000000000007</v>
      </c>
      <c r="M161" s="42">
        <f t="shared" si="5"/>
        <v>9</v>
      </c>
      <c r="Q161" s="7">
        <v>0.88750000000000007</v>
      </c>
      <c r="R161">
        <v>9</v>
      </c>
      <c r="U161">
        <v>3</v>
      </c>
      <c r="V161">
        <v>2</v>
      </c>
      <c r="W161" s="20" t="s">
        <v>300</v>
      </c>
      <c r="X161">
        <v>6</v>
      </c>
      <c r="Y161" s="20" t="s">
        <v>126</v>
      </c>
      <c r="Z161" s="7">
        <v>0.22361111111111112</v>
      </c>
      <c r="AA161" s="20" t="str">
        <f>grafico_sol1[[#This Row],[Value]]&amp;"|"&amp;grafico_sol1[[#This Row],[Numero Voltas]]</f>
        <v>0.223611111111111|3</v>
      </c>
    </row>
    <row r="162" spans="12:27" x14ac:dyDescent="0.25">
      <c r="L162" s="60">
        <f t="shared" si="4"/>
        <v>0.89166666666666661</v>
      </c>
      <c r="M162" s="42">
        <f t="shared" si="5"/>
        <v>8</v>
      </c>
      <c r="Q162" s="7">
        <v>0.89166666666666661</v>
      </c>
      <c r="R162">
        <v>8</v>
      </c>
      <c r="U162">
        <v>3</v>
      </c>
      <c r="V162">
        <v>2</v>
      </c>
      <c r="W162" s="20" t="s">
        <v>300</v>
      </c>
      <c r="X162">
        <v>6</v>
      </c>
      <c r="Y162" s="20" t="s">
        <v>127</v>
      </c>
      <c r="Z162" s="7">
        <v>0.22361111111111112</v>
      </c>
      <c r="AA162" s="20" t="str">
        <f>grafico_sol1[[#This Row],[Value]]&amp;"|"&amp;grafico_sol1[[#This Row],[Numero Voltas]]</f>
        <v>0.223611111111111|3</v>
      </c>
    </row>
    <row r="163" spans="12:27" x14ac:dyDescent="0.25">
      <c r="L163" s="60">
        <f t="shared" si="4"/>
        <v>0.89861111111111114</v>
      </c>
      <c r="M163" s="42">
        <f t="shared" si="5"/>
        <v>8</v>
      </c>
      <c r="Q163" s="7">
        <v>0.89861111111111114</v>
      </c>
      <c r="R163">
        <v>8</v>
      </c>
      <c r="U163">
        <v>2</v>
      </c>
      <c r="V163">
        <v>2</v>
      </c>
      <c r="W163" s="20" t="s">
        <v>2</v>
      </c>
      <c r="X163">
        <v>4</v>
      </c>
      <c r="Y163" s="20" t="s">
        <v>126</v>
      </c>
      <c r="Z163" s="7">
        <v>0.22638888888888889</v>
      </c>
      <c r="AA163" s="20" t="str">
        <f>grafico_sol1[[#This Row],[Value]]&amp;"|"&amp;grafico_sol1[[#This Row],[Numero Voltas]]</f>
        <v>0.226388888888889|2</v>
      </c>
    </row>
    <row r="164" spans="12:27" x14ac:dyDescent="0.25">
      <c r="L164" s="60">
        <f t="shared" si="4"/>
        <v>0.90277777777777779</v>
      </c>
      <c r="M164" s="42">
        <f t="shared" si="5"/>
        <v>7</v>
      </c>
      <c r="Q164" s="7">
        <v>0.90277777777777779</v>
      </c>
      <c r="R164">
        <v>7</v>
      </c>
      <c r="U164">
        <v>2</v>
      </c>
      <c r="V164">
        <v>2</v>
      </c>
      <c r="W164" s="20" t="s">
        <v>2</v>
      </c>
      <c r="X164">
        <v>4</v>
      </c>
      <c r="Y164" s="20" t="s">
        <v>127</v>
      </c>
      <c r="Z164" s="7">
        <v>0.22638888888888889</v>
      </c>
      <c r="AA164" s="20" t="str">
        <f>grafico_sol1[[#This Row],[Value]]&amp;"|"&amp;grafico_sol1[[#This Row],[Numero Voltas]]</f>
        <v>0.226388888888889|2</v>
      </c>
    </row>
    <row r="165" spans="12:27" x14ac:dyDescent="0.25">
      <c r="L165" s="60">
        <f t="shared" si="4"/>
        <v>0.90972222222222221</v>
      </c>
      <c r="M165" s="42">
        <f t="shared" si="5"/>
        <v>7</v>
      </c>
      <c r="Q165" s="7">
        <v>0.90972222222222221</v>
      </c>
      <c r="R165">
        <v>7</v>
      </c>
      <c r="U165">
        <v>3</v>
      </c>
      <c r="V165">
        <v>2</v>
      </c>
      <c r="W165" s="20" t="s">
        <v>215</v>
      </c>
      <c r="X165">
        <v>5</v>
      </c>
      <c r="Y165" s="20" t="s">
        <v>126</v>
      </c>
      <c r="Z165" s="7">
        <v>0.22638888888888889</v>
      </c>
      <c r="AA165" s="20" t="str">
        <f>grafico_sol1[[#This Row],[Value]]&amp;"|"&amp;grafico_sol1[[#This Row],[Numero Voltas]]</f>
        <v>0.226388888888889|3</v>
      </c>
    </row>
    <row r="166" spans="12:27" x14ac:dyDescent="0.25">
      <c r="L166" s="60">
        <f t="shared" si="4"/>
        <v>0.91249999999999998</v>
      </c>
      <c r="M166" s="42">
        <f t="shared" si="5"/>
        <v>6</v>
      </c>
      <c r="Q166" s="7">
        <v>0.91249999999999998</v>
      </c>
      <c r="R166">
        <v>6</v>
      </c>
      <c r="U166">
        <v>3</v>
      </c>
      <c r="V166">
        <v>2</v>
      </c>
      <c r="W166" s="20" t="s">
        <v>215</v>
      </c>
      <c r="X166">
        <v>5</v>
      </c>
      <c r="Y166" s="20" t="s">
        <v>127</v>
      </c>
      <c r="Z166" s="7">
        <v>0.22638888888888889</v>
      </c>
      <c r="AA166" s="20" t="str">
        <f>grafico_sol1[[#This Row],[Value]]&amp;"|"&amp;grafico_sol1[[#This Row],[Numero Voltas]]</f>
        <v>0.226388888888889|3</v>
      </c>
    </row>
    <row r="167" spans="12:27" x14ac:dyDescent="0.25">
      <c r="L167" s="60">
        <f t="shared" si="4"/>
        <v>0.91527777777777775</v>
      </c>
      <c r="M167" s="42">
        <f t="shared" si="5"/>
        <v>5</v>
      </c>
      <c r="Q167" s="7">
        <v>0.91527777777777775</v>
      </c>
      <c r="R167">
        <v>5</v>
      </c>
      <c r="U167">
        <v>2</v>
      </c>
      <c r="V167">
        <v>2</v>
      </c>
      <c r="W167" s="20" t="s">
        <v>215</v>
      </c>
      <c r="X167">
        <v>5</v>
      </c>
      <c r="Y167" s="20" t="s">
        <v>126</v>
      </c>
      <c r="Z167" s="7">
        <v>0.22847222222222222</v>
      </c>
      <c r="AA167" s="20" t="str">
        <f>grafico_sol1[[#This Row],[Value]]&amp;"|"&amp;grafico_sol1[[#This Row],[Numero Voltas]]</f>
        <v>0.228472222222222|2</v>
      </c>
    </row>
    <row r="168" spans="12:27" x14ac:dyDescent="0.25">
      <c r="L168" s="60">
        <f t="shared" si="4"/>
        <v>0.91666666666666663</v>
      </c>
      <c r="M168" s="42">
        <f t="shared" si="5"/>
        <v>4</v>
      </c>
      <c r="Q168" s="7">
        <v>0.91666666666666663</v>
      </c>
      <c r="R168">
        <v>4</v>
      </c>
      <c r="U168">
        <v>2</v>
      </c>
      <c r="V168">
        <v>2</v>
      </c>
      <c r="W168" s="20" t="s">
        <v>215</v>
      </c>
      <c r="X168">
        <v>5</v>
      </c>
      <c r="Y168" s="20" t="s">
        <v>127</v>
      </c>
      <c r="Z168" s="7">
        <v>0.22847222222222222</v>
      </c>
      <c r="AA168" s="20" t="str">
        <f>grafico_sol1[[#This Row],[Value]]&amp;"|"&amp;grafico_sol1[[#This Row],[Numero Voltas]]</f>
        <v>0.228472222222222|2</v>
      </c>
    </row>
    <row r="169" spans="12:27" x14ac:dyDescent="0.25">
      <c r="L169" s="60">
        <f t="shared" si="4"/>
        <v>0.9375</v>
      </c>
      <c r="M169" s="42">
        <f t="shared" si="5"/>
        <v>4</v>
      </c>
      <c r="Q169" s="7">
        <v>0.9375</v>
      </c>
      <c r="R169">
        <v>4</v>
      </c>
      <c r="U169">
        <v>2</v>
      </c>
      <c r="V169">
        <v>2</v>
      </c>
      <c r="W169" s="20" t="s">
        <v>215</v>
      </c>
      <c r="X169">
        <v>5</v>
      </c>
      <c r="Y169" s="20" t="s">
        <v>126</v>
      </c>
      <c r="Z169" s="7">
        <v>0.22847222222222222</v>
      </c>
      <c r="AA169" s="20" t="str">
        <f>grafico_sol1[[#This Row],[Value]]&amp;"|"&amp;grafico_sol1[[#This Row],[Numero Voltas]]</f>
        <v>0.228472222222222|2</v>
      </c>
    </row>
    <row r="170" spans="12:27" x14ac:dyDescent="0.25">
      <c r="L170" s="60">
        <f t="shared" si="4"/>
        <v>0.95833333333333337</v>
      </c>
      <c r="M170" s="42">
        <f t="shared" si="5"/>
        <v>4</v>
      </c>
      <c r="Q170" s="7">
        <v>0.95833333333333337</v>
      </c>
      <c r="R170">
        <v>4</v>
      </c>
      <c r="U170">
        <v>2</v>
      </c>
      <c r="V170">
        <v>2</v>
      </c>
      <c r="W170" s="20" t="s">
        <v>215</v>
      </c>
      <c r="X170">
        <v>5</v>
      </c>
      <c r="Y170" s="20" t="s">
        <v>127</v>
      </c>
      <c r="Z170" s="7">
        <v>0.22847222222222222</v>
      </c>
      <c r="AA170" s="20" t="str">
        <f>grafico_sol1[[#This Row],[Value]]&amp;"|"&amp;grafico_sol1[[#This Row],[Numero Voltas]]</f>
        <v>0.228472222222222|2</v>
      </c>
    </row>
    <row r="171" spans="12:27" x14ac:dyDescent="0.25">
      <c r="L171" s="60">
        <f t="shared" si="4"/>
        <v>0.96875</v>
      </c>
      <c r="M171" s="42">
        <f t="shared" si="5"/>
        <v>4</v>
      </c>
      <c r="Q171" s="7">
        <v>0.96875</v>
      </c>
      <c r="R171">
        <v>4</v>
      </c>
      <c r="U171">
        <v>3</v>
      </c>
      <c r="V171">
        <v>2</v>
      </c>
      <c r="W171" s="20" t="s">
        <v>2</v>
      </c>
      <c r="X171">
        <v>4</v>
      </c>
      <c r="Y171" s="20" t="s">
        <v>126</v>
      </c>
      <c r="Z171" s="7">
        <v>0.22847222222222222</v>
      </c>
      <c r="AA171" s="20" t="str">
        <f>grafico_sol1[[#This Row],[Value]]&amp;"|"&amp;grafico_sol1[[#This Row],[Numero Voltas]]</f>
        <v>0.228472222222222|3</v>
      </c>
    </row>
    <row r="172" spans="12:27" x14ac:dyDescent="0.25">
      <c r="L172" s="60">
        <f t="shared" si="4"/>
        <v>0.97222222222222221</v>
      </c>
      <c r="M172" s="42">
        <f t="shared" si="5"/>
        <v>3</v>
      </c>
      <c r="Q172" s="7">
        <v>0.97222222222222221</v>
      </c>
      <c r="R172">
        <v>3</v>
      </c>
      <c r="U172">
        <v>3</v>
      </c>
      <c r="V172">
        <v>2</v>
      </c>
      <c r="W172" s="20" t="s">
        <v>2</v>
      </c>
      <c r="X172">
        <v>4</v>
      </c>
      <c r="Y172" s="20" t="s">
        <v>127</v>
      </c>
      <c r="Z172" s="7">
        <v>0.22847222222222222</v>
      </c>
      <c r="AA172" s="20" t="str">
        <f>grafico_sol1[[#This Row],[Value]]&amp;"|"&amp;grafico_sol1[[#This Row],[Numero Voltas]]</f>
        <v>0.228472222222222|3</v>
      </c>
    </row>
    <row r="173" spans="12:27" x14ac:dyDescent="0.25">
      <c r="L173" s="60">
        <f t="shared" si="4"/>
        <v>0.97430555555555554</v>
      </c>
      <c r="M173" s="42">
        <f t="shared" si="5"/>
        <v>2</v>
      </c>
      <c r="Q173" s="7">
        <v>0.97430555555555554</v>
      </c>
      <c r="R173">
        <v>2</v>
      </c>
      <c r="U173">
        <v>2</v>
      </c>
      <c r="V173">
        <v>2</v>
      </c>
      <c r="W173" s="20" t="s">
        <v>300</v>
      </c>
      <c r="X173">
        <v>6</v>
      </c>
      <c r="Y173" s="20" t="s">
        <v>126</v>
      </c>
      <c r="Z173" s="7">
        <v>0.23125000000000001</v>
      </c>
      <c r="AA173" s="20" t="str">
        <f>grafico_sol1[[#This Row],[Value]]&amp;"|"&amp;grafico_sol1[[#This Row],[Numero Voltas]]</f>
        <v>0.23125|2</v>
      </c>
    </row>
    <row r="174" spans="12:27" x14ac:dyDescent="0.25">
      <c r="L174" s="60">
        <f t="shared" si="4"/>
        <v>0.97499999999999998</v>
      </c>
      <c r="M174" s="42">
        <f t="shared" si="5"/>
        <v>1</v>
      </c>
      <c r="Q174" s="7">
        <v>0.97499999999999998</v>
      </c>
      <c r="R174">
        <v>1</v>
      </c>
      <c r="U174">
        <v>2</v>
      </c>
      <c r="V174">
        <v>2</v>
      </c>
      <c r="W174" s="20" t="s">
        <v>300</v>
      </c>
      <c r="X174">
        <v>6</v>
      </c>
      <c r="Y174" s="20" t="s">
        <v>127</v>
      </c>
      <c r="Z174" s="7">
        <v>0.23125000000000001</v>
      </c>
      <c r="AA174" s="20" t="str">
        <f>grafico_sol1[[#This Row],[Value]]&amp;"|"&amp;grafico_sol1[[#This Row],[Numero Voltas]]</f>
        <v>0.23125|2</v>
      </c>
    </row>
    <row r="175" spans="12:27" x14ac:dyDescent="0.25">
      <c r="L175" s="60">
        <f t="shared" si="4"/>
        <v>0.97638888888888886</v>
      </c>
      <c r="M175" s="42">
        <f t="shared" si="5"/>
        <v>0</v>
      </c>
      <c r="Q175" s="7">
        <v>0.97638888888888886</v>
      </c>
      <c r="R175">
        <v>0</v>
      </c>
      <c r="U175">
        <v>2</v>
      </c>
      <c r="V175">
        <v>2</v>
      </c>
      <c r="W175" s="20" t="s">
        <v>300</v>
      </c>
      <c r="X175">
        <v>6</v>
      </c>
      <c r="Y175" s="20" t="s">
        <v>126</v>
      </c>
      <c r="Z175" s="7">
        <v>0.23125000000000001</v>
      </c>
      <c r="AA175" s="20" t="str">
        <f>grafico_sol1[[#This Row],[Value]]&amp;"|"&amp;grafico_sol1[[#This Row],[Numero Voltas]]</f>
        <v>0.23125|2</v>
      </c>
    </row>
    <row r="176" spans="12:27" x14ac:dyDescent="0.25">
      <c r="L176" s="60">
        <f t="shared" si="4"/>
        <v>0.99722222222222223</v>
      </c>
      <c r="M176" s="42">
        <f t="shared" si="5"/>
        <v>0</v>
      </c>
      <c r="Q176" s="7">
        <v>0.99722222222222223</v>
      </c>
      <c r="R176">
        <v>0</v>
      </c>
      <c r="U176">
        <v>2</v>
      </c>
      <c r="V176">
        <v>2</v>
      </c>
      <c r="W176" s="20" t="s">
        <v>300</v>
      </c>
      <c r="X176">
        <v>6</v>
      </c>
      <c r="Y176" s="20" t="s">
        <v>127</v>
      </c>
      <c r="Z176" s="7">
        <v>0.23125000000000001</v>
      </c>
      <c r="AA176" s="20" t="str">
        <f>grafico_sol1[[#This Row],[Value]]&amp;"|"&amp;grafico_sol1[[#This Row],[Numero Voltas]]</f>
        <v>0.23125|2</v>
      </c>
    </row>
    <row r="177" spans="12:27" x14ac:dyDescent="0.25">
      <c r="L177" s="60">
        <f t="shared" si="4"/>
        <v>0.99861111111111101</v>
      </c>
      <c r="M177" s="42">
        <f t="shared" si="5"/>
        <v>1</v>
      </c>
      <c r="Q177" s="7">
        <v>0.99861111111111101</v>
      </c>
      <c r="R177">
        <v>1</v>
      </c>
      <c r="U177">
        <v>3</v>
      </c>
      <c r="V177">
        <v>2</v>
      </c>
      <c r="W177" s="20" t="s">
        <v>208</v>
      </c>
      <c r="X177">
        <v>3</v>
      </c>
      <c r="Y177" s="20" t="s">
        <v>126</v>
      </c>
      <c r="Z177" s="7">
        <v>0.23194444444444445</v>
      </c>
      <c r="AA177" s="20" t="str">
        <f>grafico_sol1[[#This Row],[Value]]&amp;"|"&amp;grafico_sol1[[#This Row],[Numero Voltas]]</f>
        <v>0.231944444444444|3</v>
      </c>
    </row>
    <row r="178" spans="12:27" x14ac:dyDescent="0.25">
      <c r="L178" s="60" t="e">
        <f t="shared" si="4"/>
        <v>#N/A</v>
      </c>
      <c r="M178" s="42" t="e">
        <f t="shared" si="5"/>
        <v>#N/A</v>
      </c>
      <c r="U178">
        <v>3</v>
      </c>
      <c r="V178">
        <v>2</v>
      </c>
      <c r="W178" s="20" t="s">
        <v>208</v>
      </c>
      <c r="X178">
        <v>3</v>
      </c>
      <c r="Y178" s="20" t="s">
        <v>127</v>
      </c>
      <c r="Z178" s="7">
        <v>0.23194444444444445</v>
      </c>
      <c r="AA178" s="20" t="str">
        <f>grafico_sol1[[#This Row],[Value]]&amp;"|"&amp;grafico_sol1[[#This Row],[Numero Voltas]]</f>
        <v>0.231944444444444|3</v>
      </c>
    </row>
    <row r="179" spans="12:27" x14ac:dyDescent="0.25">
      <c r="L179" s="60" t="e">
        <f t="shared" si="4"/>
        <v>#N/A</v>
      </c>
      <c r="M179" s="42" t="e">
        <f t="shared" si="5"/>
        <v>#N/A</v>
      </c>
      <c r="U179">
        <v>3</v>
      </c>
      <c r="V179">
        <v>2</v>
      </c>
      <c r="W179" s="20" t="s">
        <v>208</v>
      </c>
      <c r="X179">
        <v>3</v>
      </c>
      <c r="Y179" s="20" t="s">
        <v>126</v>
      </c>
      <c r="Z179" s="7">
        <v>0.23194444444444445</v>
      </c>
      <c r="AA179" s="20" t="str">
        <f>grafico_sol1[[#This Row],[Value]]&amp;"|"&amp;grafico_sol1[[#This Row],[Numero Voltas]]</f>
        <v>0.231944444444444|3</v>
      </c>
    </row>
    <row r="180" spans="12:27" x14ac:dyDescent="0.25">
      <c r="L180" s="60" t="e">
        <f t="shared" si="4"/>
        <v>#N/A</v>
      </c>
      <c r="M180" s="42" t="e">
        <f t="shared" si="5"/>
        <v>#N/A</v>
      </c>
      <c r="U180">
        <v>2</v>
      </c>
      <c r="V180">
        <v>2</v>
      </c>
      <c r="W180" s="20" t="s">
        <v>301</v>
      </c>
      <c r="X180">
        <v>7</v>
      </c>
      <c r="Y180" s="20" t="s">
        <v>126</v>
      </c>
      <c r="Z180" s="7">
        <v>0.23333333333333334</v>
      </c>
      <c r="AA180" s="20" t="str">
        <f>grafico_sol1[[#This Row],[Value]]&amp;"|"&amp;grafico_sol1[[#This Row],[Numero Voltas]]</f>
        <v>0.233333333333333|2</v>
      </c>
    </row>
    <row r="181" spans="12:27" x14ac:dyDescent="0.25">
      <c r="L181" s="60" t="e">
        <f t="shared" si="4"/>
        <v>#N/A</v>
      </c>
      <c r="M181" s="42" t="e">
        <f t="shared" si="5"/>
        <v>#N/A</v>
      </c>
      <c r="U181">
        <v>2</v>
      </c>
      <c r="V181">
        <v>2</v>
      </c>
      <c r="W181" s="20" t="s">
        <v>301</v>
      </c>
      <c r="X181">
        <v>7</v>
      </c>
      <c r="Y181" s="20" t="s">
        <v>127</v>
      </c>
      <c r="Z181" s="7">
        <v>0.23333333333333334</v>
      </c>
      <c r="AA181" s="20" t="str">
        <f>grafico_sol1[[#This Row],[Value]]&amp;"|"&amp;grafico_sol1[[#This Row],[Numero Voltas]]</f>
        <v>0.233333333333333|2</v>
      </c>
    </row>
    <row r="182" spans="12:27" x14ac:dyDescent="0.25">
      <c r="L182" s="60" t="e">
        <f t="shared" si="4"/>
        <v>#N/A</v>
      </c>
      <c r="M182" s="42" t="e">
        <f t="shared" si="5"/>
        <v>#N/A</v>
      </c>
      <c r="U182">
        <v>2</v>
      </c>
      <c r="V182">
        <v>2</v>
      </c>
      <c r="W182" s="20" t="s">
        <v>301</v>
      </c>
      <c r="X182">
        <v>7</v>
      </c>
      <c r="Y182" s="20" t="s">
        <v>126</v>
      </c>
      <c r="Z182" s="7">
        <v>0.23333333333333334</v>
      </c>
      <c r="AA182" s="20" t="str">
        <f>grafico_sol1[[#This Row],[Value]]&amp;"|"&amp;grafico_sol1[[#This Row],[Numero Voltas]]</f>
        <v>0.233333333333333|2</v>
      </c>
    </row>
    <row r="183" spans="12:27" x14ac:dyDescent="0.25">
      <c r="L183" s="60" t="e">
        <f t="shared" si="4"/>
        <v>#N/A</v>
      </c>
      <c r="M183" s="42" t="e">
        <f t="shared" si="5"/>
        <v>#N/A</v>
      </c>
      <c r="U183">
        <v>2</v>
      </c>
      <c r="V183">
        <v>2</v>
      </c>
      <c r="W183" s="20" t="s">
        <v>301</v>
      </c>
      <c r="X183">
        <v>7</v>
      </c>
      <c r="Y183" s="20" t="s">
        <v>127</v>
      </c>
      <c r="Z183" s="7">
        <v>0.24027777777777778</v>
      </c>
      <c r="AA183" s="20" t="str">
        <f>grafico_sol1[[#This Row],[Value]]&amp;"|"&amp;grafico_sol1[[#This Row],[Numero Voltas]]</f>
        <v>0.240277777777778|2</v>
      </c>
    </row>
    <row r="184" spans="12:27" x14ac:dyDescent="0.25">
      <c r="L184" s="60" t="e">
        <f t="shared" si="4"/>
        <v>#N/A</v>
      </c>
      <c r="M184" s="42" t="e">
        <f t="shared" si="5"/>
        <v>#N/A</v>
      </c>
      <c r="U184">
        <v>3</v>
      </c>
      <c r="V184">
        <v>2</v>
      </c>
      <c r="W184" s="20" t="s">
        <v>208</v>
      </c>
      <c r="X184">
        <v>3</v>
      </c>
      <c r="Y184" s="20" t="s">
        <v>127</v>
      </c>
      <c r="Z184" s="7">
        <v>0.24097222222222223</v>
      </c>
      <c r="AA184" s="20" t="str">
        <f>grafico_sol1[[#This Row],[Value]]&amp;"|"&amp;grafico_sol1[[#This Row],[Numero Voltas]]</f>
        <v>0.240972222222222|3</v>
      </c>
    </row>
    <row r="185" spans="12:27" x14ac:dyDescent="0.25">
      <c r="L185" s="60" t="e">
        <f t="shared" si="4"/>
        <v>#N/A</v>
      </c>
      <c r="M185" s="42" t="e">
        <f t="shared" si="5"/>
        <v>#N/A</v>
      </c>
      <c r="U185">
        <v>3</v>
      </c>
      <c r="V185">
        <v>2</v>
      </c>
      <c r="W185" s="20" t="s">
        <v>228</v>
      </c>
      <c r="X185">
        <v>2</v>
      </c>
      <c r="Y185" s="20" t="s">
        <v>126</v>
      </c>
      <c r="Z185" s="7">
        <v>0.24305555555555555</v>
      </c>
      <c r="AA185" s="20" t="str">
        <f>grafico_sol1[[#This Row],[Value]]&amp;"|"&amp;grafico_sol1[[#This Row],[Numero Voltas]]</f>
        <v>0.243055555555556|3</v>
      </c>
    </row>
    <row r="186" spans="12:27" x14ac:dyDescent="0.25">
      <c r="L186" s="60" t="e">
        <f t="shared" si="4"/>
        <v>#N/A</v>
      </c>
      <c r="M186" s="42" t="e">
        <f t="shared" si="5"/>
        <v>#N/A</v>
      </c>
      <c r="U186">
        <v>3</v>
      </c>
      <c r="V186">
        <v>2</v>
      </c>
      <c r="W186" s="20" t="s">
        <v>228</v>
      </c>
      <c r="X186">
        <v>2</v>
      </c>
      <c r="Y186" s="20" t="s">
        <v>127</v>
      </c>
      <c r="Z186" s="7">
        <v>0.24305555555555555</v>
      </c>
      <c r="AA186" s="20" t="str">
        <f>grafico_sol1[[#This Row],[Value]]&amp;"|"&amp;grafico_sol1[[#This Row],[Numero Voltas]]</f>
        <v>0.243055555555556|3</v>
      </c>
    </row>
    <row r="187" spans="12:27" x14ac:dyDescent="0.25">
      <c r="L187" s="60" t="e">
        <f t="shared" si="4"/>
        <v>#N/A</v>
      </c>
      <c r="M187" s="42" t="e">
        <f t="shared" si="5"/>
        <v>#N/A</v>
      </c>
      <c r="U187">
        <v>3</v>
      </c>
      <c r="V187">
        <v>2</v>
      </c>
      <c r="W187" s="20" t="s">
        <v>200</v>
      </c>
      <c r="X187">
        <v>1</v>
      </c>
      <c r="Y187" s="20" t="s">
        <v>126</v>
      </c>
      <c r="Z187" s="7">
        <v>0.24374999999999999</v>
      </c>
      <c r="AA187" s="20" t="str">
        <f>grafico_sol1[[#This Row],[Value]]&amp;"|"&amp;grafico_sol1[[#This Row],[Numero Voltas]]</f>
        <v>0.24375|3</v>
      </c>
    </row>
    <row r="188" spans="12:27" x14ac:dyDescent="0.25">
      <c r="L188" s="60" t="e">
        <f t="shared" si="4"/>
        <v>#N/A</v>
      </c>
      <c r="M188" s="42" t="e">
        <f t="shared" si="5"/>
        <v>#N/A</v>
      </c>
      <c r="U188">
        <v>3</v>
      </c>
      <c r="V188">
        <v>2</v>
      </c>
      <c r="W188" s="20" t="s">
        <v>200</v>
      </c>
      <c r="X188">
        <v>1</v>
      </c>
      <c r="Y188" s="20" t="s">
        <v>127</v>
      </c>
      <c r="Z188" s="7">
        <v>0.24374999999999999</v>
      </c>
      <c r="AA188" s="20" t="str">
        <f>grafico_sol1[[#This Row],[Value]]&amp;"|"&amp;grafico_sol1[[#This Row],[Numero Voltas]]</f>
        <v>0.24375|3</v>
      </c>
    </row>
    <row r="189" spans="12:27" x14ac:dyDescent="0.25">
      <c r="L189" s="60" t="e">
        <f t="shared" si="4"/>
        <v>#N/A</v>
      </c>
      <c r="M189" s="42" t="e">
        <f t="shared" si="5"/>
        <v>#N/A</v>
      </c>
      <c r="U189">
        <v>3</v>
      </c>
      <c r="V189">
        <v>2</v>
      </c>
      <c r="W189" s="20" t="s">
        <v>200</v>
      </c>
      <c r="X189">
        <v>1</v>
      </c>
      <c r="Y189" s="20" t="s">
        <v>126</v>
      </c>
      <c r="Z189" s="7">
        <v>0.24374999999999999</v>
      </c>
      <c r="AA189" s="20" t="str">
        <f>grafico_sol1[[#This Row],[Value]]&amp;"|"&amp;grafico_sol1[[#This Row],[Numero Voltas]]</f>
        <v>0.24375|3</v>
      </c>
    </row>
    <row r="190" spans="12:27" x14ac:dyDescent="0.25">
      <c r="L190" s="60" t="e">
        <f t="shared" si="4"/>
        <v>#N/A</v>
      </c>
      <c r="M190" s="42" t="e">
        <f t="shared" si="5"/>
        <v>#N/A</v>
      </c>
      <c r="U190">
        <v>2</v>
      </c>
      <c r="V190">
        <v>2</v>
      </c>
      <c r="W190" s="20" t="s">
        <v>302</v>
      </c>
      <c r="X190">
        <v>8</v>
      </c>
      <c r="Y190" s="20" t="s">
        <v>126</v>
      </c>
      <c r="Z190" s="7">
        <v>0.24444444444444444</v>
      </c>
      <c r="AA190" s="20" t="str">
        <f>grafico_sol1[[#This Row],[Value]]&amp;"|"&amp;grafico_sol1[[#This Row],[Numero Voltas]]</f>
        <v>0.244444444444444|2</v>
      </c>
    </row>
    <row r="191" spans="12:27" x14ac:dyDescent="0.25">
      <c r="L191" s="60" t="e">
        <f t="shared" si="4"/>
        <v>#N/A</v>
      </c>
      <c r="M191" s="42" t="e">
        <f t="shared" si="5"/>
        <v>#N/A</v>
      </c>
      <c r="U191">
        <v>2</v>
      </c>
      <c r="V191">
        <v>2</v>
      </c>
      <c r="W191" s="20" t="s">
        <v>302</v>
      </c>
      <c r="X191">
        <v>8</v>
      </c>
      <c r="Y191" s="20" t="s">
        <v>127</v>
      </c>
      <c r="Z191" s="7">
        <v>0.24444444444444444</v>
      </c>
      <c r="AA191" s="20" t="str">
        <f>grafico_sol1[[#This Row],[Value]]&amp;"|"&amp;grafico_sol1[[#This Row],[Numero Voltas]]</f>
        <v>0.244444444444444|2</v>
      </c>
    </row>
    <row r="192" spans="12:27" x14ac:dyDescent="0.25">
      <c r="L192" s="60" t="e">
        <f t="shared" si="4"/>
        <v>#N/A</v>
      </c>
      <c r="M192" s="42" t="e">
        <f t="shared" si="5"/>
        <v>#N/A</v>
      </c>
      <c r="U192">
        <v>3</v>
      </c>
      <c r="V192">
        <v>2</v>
      </c>
      <c r="W192" s="20" t="s">
        <v>200</v>
      </c>
      <c r="X192">
        <v>1</v>
      </c>
      <c r="Y192" s="20" t="s">
        <v>127</v>
      </c>
      <c r="Z192" s="7">
        <v>0.24652777777777779</v>
      </c>
      <c r="AA192" s="20" t="str">
        <f>grafico_sol1[[#This Row],[Value]]&amp;"|"&amp;grafico_sol1[[#This Row],[Numero Voltas]]</f>
        <v>0.246527777777778|3</v>
      </c>
    </row>
    <row r="193" spans="12:27" x14ac:dyDescent="0.25">
      <c r="L193" s="60" t="e">
        <f t="shared" si="4"/>
        <v>#N/A</v>
      </c>
      <c r="M193" s="42" t="e">
        <f t="shared" si="5"/>
        <v>#N/A</v>
      </c>
      <c r="U193">
        <v>3</v>
      </c>
      <c r="V193">
        <v>2</v>
      </c>
      <c r="W193" s="20" t="s">
        <v>203</v>
      </c>
      <c r="X193">
        <v>0</v>
      </c>
      <c r="Y193" s="20" t="s">
        <v>126</v>
      </c>
      <c r="Z193" s="7">
        <v>0.24791666666666667</v>
      </c>
      <c r="AA193" s="20" t="str">
        <f>grafico_sol1[[#This Row],[Value]]&amp;"|"&amp;grafico_sol1[[#This Row],[Numero Voltas]]</f>
        <v>0.247916666666667|3</v>
      </c>
    </row>
    <row r="194" spans="12:27" x14ac:dyDescent="0.25">
      <c r="L194" s="60" t="e">
        <f t="shared" si="4"/>
        <v>#N/A</v>
      </c>
      <c r="M194" s="42" t="e">
        <f t="shared" si="5"/>
        <v>#N/A</v>
      </c>
      <c r="U194">
        <v>3</v>
      </c>
      <c r="V194">
        <v>2</v>
      </c>
      <c r="W194" s="20" t="s">
        <v>203</v>
      </c>
      <c r="X194">
        <v>0</v>
      </c>
      <c r="Y194" s="20" t="s">
        <v>127</v>
      </c>
      <c r="Z194" s="7">
        <v>0.24791666666666667</v>
      </c>
      <c r="AA194" s="20" t="str">
        <f>grafico_sol1[[#This Row],[Value]]&amp;"|"&amp;grafico_sol1[[#This Row],[Numero Voltas]]</f>
        <v>0.247916666666667|3</v>
      </c>
    </row>
    <row r="195" spans="12:27" x14ac:dyDescent="0.25">
      <c r="L195" s="60" t="e">
        <f t="shared" si="4"/>
        <v>#N/A</v>
      </c>
      <c r="M195" s="42" t="e">
        <f t="shared" si="5"/>
        <v>#N/A</v>
      </c>
      <c r="U195">
        <v>3</v>
      </c>
      <c r="V195">
        <v>2</v>
      </c>
      <c r="W195" s="20" t="s">
        <v>203</v>
      </c>
      <c r="X195">
        <v>0</v>
      </c>
      <c r="Y195" s="20" t="s">
        <v>126</v>
      </c>
      <c r="Z195" s="7">
        <v>0.24791666666666667</v>
      </c>
      <c r="AA195" s="20" t="str">
        <f>grafico_sol1[[#This Row],[Value]]&amp;"|"&amp;grafico_sol1[[#This Row],[Numero Voltas]]</f>
        <v>0.247916666666667|3</v>
      </c>
    </row>
    <row r="196" spans="12:27" x14ac:dyDescent="0.25">
      <c r="L196" s="60" t="e">
        <f t="shared" si="4"/>
        <v>#N/A</v>
      </c>
      <c r="M196" s="42" t="e">
        <f t="shared" si="5"/>
        <v>#N/A</v>
      </c>
      <c r="U196">
        <v>3</v>
      </c>
      <c r="V196">
        <v>2</v>
      </c>
      <c r="W196" s="20" t="s">
        <v>203</v>
      </c>
      <c r="X196">
        <v>0</v>
      </c>
      <c r="Y196" s="20" t="s">
        <v>127</v>
      </c>
      <c r="Z196" s="7">
        <v>0.24791666666666667</v>
      </c>
      <c r="AA196" s="20" t="str">
        <f>grafico_sol1[[#This Row],[Value]]&amp;"|"&amp;grafico_sol1[[#This Row],[Numero Voltas]]</f>
        <v>0.247916666666667|3</v>
      </c>
    </row>
    <row r="197" spans="12:27" x14ac:dyDescent="0.25">
      <c r="L197" s="60" t="e">
        <f t="shared" si="4"/>
        <v>#N/A</v>
      </c>
      <c r="M197" s="42" t="e">
        <f t="shared" si="5"/>
        <v>#N/A</v>
      </c>
      <c r="U197">
        <v>3</v>
      </c>
      <c r="V197">
        <v>2</v>
      </c>
      <c r="W197" s="20" t="s">
        <v>203</v>
      </c>
      <c r="X197">
        <v>0</v>
      </c>
      <c r="Y197" s="20" t="s">
        <v>126</v>
      </c>
      <c r="Z197" s="7">
        <v>0.24791666666666667</v>
      </c>
      <c r="AA197" s="20" t="str">
        <f>grafico_sol1[[#This Row],[Value]]&amp;"|"&amp;grafico_sol1[[#This Row],[Numero Voltas]]</f>
        <v>0.247916666666667|3</v>
      </c>
    </row>
    <row r="198" spans="12:27" x14ac:dyDescent="0.25">
      <c r="L198" s="60" t="e">
        <f t="shared" si="4"/>
        <v>#N/A</v>
      </c>
      <c r="M198" s="42" t="e">
        <f t="shared" si="5"/>
        <v>#N/A</v>
      </c>
      <c r="U198">
        <v>2</v>
      </c>
      <c r="V198">
        <v>2</v>
      </c>
      <c r="W198" s="20" t="s">
        <v>303</v>
      </c>
      <c r="X198">
        <v>9</v>
      </c>
      <c r="Y198" s="20" t="s">
        <v>126</v>
      </c>
      <c r="Z198" s="7">
        <v>0.24861111111111112</v>
      </c>
      <c r="AA198" s="20" t="str">
        <f>grafico_sol1[[#This Row],[Value]]&amp;"|"&amp;grafico_sol1[[#This Row],[Numero Voltas]]</f>
        <v>0.248611111111111|2</v>
      </c>
    </row>
    <row r="199" spans="12:27" x14ac:dyDescent="0.25">
      <c r="L199" s="60" t="e">
        <f t="shared" si="4"/>
        <v>#N/A</v>
      </c>
      <c r="M199" s="42" t="e">
        <f t="shared" si="5"/>
        <v>#N/A</v>
      </c>
      <c r="U199">
        <v>2</v>
      </c>
      <c r="V199">
        <v>2</v>
      </c>
      <c r="W199" s="20" t="s">
        <v>303</v>
      </c>
      <c r="X199">
        <v>9</v>
      </c>
      <c r="Y199" s="20" t="s">
        <v>127</v>
      </c>
      <c r="Z199" s="7">
        <v>0.24861111111111112</v>
      </c>
      <c r="AA199" s="20" t="str">
        <f>grafico_sol1[[#This Row],[Value]]&amp;"|"&amp;grafico_sol1[[#This Row],[Numero Voltas]]</f>
        <v>0.248611111111111|2</v>
      </c>
    </row>
    <row r="200" spans="12:27" x14ac:dyDescent="0.25">
      <c r="L200" s="60" t="e">
        <f t="shared" si="4"/>
        <v>#N/A</v>
      </c>
      <c r="M200" s="42" t="e">
        <f t="shared" si="5"/>
        <v>#N/A</v>
      </c>
      <c r="U200">
        <v>2</v>
      </c>
      <c r="V200">
        <v>2</v>
      </c>
      <c r="W200" s="20" t="s">
        <v>303</v>
      </c>
      <c r="X200">
        <v>9</v>
      </c>
      <c r="Y200" s="20" t="s">
        <v>126</v>
      </c>
      <c r="Z200" s="7">
        <v>0.24861111111111112</v>
      </c>
      <c r="AA200" s="20" t="str">
        <f>grafico_sol1[[#This Row],[Value]]&amp;"|"&amp;grafico_sol1[[#This Row],[Numero Voltas]]</f>
        <v>0.248611111111111|2</v>
      </c>
    </row>
    <row r="201" spans="12:27" x14ac:dyDescent="0.25">
      <c r="L201" s="60" t="e">
        <f t="shared" si="4"/>
        <v>#N/A</v>
      </c>
      <c r="M201" s="42" t="e">
        <f t="shared" si="5"/>
        <v>#N/A</v>
      </c>
      <c r="U201">
        <v>2</v>
      </c>
      <c r="V201">
        <v>2</v>
      </c>
      <c r="W201" s="20" t="s">
        <v>303</v>
      </c>
      <c r="X201">
        <v>9</v>
      </c>
      <c r="Y201" s="20" t="s">
        <v>127</v>
      </c>
      <c r="Z201" s="7">
        <v>0.24861111111111112</v>
      </c>
      <c r="AA201" s="20" t="str">
        <f>grafico_sol1[[#This Row],[Value]]&amp;"|"&amp;grafico_sol1[[#This Row],[Numero Voltas]]</f>
        <v>0.248611111111111|2</v>
      </c>
    </row>
    <row r="202" spans="12:27" x14ac:dyDescent="0.25">
      <c r="L202" s="60" t="e">
        <f t="shared" si="4"/>
        <v>#N/A</v>
      </c>
      <c r="M202" s="42" t="e">
        <f t="shared" si="5"/>
        <v>#N/A</v>
      </c>
      <c r="U202">
        <v>2</v>
      </c>
      <c r="V202">
        <v>2</v>
      </c>
      <c r="W202" s="20" t="s">
        <v>303</v>
      </c>
      <c r="X202">
        <v>9</v>
      </c>
      <c r="Y202" s="20" t="s">
        <v>126</v>
      </c>
      <c r="Z202" s="7">
        <v>0.24861111111111112</v>
      </c>
      <c r="AA202" s="20" t="str">
        <f>grafico_sol1[[#This Row],[Value]]&amp;"|"&amp;grafico_sol1[[#This Row],[Numero Voltas]]</f>
        <v>0.248611111111111|2</v>
      </c>
    </row>
    <row r="203" spans="12:27" x14ac:dyDescent="0.25">
      <c r="L203" s="60" t="e">
        <f t="shared" ref="L203:L246" si="6">IF(Q203&lt;&gt;"",Q203,#N/A)</f>
        <v>#N/A</v>
      </c>
      <c r="M203" s="42" t="e">
        <f t="shared" ref="M203:M246" si="7">IF(R203&lt;&gt;"",R203,#N/A)</f>
        <v>#N/A</v>
      </c>
      <c r="U203">
        <v>3</v>
      </c>
      <c r="V203">
        <v>2</v>
      </c>
      <c r="W203" s="20" t="s">
        <v>203</v>
      </c>
      <c r="X203">
        <v>0</v>
      </c>
      <c r="Y203" s="20" t="s">
        <v>127</v>
      </c>
      <c r="Z203" s="7">
        <v>0.25347222222222221</v>
      </c>
      <c r="AA203" s="20" t="str">
        <f>grafico_sol1[[#This Row],[Value]]&amp;"|"&amp;grafico_sol1[[#This Row],[Numero Voltas]]</f>
        <v>0.253472222222222|3</v>
      </c>
    </row>
    <row r="204" spans="12:27" x14ac:dyDescent="0.25">
      <c r="L204" s="60" t="e">
        <f t="shared" si="6"/>
        <v>#N/A</v>
      </c>
      <c r="M204" s="42" t="e">
        <f t="shared" si="7"/>
        <v>#N/A</v>
      </c>
      <c r="U204">
        <v>3</v>
      </c>
      <c r="V204">
        <v>2</v>
      </c>
      <c r="W204" s="20" t="s">
        <v>200</v>
      </c>
      <c r="X204">
        <v>1</v>
      </c>
      <c r="Y204" s="20" t="s">
        <v>126</v>
      </c>
      <c r="Z204" s="7">
        <v>0.25486111111111109</v>
      </c>
      <c r="AA204" s="20" t="str">
        <f>grafico_sol1[[#This Row],[Value]]&amp;"|"&amp;grafico_sol1[[#This Row],[Numero Voltas]]</f>
        <v>0.254861111111111|3</v>
      </c>
    </row>
    <row r="205" spans="12:27" x14ac:dyDescent="0.25">
      <c r="L205" s="60" t="e">
        <f t="shared" si="6"/>
        <v>#N/A</v>
      </c>
      <c r="M205" s="42" t="e">
        <f t="shared" si="7"/>
        <v>#N/A</v>
      </c>
      <c r="U205">
        <v>3</v>
      </c>
      <c r="V205">
        <v>2</v>
      </c>
      <c r="W205" s="20" t="s">
        <v>200</v>
      </c>
      <c r="X205">
        <v>1</v>
      </c>
      <c r="Y205" s="20" t="s">
        <v>127</v>
      </c>
      <c r="Z205" s="7">
        <v>0.25486111111111109</v>
      </c>
      <c r="AA205" s="20" t="str">
        <f>grafico_sol1[[#This Row],[Value]]&amp;"|"&amp;grafico_sol1[[#This Row],[Numero Voltas]]</f>
        <v>0.254861111111111|3</v>
      </c>
    </row>
    <row r="206" spans="12:27" x14ac:dyDescent="0.25">
      <c r="L206" s="60" t="e">
        <f t="shared" si="6"/>
        <v>#N/A</v>
      </c>
      <c r="M206" s="42" t="e">
        <f t="shared" si="7"/>
        <v>#N/A</v>
      </c>
      <c r="U206">
        <v>2</v>
      </c>
      <c r="V206">
        <v>2</v>
      </c>
      <c r="W206" s="20" t="s">
        <v>303</v>
      </c>
      <c r="X206">
        <v>9</v>
      </c>
      <c r="Y206" s="20" t="s">
        <v>127</v>
      </c>
      <c r="Z206" s="7">
        <v>0.25555555555555554</v>
      </c>
      <c r="AA206" s="20" t="str">
        <f>grafico_sol1[[#This Row],[Value]]&amp;"|"&amp;grafico_sol1[[#This Row],[Numero Voltas]]</f>
        <v>0.255555555555556|2</v>
      </c>
    </row>
    <row r="207" spans="12:27" x14ac:dyDescent="0.25">
      <c r="L207" s="60" t="e">
        <f t="shared" si="6"/>
        <v>#N/A</v>
      </c>
      <c r="M207" s="42" t="e">
        <f t="shared" si="7"/>
        <v>#N/A</v>
      </c>
      <c r="U207">
        <v>3</v>
      </c>
      <c r="V207">
        <v>2</v>
      </c>
      <c r="W207" s="20" t="s">
        <v>228</v>
      </c>
      <c r="X207">
        <v>2</v>
      </c>
      <c r="Y207" s="20" t="s">
        <v>126</v>
      </c>
      <c r="Z207" s="7">
        <v>0.25555555555555554</v>
      </c>
      <c r="AA207" s="20" t="str">
        <f>grafico_sol1[[#This Row],[Value]]&amp;"|"&amp;grafico_sol1[[#This Row],[Numero Voltas]]</f>
        <v>0.255555555555556|3</v>
      </c>
    </row>
    <row r="208" spans="12:27" x14ac:dyDescent="0.25">
      <c r="L208" s="60" t="e">
        <f t="shared" si="6"/>
        <v>#N/A</v>
      </c>
      <c r="M208" s="42" t="e">
        <f t="shared" si="7"/>
        <v>#N/A</v>
      </c>
      <c r="U208">
        <v>3</v>
      </c>
      <c r="V208">
        <v>2</v>
      </c>
      <c r="W208" s="20" t="s">
        <v>228</v>
      </c>
      <c r="X208">
        <v>2</v>
      </c>
      <c r="Y208" s="20" t="s">
        <v>127</v>
      </c>
      <c r="Z208" s="7">
        <v>0.25555555555555554</v>
      </c>
      <c r="AA208" s="20" t="str">
        <f>grafico_sol1[[#This Row],[Value]]&amp;"|"&amp;grafico_sol1[[#This Row],[Numero Voltas]]</f>
        <v>0.255555555555556|3</v>
      </c>
    </row>
    <row r="209" spans="12:27" x14ac:dyDescent="0.25">
      <c r="L209" s="60" t="e">
        <f t="shared" si="6"/>
        <v>#N/A</v>
      </c>
      <c r="M209" s="42" t="e">
        <f t="shared" si="7"/>
        <v>#N/A</v>
      </c>
      <c r="U209">
        <v>3</v>
      </c>
      <c r="V209">
        <v>2</v>
      </c>
      <c r="W209" s="20" t="s">
        <v>208</v>
      </c>
      <c r="X209">
        <v>3</v>
      </c>
      <c r="Y209" s="20" t="s">
        <v>126</v>
      </c>
      <c r="Z209" s="7">
        <v>0.25763888888888886</v>
      </c>
      <c r="AA209" s="20" t="str">
        <f>grafico_sol1[[#This Row],[Value]]&amp;"|"&amp;grafico_sol1[[#This Row],[Numero Voltas]]</f>
        <v>0.257638888888889|3</v>
      </c>
    </row>
    <row r="210" spans="12:27" x14ac:dyDescent="0.25">
      <c r="L210" s="60" t="e">
        <f t="shared" si="6"/>
        <v>#N/A</v>
      </c>
      <c r="M210" s="42" t="e">
        <f t="shared" si="7"/>
        <v>#N/A</v>
      </c>
      <c r="U210">
        <v>3</v>
      </c>
      <c r="V210">
        <v>2</v>
      </c>
      <c r="W210" s="20" t="s">
        <v>208</v>
      </c>
      <c r="X210">
        <v>3</v>
      </c>
      <c r="Y210" s="20" t="s">
        <v>127</v>
      </c>
      <c r="Z210" s="7">
        <v>0.25763888888888886</v>
      </c>
      <c r="AA210" s="20" t="str">
        <f>grafico_sol1[[#This Row],[Value]]&amp;"|"&amp;grafico_sol1[[#This Row],[Numero Voltas]]</f>
        <v>0.257638888888889|3</v>
      </c>
    </row>
    <row r="211" spans="12:27" x14ac:dyDescent="0.25">
      <c r="L211" s="60" t="e">
        <f t="shared" si="6"/>
        <v>#N/A</v>
      </c>
      <c r="M211" s="42" t="e">
        <f t="shared" si="7"/>
        <v>#N/A</v>
      </c>
      <c r="U211">
        <v>2</v>
      </c>
      <c r="V211">
        <v>2</v>
      </c>
      <c r="W211" s="20" t="s">
        <v>302</v>
      </c>
      <c r="X211">
        <v>8</v>
      </c>
      <c r="Y211" s="20" t="s">
        <v>126</v>
      </c>
      <c r="Z211" s="7">
        <v>0.25972222222222224</v>
      </c>
      <c r="AA211" s="20" t="str">
        <f>grafico_sol1[[#This Row],[Value]]&amp;"|"&amp;grafico_sol1[[#This Row],[Numero Voltas]]</f>
        <v>0.259722222222222|2</v>
      </c>
    </row>
    <row r="212" spans="12:27" x14ac:dyDescent="0.25">
      <c r="L212" s="60" t="e">
        <f t="shared" si="6"/>
        <v>#N/A</v>
      </c>
      <c r="M212" s="42" t="e">
        <f t="shared" si="7"/>
        <v>#N/A</v>
      </c>
      <c r="U212">
        <v>2</v>
      </c>
      <c r="V212">
        <v>2</v>
      </c>
      <c r="W212" s="20" t="s">
        <v>302</v>
      </c>
      <c r="X212">
        <v>8</v>
      </c>
      <c r="Y212" s="20" t="s">
        <v>127</v>
      </c>
      <c r="Z212" s="7">
        <v>0.25972222222222224</v>
      </c>
      <c r="AA212" s="20" t="str">
        <f>grafico_sol1[[#This Row],[Value]]&amp;"|"&amp;grafico_sol1[[#This Row],[Numero Voltas]]</f>
        <v>0.259722222222222|2</v>
      </c>
    </row>
    <row r="213" spans="12:27" x14ac:dyDescent="0.25">
      <c r="L213" s="60" t="e">
        <f t="shared" si="6"/>
        <v>#N/A</v>
      </c>
      <c r="M213" s="42" t="e">
        <f t="shared" si="7"/>
        <v>#N/A</v>
      </c>
      <c r="U213">
        <v>3</v>
      </c>
      <c r="V213">
        <v>2</v>
      </c>
      <c r="W213" s="20" t="s">
        <v>2</v>
      </c>
      <c r="X213">
        <v>4</v>
      </c>
      <c r="Y213" s="20" t="s">
        <v>126</v>
      </c>
      <c r="Z213" s="7">
        <v>0.26111111111111113</v>
      </c>
      <c r="AA213" s="20" t="str">
        <f>grafico_sol1[[#This Row],[Value]]&amp;"|"&amp;grafico_sol1[[#This Row],[Numero Voltas]]</f>
        <v>0.261111111111111|3</v>
      </c>
    </row>
    <row r="214" spans="12:27" x14ac:dyDescent="0.25">
      <c r="L214" s="60" t="e">
        <f t="shared" si="6"/>
        <v>#N/A</v>
      </c>
      <c r="M214" s="42" t="e">
        <f t="shared" si="7"/>
        <v>#N/A</v>
      </c>
      <c r="U214">
        <v>3</v>
      </c>
      <c r="V214">
        <v>2</v>
      </c>
      <c r="W214" s="20" t="s">
        <v>2</v>
      </c>
      <c r="X214">
        <v>4</v>
      </c>
      <c r="Y214" s="20" t="s">
        <v>127</v>
      </c>
      <c r="Z214" s="7">
        <v>0.26111111111111113</v>
      </c>
      <c r="AA214" s="20" t="str">
        <f>grafico_sol1[[#This Row],[Value]]&amp;"|"&amp;grafico_sol1[[#This Row],[Numero Voltas]]</f>
        <v>0.261111111111111|3</v>
      </c>
    </row>
    <row r="215" spans="12:27" x14ac:dyDescent="0.25">
      <c r="L215" s="60" t="e">
        <f t="shared" si="6"/>
        <v>#N/A</v>
      </c>
      <c r="M215" s="42" t="e">
        <f t="shared" si="7"/>
        <v>#N/A</v>
      </c>
      <c r="U215">
        <v>3</v>
      </c>
      <c r="V215">
        <v>2</v>
      </c>
      <c r="W215" s="20" t="s">
        <v>215</v>
      </c>
      <c r="X215">
        <v>5</v>
      </c>
      <c r="Y215" s="20" t="s">
        <v>126</v>
      </c>
      <c r="Z215" s="7">
        <v>0.26319444444444445</v>
      </c>
      <c r="AA215" s="20" t="str">
        <f>grafico_sol1[[#This Row],[Value]]&amp;"|"&amp;grafico_sol1[[#This Row],[Numero Voltas]]</f>
        <v>0.263194444444444|3</v>
      </c>
    </row>
    <row r="216" spans="12:27" x14ac:dyDescent="0.25">
      <c r="L216" s="60" t="e">
        <f t="shared" si="6"/>
        <v>#N/A</v>
      </c>
      <c r="M216" s="42" t="e">
        <f t="shared" si="7"/>
        <v>#N/A</v>
      </c>
      <c r="U216">
        <v>3</v>
      </c>
      <c r="V216">
        <v>2</v>
      </c>
      <c r="W216" s="20" t="s">
        <v>215</v>
      </c>
      <c r="X216">
        <v>5</v>
      </c>
      <c r="Y216" s="20" t="s">
        <v>127</v>
      </c>
      <c r="Z216" s="7">
        <v>0.26319444444444445</v>
      </c>
      <c r="AA216" s="20" t="str">
        <f>grafico_sol1[[#This Row],[Value]]&amp;"|"&amp;grafico_sol1[[#This Row],[Numero Voltas]]</f>
        <v>0.263194444444444|3</v>
      </c>
    </row>
    <row r="217" spans="12:27" x14ac:dyDescent="0.25">
      <c r="L217" s="60" t="e">
        <f t="shared" si="6"/>
        <v>#N/A</v>
      </c>
      <c r="M217" s="42" t="e">
        <f t="shared" si="7"/>
        <v>#N/A</v>
      </c>
      <c r="U217">
        <v>3</v>
      </c>
      <c r="V217">
        <v>2</v>
      </c>
      <c r="W217" s="20" t="s">
        <v>215</v>
      </c>
      <c r="X217">
        <v>5</v>
      </c>
      <c r="Y217" s="20" t="s">
        <v>126</v>
      </c>
      <c r="Z217" s="7">
        <v>0.26319444444444445</v>
      </c>
      <c r="AA217" s="20" t="str">
        <f>grafico_sol1[[#This Row],[Value]]&amp;"|"&amp;grafico_sol1[[#This Row],[Numero Voltas]]</f>
        <v>0.263194444444444|3</v>
      </c>
    </row>
    <row r="218" spans="12:27" x14ac:dyDescent="0.25">
      <c r="L218" s="60" t="e">
        <f t="shared" si="6"/>
        <v>#N/A</v>
      </c>
      <c r="M218" s="42" t="e">
        <f t="shared" si="7"/>
        <v>#N/A</v>
      </c>
      <c r="U218">
        <v>3</v>
      </c>
      <c r="V218">
        <v>2</v>
      </c>
      <c r="W218" s="20" t="s">
        <v>215</v>
      </c>
      <c r="X218">
        <v>5</v>
      </c>
      <c r="Y218" s="20" t="s">
        <v>127</v>
      </c>
      <c r="Z218" s="7">
        <v>0.26319444444444445</v>
      </c>
      <c r="AA218" s="20" t="str">
        <f>grafico_sol1[[#This Row],[Value]]&amp;"|"&amp;grafico_sol1[[#This Row],[Numero Voltas]]</f>
        <v>0.263194444444444|3</v>
      </c>
    </row>
    <row r="219" spans="12:27" x14ac:dyDescent="0.25">
      <c r="L219" s="60" t="e">
        <f t="shared" si="6"/>
        <v>#N/A</v>
      </c>
      <c r="M219" s="42" t="e">
        <f t="shared" si="7"/>
        <v>#N/A</v>
      </c>
      <c r="U219">
        <v>2</v>
      </c>
      <c r="V219">
        <v>2</v>
      </c>
      <c r="W219" s="20" t="s">
        <v>301</v>
      </c>
      <c r="X219">
        <v>7</v>
      </c>
      <c r="Y219" s="20" t="s">
        <v>126</v>
      </c>
      <c r="Z219" s="7">
        <v>0.2638888888888889</v>
      </c>
      <c r="AA219" s="20" t="str">
        <f>grafico_sol1[[#This Row],[Value]]&amp;"|"&amp;grafico_sol1[[#This Row],[Numero Voltas]]</f>
        <v>0.263888888888889|2</v>
      </c>
    </row>
    <row r="220" spans="12:27" x14ac:dyDescent="0.25">
      <c r="L220" s="60" t="e">
        <f t="shared" si="6"/>
        <v>#N/A</v>
      </c>
      <c r="M220" s="42" t="e">
        <f t="shared" si="7"/>
        <v>#N/A</v>
      </c>
      <c r="U220">
        <v>2</v>
      </c>
      <c r="V220">
        <v>2</v>
      </c>
      <c r="W220" s="20" t="s">
        <v>301</v>
      </c>
      <c r="X220">
        <v>7</v>
      </c>
      <c r="Y220" s="20" t="s">
        <v>127</v>
      </c>
      <c r="Z220" s="7">
        <v>0.2638888888888889</v>
      </c>
      <c r="AA220" s="20" t="str">
        <f>grafico_sol1[[#This Row],[Value]]&amp;"|"&amp;grafico_sol1[[#This Row],[Numero Voltas]]</f>
        <v>0.263888888888889|2</v>
      </c>
    </row>
    <row r="221" spans="12:27" x14ac:dyDescent="0.25">
      <c r="L221" s="60" t="e">
        <f t="shared" si="6"/>
        <v>#N/A</v>
      </c>
      <c r="M221" s="42" t="e">
        <f t="shared" si="7"/>
        <v>#N/A</v>
      </c>
      <c r="U221">
        <v>2</v>
      </c>
      <c r="V221">
        <v>2</v>
      </c>
      <c r="W221" s="20" t="s">
        <v>300</v>
      </c>
      <c r="X221">
        <v>6</v>
      </c>
      <c r="Y221" s="20" t="s">
        <v>126</v>
      </c>
      <c r="Z221" s="7">
        <v>0.26597222222222222</v>
      </c>
      <c r="AA221" s="20" t="str">
        <f>grafico_sol1[[#This Row],[Value]]&amp;"|"&amp;grafico_sol1[[#This Row],[Numero Voltas]]</f>
        <v>0.265972222222222|2</v>
      </c>
    </row>
    <row r="222" spans="12:27" x14ac:dyDescent="0.25">
      <c r="L222" s="60" t="e">
        <f t="shared" si="6"/>
        <v>#N/A</v>
      </c>
      <c r="M222" s="42" t="e">
        <f t="shared" si="7"/>
        <v>#N/A</v>
      </c>
      <c r="U222">
        <v>2</v>
      </c>
      <c r="V222">
        <v>2</v>
      </c>
      <c r="W222" s="20" t="s">
        <v>300</v>
      </c>
      <c r="X222">
        <v>6</v>
      </c>
      <c r="Y222" s="20" t="s">
        <v>127</v>
      </c>
      <c r="Z222" s="7">
        <v>0.26597222222222222</v>
      </c>
      <c r="AA222" s="20" t="str">
        <f>grafico_sol1[[#This Row],[Value]]&amp;"|"&amp;grafico_sol1[[#This Row],[Numero Voltas]]</f>
        <v>0.265972222222222|2</v>
      </c>
    </row>
    <row r="223" spans="12:27" x14ac:dyDescent="0.25">
      <c r="L223" s="60" t="e">
        <f t="shared" si="6"/>
        <v>#N/A</v>
      </c>
      <c r="M223" s="42" t="e">
        <f t="shared" si="7"/>
        <v>#N/A</v>
      </c>
      <c r="U223">
        <v>2</v>
      </c>
      <c r="V223">
        <v>2</v>
      </c>
      <c r="W223" s="20" t="s">
        <v>300</v>
      </c>
      <c r="X223">
        <v>6</v>
      </c>
      <c r="Y223" s="20" t="s">
        <v>126</v>
      </c>
      <c r="Z223" s="7">
        <v>0.26597222222222222</v>
      </c>
      <c r="AA223" s="20" t="str">
        <f>grafico_sol1[[#This Row],[Value]]&amp;"|"&amp;grafico_sol1[[#This Row],[Numero Voltas]]</f>
        <v>0.265972222222222|2</v>
      </c>
    </row>
    <row r="224" spans="12:27" x14ac:dyDescent="0.25">
      <c r="L224" s="60" t="e">
        <f t="shared" si="6"/>
        <v>#N/A</v>
      </c>
      <c r="M224" s="42" t="e">
        <f t="shared" si="7"/>
        <v>#N/A</v>
      </c>
      <c r="U224">
        <v>2</v>
      </c>
      <c r="V224">
        <v>2</v>
      </c>
      <c r="W224" s="20" t="s">
        <v>300</v>
      </c>
      <c r="X224">
        <v>6</v>
      </c>
      <c r="Y224" s="20" t="s">
        <v>127</v>
      </c>
      <c r="Z224" s="7">
        <v>0.26597222222222222</v>
      </c>
      <c r="AA224" s="20" t="str">
        <f>grafico_sol1[[#This Row],[Value]]&amp;"|"&amp;grafico_sol1[[#This Row],[Numero Voltas]]</f>
        <v>0.265972222222222|2</v>
      </c>
    </row>
    <row r="225" spans="12:27" x14ac:dyDescent="0.25">
      <c r="L225" s="60" t="e">
        <f t="shared" si="6"/>
        <v>#N/A</v>
      </c>
      <c r="M225" s="42" t="e">
        <f t="shared" si="7"/>
        <v>#N/A</v>
      </c>
      <c r="U225">
        <v>3</v>
      </c>
      <c r="V225">
        <v>2</v>
      </c>
      <c r="W225" s="20" t="s">
        <v>300</v>
      </c>
      <c r="X225">
        <v>6</v>
      </c>
      <c r="Y225" s="20" t="s">
        <v>126</v>
      </c>
      <c r="Z225" s="7">
        <v>0.26597222222222222</v>
      </c>
      <c r="AA225" s="20" t="str">
        <f>grafico_sol1[[#This Row],[Value]]&amp;"|"&amp;grafico_sol1[[#This Row],[Numero Voltas]]</f>
        <v>0.265972222222222|3</v>
      </c>
    </row>
    <row r="226" spans="12:27" x14ac:dyDescent="0.25">
      <c r="L226" s="60" t="e">
        <f t="shared" si="6"/>
        <v>#N/A</v>
      </c>
      <c r="M226" s="42" t="e">
        <f t="shared" si="7"/>
        <v>#N/A</v>
      </c>
      <c r="U226">
        <v>3</v>
      </c>
      <c r="V226">
        <v>2</v>
      </c>
      <c r="W226" s="20" t="s">
        <v>300</v>
      </c>
      <c r="X226">
        <v>6</v>
      </c>
      <c r="Y226" s="20" t="s">
        <v>127</v>
      </c>
      <c r="Z226" s="7">
        <v>0.26597222222222222</v>
      </c>
      <c r="AA226" s="20" t="str">
        <f>grafico_sol1[[#This Row],[Value]]&amp;"|"&amp;grafico_sol1[[#This Row],[Numero Voltas]]</f>
        <v>0.265972222222222|3</v>
      </c>
    </row>
    <row r="227" spans="12:27" x14ac:dyDescent="0.25">
      <c r="L227" s="60" t="e">
        <f t="shared" si="6"/>
        <v>#N/A</v>
      </c>
      <c r="M227" s="42" t="e">
        <f t="shared" si="7"/>
        <v>#N/A</v>
      </c>
      <c r="U227">
        <v>3</v>
      </c>
      <c r="V227">
        <v>2</v>
      </c>
      <c r="W227" s="20" t="s">
        <v>300</v>
      </c>
      <c r="X227">
        <v>6</v>
      </c>
      <c r="Y227" s="20" t="s">
        <v>126</v>
      </c>
      <c r="Z227" s="7">
        <v>0.26597222222222222</v>
      </c>
      <c r="AA227" s="20" t="str">
        <f>grafico_sol1[[#This Row],[Value]]&amp;"|"&amp;grafico_sol1[[#This Row],[Numero Voltas]]</f>
        <v>0.265972222222222|3</v>
      </c>
    </row>
    <row r="228" spans="12:27" x14ac:dyDescent="0.25">
      <c r="L228" s="60" t="e">
        <f t="shared" si="6"/>
        <v>#N/A</v>
      </c>
      <c r="M228" s="42" t="e">
        <f t="shared" si="7"/>
        <v>#N/A</v>
      </c>
      <c r="U228">
        <v>3</v>
      </c>
      <c r="V228">
        <v>2</v>
      </c>
      <c r="W228" s="20" t="s">
        <v>300</v>
      </c>
      <c r="X228">
        <v>6</v>
      </c>
      <c r="Y228" s="20" t="s">
        <v>127</v>
      </c>
      <c r="Z228" s="7">
        <v>0.26597222222222222</v>
      </c>
      <c r="AA228" s="20" t="str">
        <f>grafico_sol1[[#This Row],[Value]]&amp;"|"&amp;grafico_sol1[[#This Row],[Numero Voltas]]</f>
        <v>0.265972222222222|3</v>
      </c>
    </row>
    <row r="229" spans="12:27" x14ac:dyDescent="0.25">
      <c r="L229" s="60" t="e">
        <f t="shared" si="6"/>
        <v>#N/A</v>
      </c>
      <c r="M229" s="42" t="e">
        <f t="shared" si="7"/>
        <v>#N/A</v>
      </c>
      <c r="U229">
        <v>3</v>
      </c>
      <c r="V229">
        <v>2</v>
      </c>
      <c r="W229" s="20" t="s">
        <v>301</v>
      </c>
      <c r="X229">
        <v>7</v>
      </c>
      <c r="Y229" s="20" t="s">
        <v>126</v>
      </c>
      <c r="Z229" s="7">
        <v>0.26805555555555555</v>
      </c>
      <c r="AA229" s="20" t="str">
        <f>grafico_sol1[[#This Row],[Value]]&amp;"|"&amp;grafico_sol1[[#This Row],[Numero Voltas]]</f>
        <v>0.268055555555556|3</v>
      </c>
    </row>
    <row r="230" spans="12:27" x14ac:dyDescent="0.25">
      <c r="L230" s="60" t="e">
        <f t="shared" si="6"/>
        <v>#N/A</v>
      </c>
      <c r="M230" s="42" t="e">
        <f t="shared" si="7"/>
        <v>#N/A</v>
      </c>
      <c r="U230">
        <v>3</v>
      </c>
      <c r="V230">
        <v>2</v>
      </c>
      <c r="W230" s="20" t="s">
        <v>301</v>
      </c>
      <c r="X230">
        <v>7</v>
      </c>
      <c r="Y230" s="20" t="s">
        <v>127</v>
      </c>
      <c r="Z230" s="7">
        <v>0.26805555555555555</v>
      </c>
      <c r="AA230" s="20" t="str">
        <f>grafico_sol1[[#This Row],[Value]]&amp;"|"&amp;grafico_sol1[[#This Row],[Numero Voltas]]</f>
        <v>0.268055555555556|3</v>
      </c>
    </row>
    <row r="231" spans="12:27" x14ac:dyDescent="0.25">
      <c r="L231" s="60" t="e">
        <f t="shared" si="6"/>
        <v>#N/A</v>
      </c>
      <c r="M231" s="42" t="e">
        <f t="shared" si="7"/>
        <v>#N/A</v>
      </c>
      <c r="U231">
        <v>2</v>
      </c>
      <c r="V231">
        <v>2</v>
      </c>
      <c r="W231" s="20" t="s">
        <v>215</v>
      </c>
      <c r="X231">
        <v>5</v>
      </c>
      <c r="Y231" s="20" t="s">
        <v>126</v>
      </c>
      <c r="Z231" s="7">
        <v>0.26874999999999999</v>
      </c>
      <c r="AA231" s="20" t="str">
        <f>grafico_sol1[[#This Row],[Value]]&amp;"|"&amp;grafico_sol1[[#This Row],[Numero Voltas]]</f>
        <v>0.26875|2</v>
      </c>
    </row>
    <row r="232" spans="12:27" x14ac:dyDescent="0.25">
      <c r="L232" s="60" t="e">
        <f t="shared" si="6"/>
        <v>#N/A</v>
      </c>
      <c r="M232" s="42" t="e">
        <f t="shared" si="7"/>
        <v>#N/A</v>
      </c>
      <c r="U232">
        <v>2</v>
      </c>
      <c r="V232">
        <v>2</v>
      </c>
      <c r="W232" s="20" t="s">
        <v>215</v>
      </c>
      <c r="X232">
        <v>5</v>
      </c>
      <c r="Y232" s="20" t="s">
        <v>127</v>
      </c>
      <c r="Z232" s="7">
        <v>0.26874999999999999</v>
      </c>
      <c r="AA232" s="20" t="str">
        <f>grafico_sol1[[#This Row],[Value]]&amp;"|"&amp;grafico_sol1[[#This Row],[Numero Voltas]]</f>
        <v>0.26875|2</v>
      </c>
    </row>
    <row r="233" spans="12:27" x14ac:dyDescent="0.25">
      <c r="L233" s="60" t="e">
        <f t="shared" si="6"/>
        <v>#N/A</v>
      </c>
      <c r="M233" s="42" t="e">
        <f t="shared" si="7"/>
        <v>#N/A</v>
      </c>
      <c r="U233">
        <v>2</v>
      </c>
      <c r="V233">
        <v>2</v>
      </c>
      <c r="W233" s="20" t="s">
        <v>215</v>
      </c>
      <c r="X233">
        <v>5</v>
      </c>
      <c r="Y233" s="20" t="s">
        <v>126</v>
      </c>
      <c r="Z233" s="7">
        <v>0.26874999999999999</v>
      </c>
      <c r="AA233" s="20" t="str">
        <f>grafico_sol1[[#This Row],[Value]]&amp;"|"&amp;grafico_sol1[[#This Row],[Numero Voltas]]</f>
        <v>0.26875|2</v>
      </c>
    </row>
    <row r="234" spans="12:27" x14ac:dyDescent="0.25">
      <c r="L234" s="60" t="e">
        <f t="shared" si="6"/>
        <v>#N/A</v>
      </c>
      <c r="M234" s="42" t="e">
        <f t="shared" si="7"/>
        <v>#N/A</v>
      </c>
      <c r="U234">
        <v>2</v>
      </c>
      <c r="V234">
        <v>2</v>
      </c>
      <c r="W234" s="20" t="s">
        <v>215</v>
      </c>
      <c r="X234">
        <v>5</v>
      </c>
      <c r="Y234" s="20" t="s">
        <v>127</v>
      </c>
      <c r="Z234" s="7">
        <v>0.26874999999999999</v>
      </c>
      <c r="AA234" s="20" t="str">
        <f>grafico_sol1[[#This Row],[Value]]&amp;"|"&amp;grafico_sol1[[#This Row],[Numero Voltas]]</f>
        <v>0.26875|2</v>
      </c>
    </row>
    <row r="235" spans="12:27" x14ac:dyDescent="0.25">
      <c r="L235" s="60" t="e">
        <f t="shared" si="6"/>
        <v>#N/A</v>
      </c>
      <c r="M235" s="42" t="e">
        <f t="shared" si="7"/>
        <v>#N/A</v>
      </c>
      <c r="U235">
        <v>2</v>
      </c>
      <c r="V235">
        <v>2</v>
      </c>
      <c r="W235" s="20" t="s">
        <v>2</v>
      </c>
      <c r="X235">
        <v>4</v>
      </c>
      <c r="Y235" s="20" t="s">
        <v>126</v>
      </c>
      <c r="Z235" s="7">
        <v>0.27083333333333331</v>
      </c>
      <c r="AA235" s="20" t="str">
        <f>grafico_sol1[[#This Row],[Value]]&amp;"|"&amp;grafico_sol1[[#This Row],[Numero Voltas]]</f>
        <v>0.270833333333333|2</v>
      </c>
    </row>
    <row r="236" spans="12:27" x14ac:dyDescent="0.25">
      <c r="L236" s="60" t="e">
        <f t="shared" si="6"/>
        <v>#N/A</v>
      </c>
      <c r="M236" s="42" t="e">
        <f t="shared" si="7"/>
        <v>#N/A</v>
      </c>
      <c r="U236">
        <v>2</v>
      </c>
      <c r="V236">
        <v>2</v>
      </c>
      <c r="W236" s="20" t="s">
        <v>2</v>
      </c>
      <c r="X236">
        <v>4</v>
      </c>
      <c r="Y236" s="20" t="s">
        <v>127</v>
      </c>
      <c r="Z236" s="7">
        <v>0.27083333333333331</v>
      </c>
      <c r="AA236" s="20" t="str">
        <f>grafico_sol1[[#This Row],[Value]]&amp;"|"&amp;grafico_sol1[[#This Row],[Numero Voltas]]</f>
        <v>0.270833333333333|2</v>
      </c>
    </row>
    <row r="237" spans="12:27" x14ac:dyDescent="0.25">
      <c r="L237" s="60" t="e">
        <f t="shared" si="6"/>
        <v>#N/A</v>
      </c>
      <c r="M237" s="42" t="e">
        <f t="shared" si="7"/>
        <v>#N/A</v>
      </c>
      <c r="U237">
        <v>2</v>
      </c>
      <c r="V237">
        <v>2</v>
      </c>
      <c r="W237" s="20" t="s">
        <v>2</v>
      </c>
      <c r="X237">
        <v>4</v>
      </c>
      <c r="Y237" s="20" t="s">
        <v>126</v>
      </c>
      <c r="Z237" s="7">
        <v>0.27083333333333331</v>
      </c>
      <c r="AA237" s="20" t="str">
        <f>grafico_sol1[[#This Row],[Value]]&amp;"|"&amp;grafico_sol1[[#This Row],[Numero Voltas]]</f>
        <v>0.270833333333333|2</v>
      </c>
    </row>
    <row r="238" spans="12:27" x14ac:dyDescent="0.25">
      <c r="L238" s="60" t="e">
        <f t="shared" si="6"/>
        <v>#N/A</v>
      </c>
      <c r="M238" s="42" t="e">
        <f t="shared" si="7"/>
        <v>#N/A</v>
      </c>
      <c r="U238">
        <v>3</v>
      </c>
      <c r="V238">
        <v>2</v>
      </c>
      <c r="W238" s="20" t="s">
        <v>302</v>
      </c>
      <c r="X238">
        <v>8</v>
      </c>
      <c r="Y238" s="20" t="s">
        <v>126</v>
      </c>
      <c r="Z238" s="7">
        <v>0.2722222222222222</v>
      </c>
      <c r="AA238" s="20" t="str">
        <f>grafico_sol1[[#This Row],[Value]]&amp;"|"&amp;grafico_sol1[[#This Row],[Numero Voltas]]</f>
        <v>0.272222222222222|3</v>
      </c>
    </row>
    <row r="239" spans="12:27" x14ac:dyDescent="0.25">
      <c r="L239" s="60" t="e">
        <f t="shared" si="6"/>
        <v>#N/A</v>
      </c>
      <c r="M239" s="42" t="e">
        <f t="shared" si="7"/>
        <v>#N/A</v>
      </c>
      <c r="U239">
        <v>3</v>
      </c>
      <c r="V239">
        <v>2</v>
      </c>
      <c r="W239" s="20" t="s">
        <v>302</v>
      </c>
      <c r="X239">
        <v>8</v>
      </c>
      <c r="Y239" s="20" t="s">
        <v>127</v>
      </c>
      <c r="Z239" s="7">
        <v>0.2722222222222222</v>
      </c>
      <c r="AA239" s="20" t="str">
        <f>grafico_sol1[[#This Row],[Value]]&amp;"|"&amp;grafico_sol1[[#This Row],[Numero Voltas]]</f>
        <v>0.272222222222222|3</v>
      </c>
    </row>
    <row r="240" spans="12:27" x14ac:dyDescent="0.25">
      <c r="L240" s="60" t="e">
        <f t="shared" si="6"/>
        <v>#N/A</v>
      </c>
      <c r="M240" s="42" t="e">
        <f t="shared" si="7"/>
        <v>#N/A</v>
      </c>
      <c r="U240">
        <v>3</v>
      </c>
      <c r="V240">
        <v>2</v>
      </c>
      <c r="W240" s="20" t="s">
        <v>303</v>
      </c>
      <c r="X240">
        <v>9</v>
      </c>
      <c r="Y240" s="20" t="s">
        <v>126</v>
      </c>
      <c r="Z240" s="7">
        <v>0.27638888888888891</v>
      </c>
      <c r="AA240" s="20" t="str">
        <f>grafico_sol1[[#This Row],[Value]]&amp;"|"&amp;grafico_sol1[[#This Row],[Numero Voltas]]</f>
        <v>0.276388888888889|3</v>
      </c>
    </row>
    <row r="241" spans="12:27" x14ac:dyDescent="0.25">
      <c r="L241" s="60" t="e">
        <f t="shared" si="6"/>
        <v>#N/A</v>
      </c>
      <c r="M241" s="42" t="e">
        <f t="shared" si="7"/>
        <v>#N/A</v>
      </c>
      <c r="U241">
        <v>3</v>
      </c>
      <c r="V241">
        <v>2</v>
      </c>
      <c r="W241" s="20" t="s">
        <v>303</v>
      </c>
      <c r="X241">
        <v>9</v>
      </c>
      <c r="Y241" s="20" t="s">
        <v>127</v>
      </c>
      <c r="Z241" s="7">
        <v>0.27638888888888891</v>
      </c>
      <c r="AA241" s="20" t="str">
        <f>grafico_sol1[[#This Row],[Value]]&amp;"|"&amp;grafico_sol1[[#This Row],[Numero Voltas]]</f>
        <v>0.276388888888889|3</v>
      </c>
    </row>
    <row r="242" spans="12:27" x14ac:dyDescent="0.25">
      <c r="L242" s="60" t="e">
        <f t="shared" si="6"/>
        <v>#N/A</v>
      </c>
      <c r="M242" s="42" t="e">
        <f t="shared" si="7"/>
        <v>#N/A</v>
      </c>
      <c r="U242">
        <v>3</v>
      </c>
      <c r="V242">
        <v>2</v>
      </c>
      <c r="W242" s="20" t="s">
        <v>303</v>
      </c>
      <c r="X242">
        <v>9</v>
      </c>
      <c r="Y242" s="20" t="s">
        <v>126</v>
      </c>
      <c r="Z242" s="7">
        <v>0.27638888888888891</v>
      </c>
      <c r="AA242" s="20" t="str">
        <f>grafico_sol1[[#This Row],[Value]]&amp;"|"&amp;grafico_sol1[[#This Row],[Numero Voltas]]</f>
        <v>0.276388888888889|3</v>
      </c>
    </row>
    <row r="243" spans="12:27" x14ac:dyDescent="0.25">
      <c r="L243" s="60" t="e">
        <f t="shared" si="6"/>
        <v>#N/A</v>
      </c>
      <c r="M243" s="42" t="e">
        <f t="shared" si="7"/>
        <v>#N/A</v>
      </c>
      <c r="U243">
        <v>3</v>
      </c>
      <c r="V243">
        <v>2</v>
      </c>
      <c r="W243" s="20" t="s">
        <v>303</v>
      </c>
      <c r="X243">
        <v>9</v>
      </c>
      <c r="Y243" s="20" t="s">
        <v>127</v>
      </c>
      <c r="Z243" s="7">
        <v>0.27638888888888891</v>
      </c>
      <c r="AA243" s="20" t="str">
        <f>grafico_sol1[[#This Row],[Value]]&amp;"|"&amp;grafico_sol1[[#This Row],[Numero Voltas]]</f>
        <v>0.276388888888889|3</v>
      </c>
    </row>
    <row r="244" spans="12:27" x14ac:dyDescent="0.25">
      <c r="L244" s="60" t="e">
        <f t="shared" si="6"/>
        <v>#N/A</v>
      </c>
      <c r="M244" s="42" t="e">
        <f t="shared" si="7"/>
        <v>#N/A</v>
      </c>
      <c r="U244">
        <v>3</v>
      </c>
      <c r="V244">
        <v>2</v>
      </c>
      <c r="W244" s="20" t="s">
        <v>302</v>
      </c>
      <c r="X244">
        <v>8</v>
      </c>
      <c r="Y244" s="20" t="s">
        <v>126</v>
      </c>
      <c r="Z244" s="7">
        <v>0.28055555555555556</v>
      </c>
      <c r="AA244" s="20" t="str">
        <f>grafico_sol1[[#This Row],[Value]]&amp;"|"&amp;grafico_sol1[[#This Row],[Numero Voltas]]</f>
        <v>0.280555555555556|3</v>
      </c>
    </row>
    <row r="245" spans="12:27" x14ac:dyDescent="0.25">
      <c r="L245" s="60" t="e">
        <f t="shared" si="6"/>
        <v>#N/A</v>
      </c>
      <c r="M245" s="42" t="e">
        <f t="shared" si="7"/>
        <v>#N/A</v>
      </c>
      <c r="U245">
        <v>3</v>
      </c>
      <c r="V245">
        <v>2</v>
      </c>
      <c r="W245" s="20" t="s">
        <v>302</v>
      </c>
      <c r="X245">
        <v>8</v>
      </c>
      <c r="Y245" s="20" t="s">
        <v>127</v>
      </c>
      <c r="Z245" s="7">
        <v>0.28055555555555556</v>
      </c>
      <c r="AA245" s="20" t="str">
        <f>grafico_sol1[[#This Row],[Value]]&amp;"|"&amp;grafico_sol1[[#This Row],[Numero Voltas]]</f>
        <v>0.280555555555556|3</v>
      </c>
    </row>
    <row r="246" spans="12:27" x14ac:dyDescent="0.25">
      <c r="L246" s="60" t="e">
        <f t="shared" si="6"/>
        <v>#N/A</v>
      </c>
      <c r="M246" s="42" t="e">
        <f t="shared" si="7"/>
        <v>#N/A</v>
      </c>
      <c r="U246">
        <v>3</v>
      </c>
      <c r="V246">
        <v>2</v>
      </c>
      <c r="W246" s="20" t="s">
        <v>301</v>
      </c>
      <c r="X246">
        <v>7</v>
      </c>
      <c r="Y246" s="20" t="s">
        <v>126</v>
      </c>
      <c r="Z246" s="7">
        <v>0.28472222222222221</v>
      </c>
      <c r="AA246" s="20" t="str">
        <f>grafico_sol1[[#This Row],[Value]]&amp;"|"&amp;grafico_sol1[[#This Row],[Numero Voltas]]</f>
        <v>0.284722222222222|3</v>
      </c>
    </row>
    <row r="247" spans="12:27" x14ac:dyDescent="0.25">
      <c r="L247" s="60" t="e">
        <f t="shared" ref="L247:L310" si="8">IF(Q247&lt;&gt;"",Q247,#N/A)</f>
        <v>#N/A</v>
      </c>
      <c r="M247" s="42" t="e">
        <f t="shared" ref="M247:M310" si="9">IF(R247&lt;&gt;"",R247,#N/A)</f>
        <v>#N/A</v>
      </c>
      <c r="U247">
        <v>3</v>
      </c>
      <c r="V247">
        <v>2</v>
      </c>
      <c r="W247" s="20" t="s">
        <v>301</v>
      </c>
      <c r="X247">
        <v>7</v>
      </c>
      <c r="Y247" s="20" t="s">
        <v>127</v>
      </c>
      <c r="Z247" s="7">
        <v>0.28472222222222221</v>
      </c>
      <c r="AA247" s="20" t="str">
        <f>grafico_sol1[[#This Row],[Value]]&amp;"|"&amp;grafico_sol1[[#This Row],[Numero Voltas]]</f>
        <v>0.284722222222222|3</v>
      </c>
    </row>
    <row r="248" spans="12:27" x14ac:dyDescent="0.25">
      <c r="L248" s="60" t="e">
        <f t="shared" si="8"/>
        <v>#N/A</v>
      </c>
      <c r="M248" s="42" t="e">
        <f t="shared" si="9"/>
        <v>#N/A</v>
      </c>
      <c r="U248">
        <v>3</v>
      </c>
      <c r="V248">
        <v>2</v>
      </c>
      <c r="W248" s="20" t="s">
        <v>300</v>
      </c>
      <c r="X248">
        <v>6</v>
      </c>
      <c r="Y248" s="20" t="s">
        <v>126</v>
      </c>
      <c r="Z248" s="7">
        <v>0.28680555555555554</v>
      </c>
      <c r="AA248" s="20" t="str">
        <f>grafico_sol1[[#This Row],[Value]]&amp;"|"&amp;grafico_sol1[[#This Row],[Numero Voltas]]</f>
        <v>0.286805555555556|3</v>
      </c>
    </row>
    <row r="249" spans="12:27" x14ac:dyDescent="0.25">
      <c r="L249" s="60" t="e">
        <f t="shared" si="8"/>
        <v>#N/A</v>
      </c>
      <c r="M249" s="42" t="e">
        <f t="shared" si="9"/>
        <v>#N/A</v>
      </c>
      <c r="U249">
        <v>3</v>
      </c>
      <c r="V249">
        <v>2</v>
      </c>
      <c r="W249" s="20" t="s">
        <v>300</v>
      </c>
      <c r="X249">
        <v>6</v>
      </c>
      <c r="Y249" s="20" t="s">
        <v>127</v>
      </c>
      <c r="Z249" s="7">
        <v>0.28680555555555554</v>
      </c>
      <c r="AA249" s="20" t="str">
        <f>grafico_sol1[[#This Row],[Value]]&amp;"|"&amp;grafico_sol1[[#This Row],[Numero Voltas]]</f>
        <v>0.286805555555556|3</v>
      </c>
    </row>
    <row r="250" spans="12:27" x14ac:dyDescent="0.25">
      <c r="L250" s="60" t="e">
        <f t="shared" si="8"/>
        <v>#N/A</v>
      </c>
      <c r="M250" s="42" t="e">
        <f t="shared" si="9"/>
        <v>#N/A</v>
      </c>
      <c r="U250">
        <v>3</v>
      </c>
      <c r="V250">
        <v>2</v>
      </c>
      <c r="W250" s="20" t="s">
        <v>300</v>
      </c>
      <c r="X250">
        <v>6</v>
      </c>
      <c r="Y250" s="20" t="s">
        <v>126</v>
      </c>
      <c r="Z250" s="7">
        <v>0.28680555555555554</v>
      </c>
      <c r="AA250" s="20" t="str">
        <f>grafico_sol1[[#This Row],[Value]]&amp;"|"&amp;grafico_sol1[[#This Row],[Numero Voltas]]</f>
        <v>0.286805555555556|3</v>
      </c>
    </row>
    <row r="251" spans="12:27" x14ac:dyDescent="0.25">
      <c r="L251" s="60" t="e">
        <f t="shared" si="8"/>
        <v>#N/A</v>
      </c>
      <c r="M251" s="42" t="e">
        <f t="shared" si="9"/>
        <v>#N/A</v>
      </c>
      <c r="U251">
        <v>3</v>
      </c>
      <c r="V251">
        <v>2</v>
      </c>
      <c r="W251" s="20" t="s">
        <v>300</v>
      </c>
      <c r="X251">
        <v>6</v>
      </c>
      <c r="Y251" s="20" t="s">
        <v>127</v>
      </c>
      <c r="Z251" s="7">
        <v>0.28680555555555554</v>
      </c>
      <c r="AA251" s="20" t="str">
        <f>grafico_sol1[[#This Row],[Value]]&amp;"|"&amp;grafico_sol1[[#This Row],[Numero Voltas]]</f>
        <v>0.286805555555556|3</v>
      </c>
    </row>
    <row r="252" spans="12:27" x14ac:dyDescent="0.25">
      <c r="L252" s="60" t="e">
        <f t="shared" si="8"/>
        <v>#N/A</v>
      </c>
      <c r="M252" s="42" t="e">
        <f t="shared" si="9"/>
        <v>#N/A</v>
      </c>
      <c r="U252">
        <v>3</v>
      </c>
      <c r="V252">
        <v>2</v>
      </c>
      <c r="W252" s="20" t="s">
        <v>215</v>
      </c>
      <c r="X252">
        <v>5</v>
      </c>
      <c r="Y252" s="20" t="s">
        <v>126</v>
      </c>
      <c r="Z252" s="7">
        <v>0.28958333333333336</v>
      </c>
      <c r="AA252" s="20" t="str">
        <f>grafico_sol1[[#This Row],[Value]]&amp;"|"&amp;grafico_sol1[[#This Row],[Numero Voltas]]</f>
        <v>0.289583333333333|3</v>
      </c>
    </row>
    <row r="253" spans="12:27" x14ac:dyDescent="0.25">
      <c r="L253" s="60" t="e">
        <f t="shared" si="8"/>
        <v>#N/A</v>
      </c>
      <c r="M253" s="42" t="e">
        <f t="shared" si="9"/>
        <v>#N/A</v>
      </c>
      <c r="U253">
        <v>3</v>
      </c>
      <c r="V253">
        <v>2</v>
      </c>
      <c r="W253" s="20" t="s">
        <v>215</v>
      </c>
      <c r="X253">
        <v>5</v>
      </c>
      <c r="Y253" s="20" t="s">
        <v>127</v>
      </c>
      <c r="Z253" s="7">
        <v>0.28958333333333336</v>
      </c>
      <c r="AA253" s="20" t="str">
        <f>grafico_sol1[[#This Row],[Value]]&amp;"|"&amp;grafico_sol1[[#This Row],[Numero Voltas]]</f>
        <v>0.289583333333333|3</v>
      </c>
    </row>
    <row r="254" spans="12:27" x14ac:dyDescent="0.25">
      <c r="L254" s="60" t="e">
        <f t="shared" si="8"/>
        <v>#N/A</v>
      </c>
      <c r="M254" s="42" t="e">
        <f t="shared" si="9"/>
        <v>#N/A</v>
      </c>
      <c r="U254">
        <v>3</v>
      </c>
      <c r="V254">
        <v>2</v>
      </c>
      <c r="W254" s="20" t="s">
        <v>215</v>
      </c>
      <c r="X254">
        <v>5</v>
      </c>
      <c r="Y254" s="20" t="s">
        <v>126</v>
      </c>
      <c r="Z254" s="7">
        <v>0.28958333333333336</v>
      </c>
      <c r="AA254" s="20" t="str">
        <f>grafico_sol1[[#This Row],[Value]]&amp;"|"&amp;grafico_sol1[[#This Row],[Numero Voltas]]</f>
        <v>0.289583333333333|3</v>
      </c>
    </row>
    <row r="255" spans="12:27" x14ac:dyDescent="0.25">
      <c r="L255" s="60" t="e">
        <f t="shared" si="8"/>
        <v>#N/A</v>
      </c>
      <c r="M255" s="42" t="e">
        <f t="shared" si="9"/>
        <v>#N/A</v>
      </c>
      <c r="U255">
        <v>3</v>
      </c>
      <c r="V255">
        <v>2</v>
      </c>
      <c r="W255" s="20" t="s">
        <v>215</v>
      </c>
      <c r="X255">
        <v>5</v>
      </c>
      <c r="Y255" s="20" t="s">
        <v>127</v>
      </c>
      <c r="Z255" s="7">
        <v>0.28958333333333336</v>
      </c>
      <c r="AA255" s="20" t="str">
        <f>grafico_sol1[[#This Row],[Value]]&amp;"|"&amp;grafico_sol1[[#This Row],[Numero Voltas]]</f>
        <v>0.289583333333333|3</v>
      </c>
    </row>
    <row r="256" spans="12:27" x14ac:dyDescent="0.25">
      <c r="L256" s="60" t="e">
        <f t="shared" si="8"/>
        <v>#N/A</v>
      </c>
      <c r="M256" s="42" t="e">
        <f t="shared" si="9"/>
        <v>#N/A</v>
      </c>
      <c r="U256">
        <v>2</v>
      </c>
      <c r="V256">
        <v>0</v>
      </c>
      <c r="W256" s="20" t="s">
        <v>2</v>
      </c>
      <c r="X256">
        <v>4</v>
      </c>
      <c r="Y256" s="20" t="s">
        <v>126</v>
      </c>
      <c r="Z256" s="7">
        <v>0.29166666666666669</v>
      </c>
      <c r="AA256" s="20" t="str">
        <f>grafico_sol1[[#This Row],[Value]]&amp;"|"&amp;grafico_sol1[[#This Row],[Numero Voltas]]</f>
        <v>0.291666666666667|2</v>
      </c>
    </row>
    <row r="257" spans="12:27" x14ac:dyDescent="0.25">
      <c r="L257" s="60" t="e">
        <f t="shared" si="8"/>
        <v>#N/A</v>
      </c>
      <c r="M257" s="42" t="e">
        <f t="shared" si="9"/>
        <v>#N/A</v>
      </c>
      <c r="U257">
        <v>2</v>
      </c>
      <c r="V257">
        <v>0</v>
      </c>
      <c r="W257" s="20" t="s">
        <v>2</v>
      </c>
      <c r="X257">
        <v>4</v>
      </c>
      <c r="Y257" s="20" t="s">
        <v>127</v>
      </c>
      <c r="Z257" s="7">
        <v>0.29166666666666669</v>
      </c>
      <c r="AA257" s="20" t="str">
        <f>grafico_sol1[[#This Row],[Value]]&amp;"|"&amp;grafico_sol1[[#This Row],[Numero Voltas]]</f>
        <v>0.291666666666667|2</v>
      </c>
    </row>
    <row r="258" spans="12:27" x14ac:dyDescent="0.25">
      <c r="L258" s="60" t="e">
        <f t="shared" si="8"/>
        <v>#N/A</v>
      </c>
      <c r="M258" s="42" t="e">
        <f t="shared" si="9"/>
        <v>#N/A</v>
      </c>
      <c r="U258">
        <v>2</v>
      </c>
      <c r="V258">
        <v>0</v>
      </c>
      <c r="W258" s="20" t="s">
        <v>2</v>
      </c>
      <c r="X258">
        <v>4</v>
      </c>
      <c r="Y258" s="20" t="s">
        <v>126</v>
      </c>
      <c r="Z258" s="7">
        <v>0.29166666666666669</v>
      </c>
      <c r="AA258" s="20" t="str">
        <f>grafico_sol1[[#This Row],[Value]]&amp;"|"&amp;grafico_sol1[[#This Row],[Numero Voltas]]</f>
        <v>0.291666666666667|2</v>
      </c>
    </row>
    <row r="259" spans="12:27" x14ac:dyDescent="0.25">
      <c r="L259" s="60" t="e">
        <f t="shared" si="8"/>
        <v>#N/A</v>
      </c>
      <c r="M259" s="42" t="e">
        <f t="shared" si="9"/>
        <v>#N/A</v>
      </c>
      <c r="U259">
        <v>2</v>
      </c>
      <c r="V259">
        <v>0</v>
      </c>
      <c r="W259" s="20" t="s">
        <v>2</v>
      </c>
      <c r="X259">
        <v>4</v>
      </c>
      <c r="Y259" s="20" t="s">
        <v>127</v>
      </c>
      <c r="Z259" s="7">
        <v>0.29166666666666669</v>
      </c>
      <c r="AA259" s="20" t="str">
        <f>grafico_sol1[[#This Row],[Value]]&amp;"|"&amp;grafico_sol1[[#This Row],[Numero Voltas]]</f>
        <v>0.291666666666667|2</v>
      </c>
    </row>
    <row r="260" spans="12:27" x14ac:dyDescent="0.25">
      <c r="L260" s="60" t="e">
        <f t="shared" si="8"/>
        <v>#N/A</v>
      </c>
      <c r="M260" s="42" t="e">
        <f t="shared" si="9"/>
        <v>#N/A</v>
      </c>
      <c r="U260">
        <v>2</v>
      </c>
      <c r="V260">
        <v>2</v>
      </c>
      <c r="W260" s="20" t="s">
        <v>2</v>
      </c>
      <c r="X260">
        <v>4</v>
      </c>
      <c r="Y260" s="20" t="s">
        <v>127</v>
      </c>
      <c r="Z260" s="7">
        <v>0.29166666666666669</v>
      </c>
      <c r="AA260" s="20" t="str">
        <f>grafico_sol1[[#This Row],[Value]]&amp;"|"&amp;grafico_sol1[[#This Row],[Numero Voltas]]</f>
        <v>0.291666666666667|2</v>
      </c>
    </row>
    <row r="261" spans="12:27" x14ac:dyDescent="0.25">
      <c r="L261" s="60" t="e">
        <f t="shared" si="8"/>
        <v>#N/A</v>
      </c>
      <c r="M261" s="42" t="e">
        <f t="shared" si="9"/>
        <v>#N/A</v>
      </c>
      <c r="U261">
        <v>2</v>
      </c>
      <c r="V261">
        <v>2</v>
      </c>
      <c r="W261" s="20" t="s">
        <v>2</v>
      </c>
      <c r="X261">
        <v>4</v>
      </c>
      <c r="Y261" s="20" t="s">
        <v>126</v>
      </c>
      <c r="Z261" s="7">
        <v>0.29166666666666669</v>
      </c>
      <c r="AA261" s="20" t="str">
        <f>grafico_sol1[[#This Row],[Value]]&amp;"|"&amp;grafico_sol1[[#This Row],[Numero Voltas]]</f>
        <v>0.291666666666667|2</v>
      </c>
    </row>
    <row r="262" spans="12:27" x14ac:dyDescent="0.25">
      <c r="L262" s="60" t="e">
        <f t="shared" si="8"/>
        <v>#N/A</v>
      </c>
      <c r="M262" s="42" t="e">
        <f t="shared" si="9"/>
        <v>#N/A</v>
      </c>
      <c r="U262">
        <v>2</v>
      </c>
      <c r="V262">
        <v>2</v>
      </c>
      <c r="W262" s="20" t="s">
        <v>2</v>
      </c>
      <c r="X262">
        <v>4</v>
      </c>
      <c r="Y262" s="20" t="s">
        <v>127</v>
      </c>
      <c r="Z262" s="7">
        <v>0.29166666666666669</v>
      </c>
      <c r="AA262" s="20" t="str">
        <f>grafico_sol1[[#This Row],[Value]]&amp;"|"&amp;grafico_sol1[[#This Row],[Numero Voltas]]</f>
        <v>0.291666666666667|2</v>
      </c>
    </row>
    <row r="263" spans="12:27" x14ac:dyDescent="0.25">
      <c r="L263" s="60" t="e">
        <f t="shared" si="8"/>
        <v>#N/A</v>
      </c>
      <c r="M263" s="42" t="e">
        <f t="shared" si="9"/>
        <v>#N/A</v>
      </c>
      <c r="U263">
        <v>3</v>
      </c>
      <c r="V263">
        <v>0</v>
      </c>
      <c r="W263" s="20" t="s">
        <v>2</v>
      </c>
      <c r="X263">
        <v>4</v>
      </c>
      <c r="Y263" s="20" t="s">
        <v>126</v>
      </c>
      <c r="Z263" s="7">
        <v>0.29166666666666669</v>
      </c>
      <c r="AA263" s="20" t="str">
        <f>grafico_sol1[[#This Row],[Value]]&amp;"|"&amp;grafico_sol1[[#This Row],[Numero Voltas]]</f>
        <v>0.291666666666667|3</v>
      </c>
    </row>
    <row r="264" spans="12:27" x14ac:dyDescent="0.25">
      <c r="L264" s="60" t="e">
        <f t="shared" si="8"/>
        <v>#N/A</v>
      </c>
      <c r="M264" s="42" t="e">
        <f t="shared" si="9"/>
        <v>#N/A</v>
      </c>
      <c r="U264">
        <v>3</v>
      </c>
      <c r="V264">
        <v>0</v>
      </c>
      <c r="W264" s="20" t="s">
        <v>2</v>
      </c>
      <c r="X264">
        <v>4</v>
      </c>
      <c r="Y264" s="20" t="s">
        <v>127</v>
      </c>
      <c r="Z264" s="7">
        <v>0.29166666666666669</v>
      </c>
      <c r="AA264" s="20" t="str">
        <f>grafico_sol1[[#This Row],[Value]]&amp;"|"&amp;grafico_sol1[[#This Row],[Numero Voltas]]</f>
        <v>0.291666666666667|3</v>
      </c>
    </row>
    <row r="265" spans="12:27" x14ac:dyDescent="0.25">
      <c r="L265" s="60" t="e">
        <f t="shared" si="8"/>
        <v>#N/A</v>
      </c>
      <c r="M265" s="42" t="e">
        <f t="shared" si="9"/>
        <v>#N/A</v>
      </c>
      <c r="U265">
        <v>3</v>
      </c>
      <c r="V265">
        <v>0</v>
      </c>
      <c r="W265" s="20" t="s">
        <v>2</v>
      </c>
      <c r="X265">
        <v>4</v>
      </c>
      <c r="Y265" s="20" t="s">
        <v>126</v>
      </c>
      <c r="Z265" s="7">
        <v>0.29166666666666669</v>
      </c>
      <c r="AA265" s="20" t="str">
        <f>grafico_sol1[[#This Row],[Value]]&amp;"|"&amp;grafico_sol1[[#This Row],[Numero Voltas]]</f>
        <v>0.291666666666667|3</v>
      </c>
    </row>
    <row r="266" spans="12:27" x14ac:dyDescent="0.25">
      <c r="L266" s="60" t="e">
        <f t="shared" si="8"/>
        <v>#N/A</v>
      </c>
      <c r="M266" s="42" t="e">
        <f t="shared" si="9"/>
        <v>#N/A</v>
      </c>
      <c r="U266">
        <v>3</v>
      </c>
      <c r="V266">
        <v>0</v>
      </c>
      <c r="W266" s="20" t="s">
        <v>2</v>
      </c>
      <c r="X266">
        <v>4</v>
      </c>
      <c r="Y266" s="20" t="s">
        <v>127</v>
      </c>
      <c r="Z266" s="7">
        <v>0.29166666666666669</v>
      </c>
      <c r="AA266" s="20" t="str">
        <f>grafico_sol1[[#This Row],[Value]]&amp;"|"&amp;grafico_sol1[[#This Row],[Numero Voltas]]</f>
        <v>0.291666666666667|3</v>
      </c>
    </row>
    <row r="267" spans="12:27" x14ac:dyDescent="0.25">
      <c r="L267" s="60" t="e">
        <f t="shared" si="8"/>
        <v>#N/A</v>
      </c>
      <c r="M267" s="42" t="e">
        <f t="shared" si="9"/>
        <v>#N/A</v>
      </c>
      <c r="U267">
        <v>3</v>
      </c>
      <c r="V267">
        <v>0</v>
      </c>
      <c r="W267" s="20" t="s">
        <v>2</v>
      </c>
      <c r="X267">
        <v>4</v>
      </c>
      <c r="Y267" s="20" t="s">
        <v>126</v>
      </c>
      <c r="Z267" s="7">
        <v>0.29166666666666669</v>
      </c>
      <c r="AA267" s="20" t="str">
        <f>grafico_sol1[[#This Row],[Value]]&amp;"|"&amp;grafico_sol1[[#This Row],[Numero Voltas]]</f>
        <v>0.291666666666667|3</v>
      </c>
    </row>
    <row r="268" spans="12:27" x14ac:dyDescent="0.25">
      <c r="L268" s="60" t="e">
        <f t="shared" si="8"/>
        <v>#N/A</v>
      </c>
      <c r="M268" s="42" t="e">
        <f t="shared" si="9"/>
        <v>#N/A</v>
      </c>
      <c r="U268">
        <v>3</v>
      </c>
      <c r="V268">
        <v>2</v>
      </c>
      <c r="W268" s="20" t="s">
        <v>2</v>
      </c>
      <c r="X268">
        <v>4</v>
      </c>
      <c r="Y268" s="20" t="s">
        <v>126</v>
      </c>
      <c r="Z268" s="7">
        <v>0.29166666666666669</v>
      </c>
      <c r="AA268" s="20" t="str">
        <f>grafico_sol1[[#This Row],[Value]]&amp;"|"&amp;grafico_sol1[[#This Row],[Numero Voltas]]</f>
        <v>0.291666666666667|3</v>
      </c>
    </row>
    <row r="269" spans="12:27" x14ac:dyDescent="0.25">
      <c r="L269" s="60" t="e">
        <f t="shared" si="8"/>
        <v>#N/A</v>
      </c>
      <c r="M269" s="42" t="e">
        <f t="shared" si="9"/>
        <v>#N/A</v>
      </c>
      <c r="U269">
        <v>3</v>
      </c>
      <c r="V269">
        <v>2</v>
      </c>
      <c r="W269" s="20" t="s">
        <v>2</v>
      </c>
      <c r="X269">
        <v>4</v>
      </c>
      <c r="Y269" s="20" t="s">
        <v>127</v>
      </c>
      <c r="Z269" s="7">
        <v>0.29166666666666669</v>
      </c>
      <c r="AA269" s="20" t="str">
        <f>grafico_sol1[[#This Row],[Value]]&amp;"|"&amp;grafico_sol1[[#This Row],[Numero Voltas]]</f>
        <v>0.291666666666667|3</v>
      </c>
    </row>
    <row r="270" spans="12:27" x14ac:dyDescent="0.25">
      <c r="L270" s="60" t="e">
        <f t="shared" si="8"/>
        <v>#N/A</v>
      </c>
      <c r="M270" s="42" t="e">
        <f t="shared" si="9"/>
        <v>#N/A</v>
      </c>
      <c r="U270">
        <v>3</v>
      </c>
      <c r="V270">
        <v>2</v>
      </c>
      <c r="W270" s="20" t="s">
        <v>2</v>
      </c>
      <c r="X270">
        <v>4</v>
      </c>
      <c r="Y270" s="20" t="s">
        <v>126</v>
      </c>
      <c r="Z270" s="7">
        <v>0.29166666666666669</v>
      </c>
      <c r="AA270" s="20" t="str">
        <f>grafico_sol1[[#This Row],[Value]]&amp;"|"&amp;grafico_sol1[[#This Row],[Numero Voltas]]</f>
        <v>0.291666666666667|3</v>
      </c>
    </row>
    <row r="271" spans="12:27" x14ac:dyDescent="0.25">
      <c r="L271" s="60" t="e">
        <f t="shared" si="8"/>
        <v>#N/A</v>
      </c>
      <c r="M271" s="42" t="e">
        <f t="shared" si="9"/>
        <v>#N/A</v>
      </c>
      <c r="U271">
        <v>3</v>
      </c>
      <c r="V271">
        <v>2</v>
      </c>
      <c r="W271" s="20" t="s">
        <v>2</v>
      </c>
      <c r="X271">
        <v>4</v>
      </c>
      <c r="Y271" s="20" t="s">
        <v>127</v>
      </c>
      <c r="Z271" s="7">
        <v>0.29166666666666669</v>
      </c>
      <c r="AA271" s="20" t="str">
        <f>grafico_sol1[[#This Row],[Value]]&amp;"|"&amp;grafico_sol1[[#This Row],[Numero Voltas]]</f>
        <v>0.291666666666667|3</v>
      </c>
    </row>
    <row r="272" spans="12:27" x14ac:dyDescent="0.25">
      <c r="L272" s="60" t="e">
        <f t="shared" si="8"/>
        <v>#N/A</v>
      </c>
      <c r="M272" s="42" t="e">
        <f t="shared" si="9"/>
        <v>#N/A</v>
      </c>
      <c r="U272">
        <v>2</v>
      </c>
      <c r="V272">
        <v>0</v>
      </c>
      <c r="W272" s="20" t="s">
        <v>208</v>
      </c>
      <c r="X272">
        <v>3</v>
      </c>
      <c r="Y272" s="20" t="s">
        <v>126</v>
      </c>
      <c r="Z272" s="7">
        <v>0.2951388888888889</v>
      </c>
      <c r="AA272" s="20" t="str">
        <f>grafico_sol1[[#This Row],[Value]]&amp;"|"&amp;grafico_sol1[[#This Row],[Numero Voltas]]</f>
        <v>0.295138888888889|2</v>
      </c>
    </row>
    <row r="273" spans="12:27" x14ac:dyDescent="0.25">
      <c r="L273" s="60" t="e">
        <f t="shared" si="8"/>
        <v>#N/A</v>
      </c>
      <c r="M273" s="42" t="e">
        <f t="shared" si="9"/>
        <v>#N/A</v>
      </c>
      <c r="U273">
        <v>2</v>
      </c>
      <c r="V273">
        <v>0</v>
      </c>
      <c r="W273" s="20" t="s">
        <v>208</v>
      </c>
      <c r="X273">
        <v>3</v>
      </c>
      <c r="Y273" s="20" t="s">
        <v>127</v>
      </c>
      <c r="Z273" s="7">
        <v>0.2951388888888889</v>
      </c>
      <c r="AA273" s="20" t="str">
        <f>grafico_sol1[[#This Row],[Value]]&amp;"|"&amp;grafico_sol1[[#This Row],[Numero Voltas]]</f>
        <v>0.295138888888889|2</v>
      </c>
    </row>
    <row r="274" spans="12:27" x14ac:dyDescent="0.25">
      <c r="L274" s="60" t="e">
        <f t="shared" si="8"/>
        <v>#N/A</v>
      </c>
      <c r="M274" s="42" t="e">
        <f t="shared" si="9"/>
        <v>#N/A</v>
      </c>
      <c r="U274">
        <v>2</v>
      </c>
      <c r="V274">
        <v>0</v>
      </c>
      <c r="W274" s="20" t="s">
        <v>228</v>
      </c>
      <c r="X274">
        <v>2</v>
      </c>
      <c r="Y274" s="20" t="s">
        <v>126</v>
      </c>
      <c r="Z274" s="7">
        <v>0.29722222222222222</v>
      </c>
      <c r="AA274" s="20" t="str">
        <f>grafico_sol1[[#This Row],[Value]]&amp;"|"&amp;grafico_sol1[[#This Row],[Numero Voltas]]</f>
        <v>0.297222222222222|2</v>
      </c>
    </row>
    <row r="275" spans="12:27" x14ac:dyDescent="0.25">
      <c r="L275" s="60" t="e">
        <f t="shared" si="8"/>
        <v>#N/A</v>
      </c>
      <c r="M275" s="42" t="e">
        <f t="shared" si="9"/>
        <v>#N/A</v>
      </c>
      <c r="U275">
        <v>2</v>
      </c>
      <c r="V275">
        <v>0</v>
      </c>
      <c r="W275" s="20" t="s">
        <v>228</v>
      </c>
      <c r="X275">
        <v>2</v>
      </c>
      <c r="Y275" s="20" t="s">
        <v>127</v>
      </c>
      <c r="Z275" s="7">
        <v>0.29722222222222222</v>
      </c>
      <c r="AA275" s="20" t="str">
        <f>grafico_sol1[[#This Row],[Value]]&amp;"|"&amp;grafico_sol1[[#This Row],[Numero Voltas]]</f>
        <v>0.297222222222222|2</v>
      </c>
    </row>
    <row r="276" spans="12:27" x14ac:dyDescent="0.25">
      <c r="L276" s="60" t="e">
        <f t="shared" si="8"/>
        <v>#N/A</v>
      </c>
      <c r="M276" s="42" t="e">
        <f t="shared" si="9"/>
        <v>#N/A</v>
      </c>
      <c r="U276">
        <v>2</v>
      </c>
      <c r="V276">
        <v>0</v>
      </c>
      <c r="W276" s="20" t="s">
        <v>200</v>
      </c>
      <c r="X276">
        <v>1</v>
      </c>
      <c r="Y276" s="20" t="s">
        <v>126</v>
      </c>
      <c r="Z276" s="7">
        <v>0.29791666666666666</v>
      </c>
      <c r="AA276" s="20" t="str">
        <f>grafico_sol1[[#This Row],[Value]]&amp;"|"&amp;grafico_sol1[[#This Row],[Numero Voltas]]</f>
        <v>0.297916666666667|2</v>
      </c>
    </row>
    <row r="277" spans="12:27" x14ac:dyDescent="0.25">
      <c r="L277" s="60" t="e">
        <f t="shared" si="8"/>
        <v>#N/A</v>
      </c>
      <c r="M277" s="42" t="e">
        <f t="shared" si="9"/>
        <v>#N/A</v>
      </c>
      <c r="U277">
        <v>2</v>
      </c>
      <c r="V277">
        <v>0</v>
      </c>
      <c r="W277" s="20" t="s">
        <v>200</v>
      </c>
      <c r="X277">
        <v>1</v>
      </c>
      <c r="Y277" s="20" t="s">
        <v>127</v>
      </c>
      <c r="Z277" s="7">
        <v>0.29791666666666666</v>
      </c>
      <c r="AA277" s="20" t="str">
        <f>grafico_sol1[[#This Row],[Value]]&amp;"|"&amp;grafico_sol1[[#This Row],[Numero Voltas]]</f>
        <v>0.297916666666667|2</v>
      </c>
    </row>
    <row r="278" spans="12:27" x14ac:dyDescent="0.25">
      <c r="L278" s="60" t="e">
        <f t="shared" si="8"/>
        <v>#N/A</v>
      </c>
      <c r="M278" s="42" t="e">
        <f t="shared" si="9"/>
        <v>#N/A</v>
      </c>
      <c r="U278">
        <v>2</v>
      </c>
      <c r="V278">
        <v>0</v>
      </c>
      <c r="W278" s="20" t="s">
        <v>203</v>
      </c>
      <c r="X278">
        <v>0</v>
      </c>
      <c r="Y278" s="20" t="s">
        <v>126</v>
      </c>
      <c r="Z278" s="7">
        <v>0.29930555555555555</v>
      </c>
      <c r="AA278" s="20" t="str">
        <f>grafico_sol1[[#This Row],[Value]]&amp;"|"&amp;grafico_sol1[[#This Row],[Numero Voltas]]</f>
        <v>0.299305555555556|2</v>
      </c>
    </row>
    <row r="279" spans="12:27" x14ac:dyDescent="0.25">
      <c r="L279" s="60" t="e">
        <f t="shared" si="8"/>
        <v>#N/A</v>
      </c>
      <c r="M279" s="42" t="e">
        <f t="shared" si="9"/>
        <v>#N/A</v>
      </c>
      <c r="U279">
        <v>2</v>
      </c>
      <c r="V279">
        <v>0</v>
      </c>
      <c r="W279" s="20" t="s">
        <v>203</v>
      </c>
      <c r="X279">
        <v>0</v>
      </c>
      <c r="Y279" s="20" t="s">
        <v>127</v>
      </c>
      <c r="Z279" s="7">
        <v>0.29930555555555555</v>
      </c>
      <c r="AA279" s="20" t="str">
        <f>grafico_sol1[[#This Row],[Value]]&amp;"|"&amp;grafico_sol1[[#This Row],[Numero Voltas]]</f>
        <v>0.299305555555556|2</v>
      </c>
    </row>
    <row r="280" spans="12:27" x14ac:dyDescent="0.25">
      <c r="L280" s="60" t="e">
        <f t="shared" si="8"/>
        <v>#N/A</v>
      </c>
      <c r="M280" s="42" t="e">
        <f t="shared" si="9"/>
        <v>#N/A</v>
      </c>
      <c r="U280">
        <v>2</v>
      </c>
      <c r="V280">
        <v>0</v>
      </c>
      <c r="W280" s="20" t="s">
        <v>203</v>
      </c>
      <c r="X280">
        <v>0</v>
      </c>
      <c r="Y280" s="20" t="s">
        <v>126</v>
      </c>
      <c r="Z280" s="7">
        <v>0.29930555555555555</v>
      </c>
      <c r="AA280" s="20" t="str">
        <f>grafico_sol1[[#This Row],[Value]]&amp;"|"&amp;grafico_sol1[[#This Row],[Numero Voltas]]</f>
        <v>0.299305555555556|2</v>
      </c>
    </row>
    <row r="281" spans="12:27" x14ac:dyDescent="0.25">
      <c r="L281" s="60" t="e">
        <f t="shared" si="8"/>
        <v>#N/A</v>
      </c>
      <c r="M281" s="42" t="e">
        <f t="shared" si="9"/>
        <v>#N/A</v>
      </c>
      <c r="U281">
        <v>3</v>
      </c>
      <c r="V281">
        <v>0</v>
      </c>
      <c r="W281" s="20" t="s">
        <v>2</v>
      </c>
      <c r="X281">
        <v>4</v>
      </c>
      <c r="Y281" s="20" t="s">
        <v>127</v>
      </c>
      <c r="Z281" s="7">
        <v>0.30069444444444443</v>
      </c>
      <c r="AA281" s="20" t="str">
        <f>grafico_sol1[[#This Row],[Value]]&amp;"|"&amp;grafico_sol1[[#This Row],[Numero Voltas]]</f>
        <v>0.300694444444444|3</v>
      </c>
    </row>
    <row r="282" spans="12:27" x14ac:dyDescent="0.25">
      <c r="L282" s="60" t="e">
        <f t="shared" si="8"/>
        <v>#N/A</v>
      </c>
      <c r="M282" s="42" t="e">
        <f t="shared" si="9"/>
        <v>#N/A</v>
      </c>
      <c r="U282">
        <v>3</v>
      </c>
      <c r="V282">
        <v>0</v>
      </c>
      <c r="W282" s="20" t="s">
        <v>208</v>
      </c>
      <c r="X282">
        <v>3</v>
      </c>
      <c r="Y282" s="20" t="s">
        <v>126</v>
      </c>
      <c r="Z282" s="7">
        <v>0.30416666666666664</v>
      </c>
      <c r="AA282" s="20" t="str">
        <f>grafico_sol1[[#This Row],[Value]]&amp;"|"&amp;grafico_sol1[[#This Row],[Numero Voltas]]</f>
        <v>0.304166666666667|3</v>
      </c>
    </row>
    <row r="283" spans="12:27" x14ac:dyDescent="0.25">
      <c r="L283" s="60" t="e">
        <f t="shared" si="8"/>
        <v>#N/A</v>
      </c>
      <c r="M283" s="42" t="e">
        <f t="shared" si="9"/>
        <v>#N/A</v>
      </c>
      <c r="U283">
        <v>3</v>
      </c>
      <c r="V283">
        <v>0</v>
      </c>
      <c r="W283" s="20" t="s">
        <v>208</v>
      </c>
      <c r="X283">
        <v>3</v>
      </c>
      <c r="Y283" s="20" t="s">
        <v>127</v>
      </c>
      <c r="Z283" s="7">
        <v>0.30416666666666664</v>
      </c>
      <c r="AA283" s="20" t="str">
        <f>grafico_sol1[[#This Row],[Value]]&amp;"|"&amp;grafico_sol1[[#This Row],[Numero Voltas]]</f>
        <v>0.304166666666667|3</v>
      </c>
    </row>
    <row r="284" spans="12:27" x14ac:dyDescent="0.25">
      <c r="L284" s="60" t="e">
        <f t="shared" si="8"/>
        <v>#N/A</v>
      </c>
      <c r="M284" s="42" t="e">
        <f t="shared" si="9"/>
        <v>#N/A</v>
      </c>
      <c r="U284">
        <v>3</v>
      </c>
      <c r="V284">
        <v>0</v>
      </c>
      <c r="W284" s="20" t="s">
        <v>228</v>
      </c>
      <c r="X284">
        <v>2</v>
      </c>
      <c r="Y284" s="20" t="s">
        <v>126</v>
      </c>
      <c r="Z284" s="7">
        <v>0.30625000000000002</v>
      </c>
      <c r="AA284" s="20" t="str">
        <f>grafico_sol1[[#This Row],[Value]]&amp;"|"&amp;grafico_sol1[[#This Row],[Numero Voltas]]</f>
        <v>0.30625|3</v>
      </c>
    </row>
    <row r="285" spans="12:27" x14ac:dyDescent="0.25">
      <c r="L285" s="60" t="e">
        <f t="shared" si="8"/>
        <v>#N/A</v>
      </c>
      <c r="M285" s="42" t="e">
        <f t="shared" si="9"/>
        <v>#N/A</v>
      </c>
      <c r="U285">
        <v>3</v>
      </c>
      <c r="V285">
        <v>0</v>
      </c>
      <c r="W285" s="20" t="s">
        <v>228</v>
      </c>
      <c r="X285">
        <v>2</v>
      </c>
      <c r="Y285" s="20" t="s">
        <v>127</v>
      </c>
      <c r="Z285" s="7">
        <v>0.30625000000000002</v>
      </c>
      <c r="AA285" s="20" t="str">
        <f>grafico_sol1[[#This Row],[Value]]&amp;"|"&amp;grafico_sol1[[#This Row],[Numero Voltas]]</f>
        <v>0.30625|3</v>
      </c>
    </row>
    <row r="286" spans="12:27" x14ac:dyDescent="0.25">
      <c r="L286" s="60" t="e">
        <f t="shared" si="8"/>
        <v>#N/A</v>
      </c>
      <c r="M286" s="42" t="e">
        <f t="shared" si="9"/>
        <v>#N/A</v>
      </c>
      <c r="U286">
        <v>3</v>
      </c>
      <c r="V286">
        <v>0</v>
      </c>
      <c r="W286" s="20" t="s">
        <v>200</v>
      </c>
      <c r="X286">
        <v>1</v>
      </c>
      <c r="Y286" s="20" t="s">
        <v>126</v>
      </c>
      <c r="Z286" s="7">
        <v>0.30694444444444446</v>
      </c>
      <c r="AA286" s="20" t="str">
        <f>grafico_sol1[[#This Row],[Value]]&amp;"|"&amp;grafico_sol1[[#This Row],[Numero Voltas]]</f>
        <v>0.306944444444444|3</v>
      </c>
    </row>
    <row r="287" spans="12:27" x14ac:dyDescent="0.25">
      <c r="L287" s="60" t="e">
        <f t="shared" si="8"/>
        <v>#N/A</v>
      </c>
      <c r="M287" s="42" t="e">
        <f t="shared" si="9"/>
        <v>#N/A</v>
      </c>
      <c r="U287">
        <v>3</v>
      </c>
      <c r="V287">
        <v>0</v>
      </c>
      <c r="W287" s="20" t="s">
        <v>200</v>
      </c>
      <c r="X287">
        <v>1</v>
      </c>
      <c r="Y287" s="20" t="s">
        <v>127</v>
      </c>
      <c r="Z287" s="7">
        <v>0.30694444444444446</v>
      </c>
      <c r="AA287" s="20" t="str">
        <f>grafico_sol1[[#This Row],[Value]]&amp;"|"&amp;grafico_sol1[[#This Row],[Numero Voltas]]</f>
        <v>0.306944444444444|3</v>
      </c>
    </row>
    <row r="288" spans="12:27" x14ac:dyDescent="0.25">
      <c r="L288" s="60" t="e">
        <f t="shared" si="8"/>
        <v>#N/A</v>
      </c>
      <c r="M288" s="42" t="e">
        <f t="shared" si="9"/>
        <v>#N/A</v>
      </c>
      <c r="U288">
        <v>3</v>
      </c>
      <c r="V288">
        <v>0</v>
      </c>
      <c r="W288" s="20" t="s">
        <v>203</v>
      </c>
      <c r="X288">
        <v>0</v>
      </c>
      <c r="Y288" s="20" t="s">
        <v>126</v>
      </c>
      <c r="Z288" s="7">
        <v>0.30833333333333335</v>
      </c>
      <c r="AA288" s="20" t="str">
        <f>grafico_sol1[[#This Row],[Value]]&amp;"|"&amp;grafico_sol1[[#This Row],[Numero Voltas]]</f>
        <v>0.308333333333333|3</v>
      </c>
    </row>
    <row r="289" spans="12:27" x14ac:dyDescent="0.25">
      <c r="L289" s="60" t="e">
        <f t="shared" si="8"/>
        <v>#N/A</v>
      </c>
      <c r="M289" s="42" t="e">
        <f t="shared" si="9"/>
        <v>#N/A</v>
      </c>
      <c r="U289">
        <v>3</v>
      </c>
      <c r="V289">
        <v>0</v>
      </c>
      <c r="W289" s="20" t="s">
        <v>203</v>
      </c>
      <c r="X289">
        <v>0</v>
      </c>
      <c r="Y289" s="20" t="s">
        <v>127</v>
      </c>
      <c r="Z289" s="7">
        <v>0.30833333333333335</v>
      </c>
      <c r="AA289" s="20" t="str">
        <f>grafico_sol1[[#This Row],[Value]]&amp;"|"&amp;grafico_sol1[[#This Row],[Numero Voltas]]</f>
        <v>0.308333333333333|3</v>
      </c>
    </row>
    <row r="290" spans="12:27" x14ac:dyDescent="0.25">
      <c r="L290" s="60" t="e">
        <f t="shared" si="8"/>
        <v>#N/A</v>
      </c>
      <c r="M290" s="42" t="e">
        <f t="shared" si="9"/>
        <v>#N/A</v>
      </c>
      <c r="U290">
        <v>3</v>
      </c>
      <c r="V290">
        <v>0</v>
      </c>
      <c r="W290" s="20" t="s">
        <v>203</v>
      </c>
      <c r="X290">
        <v>0</v>
      </c>
      <c r="Y290" s="20" t="s">
        <v>126</v>
      </c>
      <c r="Z290" s="7">
        <v>0.30833333333333335</v>
      </c>
      <c r="AA290" s="20" t="str">
        <f>grafico_sol1[[#This Row],[Value]]&amp;"|"&amp;grafico_sol1[[#This Row],[Numero Voltas]]</f>
        <v>0.308333333333333|3</v>
      </c>
    </row>
    <row r="291" spans="12:27" x14ac:dyDescent="0.25">
      <c r="L291" s="60" t="e">
        <f t="shared" si="8"/>
        <v>#N/A</v>
      </c>
      <c r="M291" s="42" t="e">
        <f t="shared" si="9"/>
        <v>#N/A</v>
      </c>
      <c r="U291">
        <v>3</v>
      </c>
      <c r="V291">
        <v>0</v>
      </c>
      <c r="W291" s="20" t="s">
        <v>203</v>
      </c>
      <c r="X291">
        <v>0</v>
      </c>
      <c r="Y291" s="20" t="s">
        <v>127</v>
      </c>
      <c r="Z291" s="7">
        <v>0.30833333333333335</v>
      </c>
      <c r="AA291" s="20" t="str">
        <f>grafico_sol1[[#This Row],[Value]]&amp;"|"&amp;grafico_sol1[[#This Row],[Numero Voltas]]</f>
        <v>0.308333333333333|3</v>
      </c>
    </row>
    <row r="292" spans="12:27" x14ac:dyDescent="0.25">
      <c r="L292" s="60" t="e">
        <f t="shared" si="8"/>
        <v>#N/A</v>
      </c>
      <c r="M292" s="42" t="e">
        <f t="shared" si="9"/>
        <v>#N/A</v>
      </c>
      <c r="U292">
        <v>3</v>
      </c>
      <c r="V292">
        <v>0</v>
      </c>
      <c r="W292" s="20" t="s">
        <v>200</v>
      </c>
      <c r="X292">
        <v>1</v>
      </c>
      <c r="Y292" s="20" t="s">
        <v>126</v>
      </c>
      <c r="Z292" s="7">
        <v>0.30972222222222223</v>
      </c>
      <c r="AA292" s="20" t="str">
        <f>grafico_sol1[[#This Row],[Value]]&amp;"|"&amp;grafico_sol1[[#This Row],[Numero Voltas]]</f>
        <v>0.309722222222222|3</v>
      </c>
    </row>
    <row r="293" spans="12:27" x14ac:dyDescent="0.25">
      <c r="L293" s="60" t="e">
        <f t="shared" si="8"/>
        <v>#N/A</v>
      </c>
      <c r="M293" s="42" t="e">
        <f t="shared" si="9"/>
        <v>#N/A</v>
      </c>
      <c r="U293">
        <v>3</v>
      </c>
      <c r="V293">
        <v>0</v>
      </c>
      <c r="W293" s="20" t="s">
        <v>200</v>
      </c>
      <c r="X293">
        <v>1</v>
      </c>
      <c r="Y293" s="20" t="s">
        <v>127</v>
      </c>
      <c r="Z293" s="7">
        <v>0.30972222222222223</v>
      </c>
      <c r="AA293" s="20" t="str">
        <f>grafico_sol1[[#This Row],[Value]]&amp;"|"&amp;grafico_sol1[[#This Row],[Numero Voltas]]</f>
        <v>0.309722222222222|3</v>
      </c>
    </row>
    <row r="294" spans="12:27" x14ac:dyDescent="0.25">
      <c r="L294" s="60" t="e">
        <f t="shared" si="8"/>
        <v>#N/A</v>
      </c>
      <c r="M294" s="42" t="e">
        <f t="shared" si="9"/>
        <v>#N/A</v>
      </c>
      <c r="U294">
        <v>3</v>
      </c>
      <c r="V294">
        <v>0</v>
      </c>
      <c r="W294" s="20" t="s">
        <v>228</v>
      </c>
      <c r="X294">
        <v>2</v>
      </c>
      <c r="Y294" s="20" t="s">
        <v>126</v>
      </c>
      <c r="Z294" s="7">
        <v>0.31041666666666667</v>
      </c>
      <c r="AA294" s="20" t="str">
        <f>grafico_sol1[[#This Row],[Value]]&amp;"|"&amp;grafico_sol1[[#This Row],[Numero Voltas]]</f>
        <v>0.310416666666667|3</v>
      </c>
    </row>
    <row r="295" spans="12:27" x14ac:dyDescent="0.25">
      <c r="L295" s="60" t="e">
        <f t="shared" si="8"/>
        <v>#N/A</v>
      </c>
      <c r="M295" s="42" t="e">
        <f t="shared" si="9"/>
        <v>#N/A</v>
      </c>
      <c r="U295">
        <v>3</v>
      </c>
      <c r="V295">
        <v>0</v>
      </c>
      <c r="W295" s="20" t="s">
        <v>228</v>
      </c>
      <c r="X295">
        <v>2</v>
      </c>
      <c r="Y295" s="20" t="s">
        <v>127</v>
      </c>
      <c r="Z295" s="7">
        <v>0.31041666666666667</v>
      </c>
      <c r="AA295" s="20" t="str">
        <f>grafico_sol1[[#This Row],[Value]]&amp;"|"&amp;grafico_sol1[[#This Row],[Numero Voltas]]</f>
        <v>0.310416666666667|3</v>
      </c>
    </row>
    <row r="296" spans="12:27" x14ac:dyDescent="0.25">
      <c r="L296" s="60" t="e">
        <f t="shared" si="8"/>
        <v>#N/A</v>
      </c>
      <c r="M296" s="42" t="e">
        <f t="shared" si="9"/>
        <v>#N/A</v>
      </c>
      <c r="U296">
        <v>3</v>
      </c>
      <c r="V296">
        <v>0</v>
      </c>
      <c r="W296" s="20" t="s">
        <v>208</v>
      </c>
      <c r="X296">
        <v>3</v>
      </c>
      <c r="Y296" s="20" t="s">
        <v>126</v>
      </c>
      <c r="Z296" s="7">
        <v>0.3125</v>
      </c>
      <c r="AA296" s="20" t="str">
        <f>grafico_sol1[[#This Row],[Value]]&amp;"|"&amp;grafico_sol1[[#This Row],[Numero Voltas]]</f>
        <v>0.3125|3</v>
      </c>
    </row>
    <row r="297" spans="12:27" x14ac:dyDescent="0.25">
      <c r="L297" s="60" t="e">
        <f t="shared" si="8"/>
        <v>#N/A</v>
      </c>
      <c r="M297" s="42" t="e">
        <f t="shared" si="9"/>
        <v>#N/A</v>
      </c>
      <c r="U297">
        <v>3</v>
      </c>
      <c r="V297">
        <v>0</v>
      </c>
      <c r="W297" s="20" t="s">
        <v>208</v>
      </c>
      <c r="X297">
        <v>3</v>
      </c>
      <c r="Y297" s="20" t="s">
        <v>127</v>
      </c>
      <c r="Z297" s="7">
        <v>0.3125</v>
      </c>
      <c r="AA297" s="20" t="str">
        <f>grafico_sol1[[#This Row],[Value]]&amp;"|"&amp;grafico_sol1[[#This Row],[Numero Voltas]]</f>
        <v>0.3125|3</v>
      </c>
    </row>
    <row r="298" spans="12:27" x14ac:dyDescent="0.25">
      <c r="L298" s="60" t="e">
        <f t="shared" si="8"/>
        <v>#N/A</v>
      </c>
      <c r="M298" s="42" t="e">
        <f t="shared" si="9"/>
        <v>#N/A</v>
      </c>
      <c r="U298">
        <v>3</v>
      </c>
      <c r="V298">
        <v>0</v>
      </c>
      <c r="W298" s="20" t="s">
        <v>2</v>
      </c>
      <c r="X298">
        <v>4</v>
      </c>
      <c r="Y298" s="20" t="s">
        <v>126</v>
      </c>
      <c r="Z298" s="7">
        <v>0.31597222222222221</v>
      </c>
      <c r="AA298" s="20" t="str">
        <f>grafico_sol1[[#This Row],[Value]]&amp;"|"&amp;grafico_sol1[[#This Row],[Numero Voltas]]</f>
        <v>0.315972222222222|3</v>
      </c>
    </row>
    <row r="299" spans="12:27" x14ac:dyDescent="0.25">
      <c r="L299" s="60" t="e">
        <f t="shared" si="8"/>
        <v>#N/A</v>
      </c>
      <c r="M299" s="42" t="e">
        <f t="shared" si="9"/>
        <v>#N/A</v>
      </c>
      <c r="U299">
        <v>3</v>
      </c>
      <c r="V299">
        <v>0</v>
      </c>
      <c r="W299" s="20" t="s">
        <v>2</v>
      </c>
      <c r="X299">
        <v>4</v>
      </c>
      <c r="Y299" s="20" t="s">
        <v>127</v>
      </c>
      <c r="Z299" s="7">
        <v>0.31597222222222221</v>
      </c>
      <c r="AA299" s="20" t="str">
        <f>grafico_sol1[[#This Row],[Value]]&amp;"|"&amp;grafico_sol1[[#This Row],[Numero Voltas]]</f>
        <v>0.315972222222222|3</v>
      </c>
    </row>
    <row r="300" spans="12:27" x14ac:dyDescent="0.25">
      <c r="L300" s="60" t="e">
        <f t="shared" si="8"/>
        <v>#N/A</v>
      </c>
      <c r="M300" s="42" t="e">
        <f t="shared" si="9"/>
        <v>#N/A</v>
      </c>
      <c r="U300">
        <v>3</v>
      </c>
      <c r="V300">
        <v>0</v>
      </c>
      <c r="W300" s="20" t="s">
        <v>2</v>
      </c>
      <c r="X300">
        <v>4</v>
      </c>
      <c r="Y300" s="20" t="s">
        <v>126</v>
      </c>
      <c r="Z300" s="7">
        <v>0.31597222222222221</v>
      </c>
      <c r="AA300" s="20" t="str">
        <f>grafico_sol1[[#This Row],[Value]]&amp;"|"&amp;grafico_sol1[[#This Row],[Numero Voltas]]</f>
        <v>0.315972222222222|3</v>
      </c>
    </row>
    <row r="301" spans="12:27" x14ac:dyDescent="0.25">
      <c r="L301" s="60" t="e">
        <f t="shared" si="8"/>
        <v>#N/A</v>
      </c>
      <c r="M301" s="42" t="e">
        <f t="shared" si="9"/>
        <v>#N/A</v>
      </c>
      <c r="U301">
        <v>2</v>
      </c>
      <c r="V301">
        <v>0</v>
      </c>
      <c r="W301" s="20" t="s">
        <v>203</v>
      </c>
      <c r="X301">
        <v>0</v>
      </c>
      <c r="Y301" s="20" t="s">
        <v>127</v>
      </c>
      <c r="Z301" s="7">
        <v>0.32013888888888886</v>
      </c>
      <c r="AA301" s="20" t="str">
        <f>grafico_sol1[[#This Row],[Value]]&amp;"|"&amp;grafico_sol1[[#This Row],[Numero Voltas]]</f>
        <v>0.320138888888889|2</v>
      </c>
    </row>
    <row r="302" spans="12:27" x14ac:dyDescent="0.25">
      <c r="L302" s="60" t="e">
        <f t="shared" si="8"/>
        <v>#N/A</v>
      </c>
      <c r="M302" s="42" t="e">
        <f t="shared" si="9"/>
        <v>#N/A</v>
      </c>
      <c r="U302">
        <v>2</v>
      </c>
      <c r="V302">
        <v>0</v>
      </c>
      <c r="W302" s="20" t="s">
        <v>203</v>
      </c>
      <c r="X302">
        <v>0</v>
      </c>
      <c r="Y302" s="20" t="s">
        <v>126</v>
      </c>
      <c r="Z302" s="7">
        <v>0.32013888888888886</v>
      </c>
      <c r="AA302" s="20" t="str">
        <f>grafico_sol1[[#This Row],[Value]]&amp;"|"&amp;grafico_sol1[[#This Row],[Numero Voltas]]</f>
        <v>0.320138888888889|2</v>
      </c>
    </row>
    <row r="303" spans="12:27" x14ac:dyDescent="0.25">
      <c r="L303" s="60" t="e">
        <f t="shared" si="8"/>
        <v>#N/A</v>
      </c>
      <c r="M303" s="42" t="e">
        <f t="shared" si="9"/>
        <v>#N/A</v>
      </c>
      <c r="U303">
        <v>2</v>
      </c>
      <c r="V303">
        <v>0</v>
      </c>
      <c r="W303" s="20" t="s">
        <v>203</v>
      </c>
      <c r="X303">
        <v>0</v>
      </c>
      <c r="Y303" s="20" t="s">
        <v>127</v>
      </c>
      <c r="Z303" s="7">
        <v>0.32013888888888886</v>
      </c>
      <c r="AA303" s="20" t="str">
        <f>grafico_sol1[[#This Row],[Value]]&amp;"|"&amp;grafico_sol1[[#This Row],[Numero Voltas]]</f>
        <v>0.320138888888889|2</v>
      </c>
    </row>
    <row r="304" spans="12:27" x14ac:dyDescent="0.25">
      <c r="L304" s="60" t="e">
        <f t="shared" si="8"/>
        <v>#N/A</v>
      </c>
      <c r="M304" s="42" t="e">
        <f t="shared" si="9"/>
        <v>#N/A</v>
      </c>
      <c r="U304">
        <v>2</v>
      </c>
      <c r="V304">
        <v>0</v>
      </c>
      <c r="W304" s="20" t="s">
        <v>200</v>
      </c>
      <c r="X304">
        <v>1</v>
      </c>
      <c r="Y304" s="20" t="s">
        <v>126</v>
      </c>
      <c r="Z304" s="7">
        <v>0.3215277777777778</v>
      </c>
      <c r="AA304" s="20" t="str">
        <f>grafico_sol1[[#This Row],[Value]]&amp;"|"&amp;grafico_sol1[[#This Row],[Numero Voltas]]</f>
        <v>0.321527777777778|2</v>
      </c>
    </row>
    <row r="305" spans="12:27" x14ac:dyDescent="0.25">
      <c r="L305" s="60" t="e">
        <f t="shared" si="8"/>
        <v>#N/A</v>
      </c>
      <c r="M305" s="42" t="e">
        <f t="shared" si="9"/>
        <v>#N/A</v>
      </c>
      <c r="U305">
        <v>2</v>
      </c>
      <c r="V305">
        <v>0</v>
      </c>
      <c r="W305" s="20" t="s">
        <v>200</v>
      </c>
      <c r="X305">
        <v>1</v>
      </c>
      <c r="Y305" s="20" t="s">
        <v>127</v>
      </c>
      <c r="Z305" s="7">
        <v>0.3215277777777778</v>
      </c>
      <c r="AA305" s="20" t="str">
        <f>grafico_sol1[[#This Row],[Value]]&amp;"|"&amp;grafico_sol1[[#This Row],[Numero Voltas]]</f>
        <v>0.321527777777778|2</v>
      </c>
    </row>
    <row r="306" spans="12:27" x14ac:dyDescent="0.25">
      <c r="L306" s="60" t="e">
        <f t="shared" si="8"/>
        <v>#N/A</v>
      </c>
      <c r="M306" s="42" t="e">
        <f t="shared" si="9"/>
        <v>#N/A</v>
      </c>
      <c r="U306">
        <v>2</v>
      </c>
      <c r="V306">
        <v>0</v>
      </c>
      <c r="W306" s="20" t="s">
        <v>200</v>
      </c>
      <c r="X306">
        <v>1</v>
      </c>
      <c r="Y306" s="20" t="s">
        <v>126</v>
      </c>
      <c r="Z306" s="7">
        <v>0.3215277777777778</v>
      </c>
      <c r="AA306" s="20" t="str">
        <f>grafico_sol1[[#This Row],[Value]]&amp;"|"&amp;grafico_sol1[[#This Row],[Numero Voltas]]</f>
        <v>0.321527777777778|2</v>
      </c>
    </row>
    <row r="307" spans="12:27" x14ac:dyDescent="0.25">
      <c r="L307" s="60" t="e">
        <f t="shared" si="8"/>
        <v>#N/A</v>
      </c>
      <c r="M307" s="42" t="e">
        <f t="shared" si="9"/>
        <v>#N/A</v>
      </c>
      <c r="U307">
        <v>2</v>
      </c>
      <c r="V307">
        <v>0</v>
      </c>
      <c r="W307" s="20" t="s">
        <v>200</v>
      </c>
      <c r="X307">
        <v>1</v>
      </c>
      <c r="Y307" s="20" t="s">
        <v>127</v>
      </c>
      <c r="Z307" s="7">
        <v>0.32430555555555557</v>
      </c>
      <c r="AA307" s="20" t="str">
        <f>grafico_sol1[[#This Row],[Value]]&amp;"|"&amp;grafico_sol1[[#This Row],[Numero Voltas]]</f>
        <v>0.324305555555556|2</v>
      </c>
    </row>
    <row r="308" spans="12:27" x14ac:dyDescent="0.25">
      <c r="L308" s="60" t="e">
        <f t="shared" si="8"/>
        <v>#N/A</v>
      </c>
      <c r="M308" s="42" t="e">
        <f t="shared" si="9"/>
        <v>#N/A</v>
      </c>
      <c r="U308">
        <v>2</v>
      </c>
      <c r="V308">
        <v>0</v>
      </c>
      <c r="W308" s="20" t="s">
        <v>228</v>
      </c>
      <c r="X308">
        <v>2</v>
      </c>
      <c r="Y308" s="20" t="s">
        <v>126</v>
      </c>
      <c r="Z308" s="7">
        <v>0.32500000000000001</v>
      </c>
      <c r="AA308" s="20" t="str">
        <f>grafico_sol1[[#This Row],[Value]]&amp;"|"&amp;grafico_sol1[[#This Row],[Numero Voltas]]</f>
        <v>0.325|2</v>
      </c>
    </row>
    <row r="309" spans="12:27" x14ac:dyDescent="0.25">
      <c r="L309" s="60" t="e">
        <f t="shared" si="8"/>
        <v>#N/A</v>
      </c>
      <c r="M309" s="42" t="e">
        <f t="shared" si="9"/>
        <v>#N/A</v>
      </c>
      <c r="U309">
        <v>2</v>
      </c>
      <c r="V309">
        <v>0</v>
      </c>
      <c r="W309" s="20" t="s">
        <v>228</v>
      </c>
      <c r="X309">
        <v>2</v>
      </c>
      <c r="Y309" s="20" t="s">
        <v>127</v>
      </c>
      <c r="Z309" s="7">
        <v>0.32500000000000001</v>
      </c>
      <c r="AA309" s="20" t="str">
        <f>grafico_sol1[[#This Row],[Value]]&amp;"|"&amp;grafico_sol1[[#This Row],[Numero Voltas]]</f>
        <v>0.325|2</v>
      </c>
    </row>
    <row r="310" spans="12:27" x14ac:dyDescent="0.25">
      <c r="L310" s="60" t="e">
        <f t="shared" si="8"/>
        <v>#N/A</v>
      </c>
      <c r="M310" s="42" t="e">
        <f t="shared" si="9"/>
        <v>#N/A</v>
      </c>
      <c r="U310">
        <v>2</v>
      </c>
      <c r="V310">
        <v>0</v>
      </c>
      <c r="W310" s="20" t="s">
        <v>228</v>
      </c>
      <c r="X310">
        <v>2</v>
      </c>
      <c r="Y310" s="20" t="s">
        <v>126</v>
      </c>
      <c r="Z310" s="7">
        <v>0.32500000000000001</v>
      </c>
      <c r="AA310" s="20" t="str">
        <f>grafico_sol1[[#This Row],[Value]]&amp;"|"&amp;grafico_sol1[[#This Row],[Numero Voltas]]</f>
        <v>0.325|2</v>
      </c>
    </row>
    <row r="311" spans="12:27" x14ac:dyDescent="0.25">
      <c r="L311" s="60" t="e">
        <f t="shared" ref="L311:L374" si="10">IF(Q311&lt;&gt;"",Q311,#N/A)</f>
        <v>#N/A</v>
      </c>
      <c r="M311" s="42" t="e">
        <f t="shared" ref="M311:M374" si="11">IF(R311&lt;&gt;"",R311,#N/A)</f>
        <v>#N/A</v>
      </c>
      <c r="U311">
        <v>3</v>
      </c>
      <c r="V311">
        <v>0</v>
      </c>
      <c r="W311" s="20" t="s">
        <v>2</v>
      </c>
      <c r="X311">
        <v>4</v>
      </c>
      <c r="Y311" s="20" t="s">
        <v>127</v>
      </c>
      <c r="Z311" s="7">
        <v>0.3347222222222222</v>
      </c>
      <c r="AA311" s="20" t="str">
        <f>grafico_sol1[[#This Row],[Value]]&amp;"|"&amp;grafico_sol1[[#This Row],[Numero Voltas]]</f>
        <v>0.334722222222222|3</v>
      </c>
    </row>
    <row r="312" spans="12:27" x14ac:dyDescent="0.25">
      <c r="L312" s="60" t="e">
        <f t="shared" si="10"/>
        <v>#N/A</v>
      </c>
      <c r="M312" s="42" t="e">
        <f t="shared" si="11"/>
        <v>#N/A</v>
      </c>
      <c r="U312">
        <v>3</v>
      </c>
      <c r="V312">
        <v>0</v>
      </c>
      <c r="W312" s="20" t="s">
        <v>215</v>
      </c>
      <c r="X312">
        <v>5</v>
      </c>
      <c r="Y312" s="20" t="s">
        <v>126</v>
      </c>
      <c r="Z312" s="7">
        <v>0.33611111111111114</v>
      </c>
      <c r="AA312" s="20" t="str">
        <f>grafico_sol1[[#This Row],[Value]]&amp;"|"&amp;grafico_sol1[[#This Row],[Numero Voltas]]</f>
        <v>0.336111111111111|3</v>
      </c>
    </row>
    <row r="313" spans="12:27" x14ac:dyDescent="0.25">
      <c r="L313" s="60" t="e">
        <f t="shared" si="10"/>
        <v>#N/A</v>
      </c>
      <c r="M313" s="42" t="e">
        <f t="shared" si="11"/>
        <v>#N/A</v>
      </c>
      <c r="U313">
        <v>3</v>
      </c>
      <c r="V313">
        <v>0</v>
      </c>
      <c r="W313" s="20" t="s">
        <v>215</v>
      </c>
      <c r="X313">
        <v>5</v>
      </c>
      <c r="Y313" s="20" t="s">
        <v>127</v>
      </c>
      <c r="Z313" s="7">
        <v>0.33611111111111114</v>
      </c>
      <c r="AA313" s="20" t="str">
        <f>grafico_sol1[[#This Row],[Value]]&amp;"|"&amp;grafico_sol1[[#This Row],[Numero Voltas]]</f>
        <v>0.336111111111111|3</v>
      </c>
    </row>
    <row r="314" spans="12:27" x14ac:dyDescent="0.25">
      <c r="L314" s="60" t="e">
        <f t="shared" si="10"/>
        <v>#N/A</v>
      </c>
      <c r="M314" s="42" t="e">
        <f t="shared" si="11"/>
        <v>#N/A</v>
      </c>
      <c r="U314">
        <v>2</v>
      </c>
      <c r="V314">
        <v>0</v>
      </c>
      <c r="W314" s="20" t="s">
        <v>228</v>
      </c>
      <c r="X314">
        <v>2</v>
      </c>
      <c r="Y314" s="20" t="s">
        <v>127</v>
      </c>
      <c r="Z314" s="7">
        <v>0.33750000000000002</v>
      </c>
      <c r="AA314" s="20" t="str">
        <f>grafico_sol1[[#This Row],[Value]]&amp;"|"&amp;grafico_sol1[[#This Row],[Numero Voltas]]</f>
        <v>0.3375|2</v>
      </c>
    </row>
    <row r="315" spans="12:27" x14ac:dyDescent="0.25">
      <c r="L315" s="60" t="e">
        <f t="shared" si="10"/>
        <v>#N/A</v>
      </c>
      <c r="M315" s="42" t="e">
        <f t="shared" si="11"/>
        <v>#N/A</v>
      </c>
      <c r="U315">
        <v>3</v>
      </c>
      <c r="V315">
        <v>0</v>
      </c>
      <c r="W315" s="20" t="s">
        <v>300</v>
      </c>
      <c r="X315">
        <v>6</v>
      </c>
      <c r="Y315" s="20" t="s">
        <v>126</v>
      </c>
      <c r="Z315" s="7">
        <v>0.33888888888888891</v>
      </c>
      <c r="AA315" s="20" t="str">
        <f>grafico_sol1[[#This Row],[Value]]&amp;"|"&amp;grafico_sol1[[#This Row],[Numero Voltas]]</f>
        <v>0.338888888888889|3</v>
      </c>
    </row>
    <row r="316" spans="12:27" x14ac:dyDescent="0.25">
      <c r="L316" s="60" t="e">
        <f t="shared" si="10"/>
        <v>#N/A</v>
      </c>
      <c r="M316" s="42" t="e">
        <f t="shared" si="11"/>
        <v>#N/A</v>
      </c>
      <c r="U316">
        <v>3</v>
      </c>
      <c r="V316">
        <v>0</v>
      </c>
      <c r="W316" s="20" t="s">
        <v>300</v>
      </c>
      <c r="X316">
        <v>6</v>
      </c>
      <c r="Y316" s="20" t="s">
        <v>127</v>
      </c>
      <c r="Z316" s="7">
        <v>0.33888888888888891</v>
      </c>
      <c r="AA316" s="20" t="str">
        <f>grafico_sol1[[#This Row],[Value]]&amp;"|"&amp;grafico_sol1[[#This Row],[Numero Voltas]]</f>
        <v>0.338888888888889|3</v>
      </c>
    </row>
    <row r="317" spans="12:27" x14ac:dyDescent="0.25">
      <c r="L317" s="60" t="e">
        <f t="shared" si="10"/>
        <v>#N/A</v>
      </c>
      <c r="M317" s="42" t="e">
        <f t="shared" si="11"/>
        <v>#N/A</v>
      </c>
      <c r="U317">
        <v>2</v>
      </c>
      <c r="V317">
        <v>0</v>
      </c>
      <c r="W317" s="20" t="s">
        <v>208</v>
      </c>
      <c r="X317">
        <v>3</v>
      </c>
      <c r="Y317" s="20" t="s">
        <v>126</v>
      </c>
      <c r="Z317" s="7">
        <v>0.33958333333333335</v>
      </c>
      <c r="AA317" s="20" t="str">
        <f>grafico_sol1[[#This Row],[Value]]&amp;"|"&amp;grafico_sol1[[#This Row],[Numero Voltas]]</f>
        <v>0.339583333333333|2</v>
      </c>
    </row>
    <row r="318" spans="12:27" x14ac:dyDescent="0.25">
      <c r="L318" s="60" t="e">
        <f t="shared" si="10"/>
        <v>#N/A</v>
      </c>
      <c r="M318" s="42" t="e">
        <f t="shared" si="11"/>
        <v>#N/A</v>
      </c>
      <c r="U318">
        <v>2</v>
      </c>
      <c r="V318">
        <v>0</v>
      </c>
      <c r="W318" s="20" t="s">
        <v>208</v>
      </c>
      <c r="X318">
        <v>3</v>
      </c>
      <c r="Y318" s="20" t="s">
        <v>127</v>
      </c>
      <c r="Z318" s="7">
        <v>0.33958333333333335</v>
      </c>
      <c r="AA318" s="20" t="str">
        <f>grafico_sol1[[#This Row],[Value]]&amp;"|"&amp;grafico_sol1[[#This Row],[Numero Voltas]]</f>
        <v>0.339583333333333|2</v>
      </c>
    </row>
    <row r="319" spans="12:27" x14ac:dyDescent="0.25">
      <c r="L319" s="60" t="e">
        <f t="shared" si="10"/>
        <v>#N/A</v>
      </c>
      <c r="M319" s="42" t="e">
        <f t="shared" si="11"/>
        <v>#N/A</v>
      </c>
      <c r="U319">
        <v>3</v>
      </c>
      <c r="V319">
        <v>0</v>
      </c>
      <c r="W319" s="20" t="s">
        <v>301</v>
      </c>
      <c r="X319">
        <v>7</v>
      </c>
      <c r="Y319" s="20" t="s">
        <v>126</v>
      </c>
      <c r="Z319" s="7">
        <v>0.34166666666666667</v>
      </c>
      <c r="AA319" s="20" t="str">
        <f>grafico_sol1[[#This Row],[Value]]&amp;"|"&amp;grafico_sol1[[#This Row],[Numero Voltas]]</f>
        <v>0.341666666666667|3</v>
      </c>
    </row>
    <row r="320" spans="12:27" x14ac:dyDescent="0.25">
      <c r="L320" s="60" t="e">
        <f t="shared" si="10"/>
        <v>#N/A</v>
      </c>
      <c r="M320" s="42" t="e">
        <f t="shared" si="11"/>
        <v>#N/A</v>
      </c>
      <c r="U320">
        <v>3</v>
      </c>
      <c r="V320">
        <v>0</v>
      </c>
      <c r="W320" s="20" t="s">
        <v>301</v>
      </c>
      <c r="X320">
        <v>7</v>
      </c>
      <c r="Y320" s="20" t="s">
        <v>127</v>
      </c>
      <c r="Z320" s="7">
        <v>0.34166666666666667</v>
      </c>
      <c r="AA320" s="20" t="str">
        <f>grafico_sol1[[#This Row],[Value]]&amp;"|"&amp;grafico_sol1[[#This Row],[Numero Voltas]]</f>
        <v>0.341666666666667|3</v>
      </c>
    </row>
    <row r="321" spans="12:27" x14ac:dyDescent="0.25">
      <c r="L321" s="60" t="e">
        <f t="shared" si="10"/>
        <v>#N/A</v>
      </c>
      <c r="M321" s="42" t="e">
        <f t="shared" si="11"/>
        <v>#N/A</v>
      </c>
      <c r="U321">
        <v>2</v>
      </c>
      <c r="V321">
        <v>0</v>
      </c>
      <c r="W321" s="20" t="s">
        <v>2</v>
      </c>
      <c r="X321">
        <v>4</v>
      </c>
      <c r="Y321" s="20" t="s">
        <v>126</v>
      </c>
      <c r="Z321" s="7">
        <v>0.34305555555555556</v>
      </c>
      <c r="AA321" s="20" t="str">
        <f>grafico_sol1[[#This Row],[Value]]&amp;"|"&amp;grafico_sol1[[#This Row],[Numero Voltas]]</f>
        <v>0.343055555555556|2</v>
      </c>
    </row>
    <row r="322" spans="12:27" x14ac:dyDescent="0.25">
      <c r="L322" s="60" t="e">
        <f t="shared" si="10"/>
        <v>#N/A</v>
      </c>
      <c r="M322" s="42" t="e">
        <f t="shared" si="11"/>
        <v>#N/A</v>
      </c>
      <c r="U322">
        <v>2</v>
      </c>
      <c r="V322">
        <v>0</v>
      </c>
      <c r="W322" s="20" t="s">
        <v>2</v>
      </c>
      <c r="X322">
        <v>4</v>
      </c>
      <c r="Y322" s="20" t="s">
        <v>127</v>
      </c>
      <c r="Z322" s="7">
        <v>0.34305555555555556</v>
      </c>
      <c r="AA322" s="20" t="str">
        <f>grafico_sol1[[#This Row],[Value]]&amp;"|"&amp;grafico_sol1[[#This Row],[Numero Voltas]]</f>
        <v>0.343055555555556|2</v>
      </c>
    </row>
    <row r="323" spans="12:27" x14ac:dyDescent="0.25">
      <c r="L323" s="60" t="e">
        <f t="shared" si="10"/>
        <v>#N/A</v>
      </c>
      <c r="M323" s="42" t="e">
        <f t="shared" si="11"/>
        <v>#N/A</v>
      </c>
      <c r="U323">
        <v>2</v>
      </c>
      <c r="V323">
        <v>0</v>
      </c>
      <c r="W323" s="20" t="s">
        <v>2</v>
      </c>
      <c r="X323">
        <v>4</v>
      </c>
      <c r="Y323" s="20" t="s">
        <v>126</v>
      </c>
      <c r="Z323" s="7">
        <v>0.34305555555555556</v>
      </c>
      <c r="AA323" s="20" t="str">
        <f>grafico_sol1[[#This Row],[Value]]&amp;"|"&amp;grafico_sol1[[#This Row],[Numero Voltas]]</f>
        <v>0.343055555555556|2</v>
      </c>
    </row>
    <row r="324" spans="12:27" x14ac:dyDescent="0.25">
      <c r="L324" s="60" t="e">
        <f t="shared" si="10"/>
        <v>#N/A</v>
      </c>
      <c r="M324" s="42" t="e">
        <f t="shared" si="11"/>
        <v>#N/A</v>
      </c>
      <c r="U324">
        <v>3</v>
      </c>
      <c r="V324">
        <v>0</v>
      </c>
      <c r="W324" s="20" t="s">
        <v>302</v>
      </c>
      <c r="X324">
        <v>8</v>
      </c>
      <c r="Y324" s="20" t="s">
        <v>126</v>
      </c>
      <c r="Z324" s="7">
        <v>0.34583333333333333</v>
      </c>
      <c r="AA324" s="20" t="str">
        <f>grafico_sol1[[#This Row],[Value]]&amp;"|"&amp;grafico_sol1[[#This Row],[Numero Voltas]]</f>
        <v>0.345833333333333|3</v>
      </c>
    </row>
    <row r="325" spans="12:27" x14ac:dyDescent="0.25">
      <c r="L325" s="60" t="e">
        <f t="shared" si="10"/>
        <v>#N/A</v>
      </c>
      <c r="M325" s="42" t="e">
        <f t="shared" si="11"/>
        <v>#N/A</v>
      </c>
      <c r="U325">
        <v>3</v>
      </c>
      <c r="V325">
        <v>0</v>
      </c>
      <c r="W325" s="20" t="s">
        <v>302</v>
      </c>
      <c r="X325">
        <v>8</v>
      </c>
      <c r="Y325" s="20" t="s">
        <v>127</v>
      </c>
      <c r="Z325" s="7">
        <v>0.34583333333333333</v>
      </c>
      <c r="AA325" s="20" t="str">
        <f>grafico_sol1[[#This Row],[Value]]&amp;"|"&amp;grafico_sol1[[#This Row],[Numero Voltas]]</f>
        <v>0.345833333333333|3</v>
      </c>
    </row>
    <row r="326" spans="12:27" x14ac:dyDescent="0.25">
      <c r="L326" s="60" t="e">
        <f t="shared" si="10"/>
        <v>#N/A</v>
      </c>
      <c r="M326" s="42" t="e">
        <f t="shared" si="11"/>
        <v>#N/A</v>
      </c>
      <c r="U326">
        <v>3</v>
      </c>
      <c r="V326">
        <v>0</v>
      </c>
      <c r="W326" s="20" t="s">
        <v>303</v>
      </c>
      <c r="X326">
        <v>9</v>
      </c>
      <c r="Y326" s="20" t="s">
        <v>126</v>
      </c>
      <c r="Z326" s="7">
        <v>0.35</v>
      </c>
      <c r="AA326" s="20" t="str">
        <f>grafico_sol1[[#This Row],[Value]]&amp;"|"&amp;grafico_sol1[[#This Row],[Numero Voltas]]</f>
        <v>0.35|3</v>
      </c>
    </row>
    <row r="327" spans="12:27" x14ac:dyDescent="0.25">
      <c r="L327" s="60" t="e">
        <f t="shared" si="10"/>
        <v>#N/A</v>
      </c>
      <c r="M327" s="42" t="e">
        <f t="shared" si="11"/>
        <v>#N/A</v>
      </c>
      <c r="U327">
        <v>3</v>
      </c>
      <c r="V327">
        <v>0</v>
      </c>
      <c r="W327" s="20" t="s">
        <v>303</v>
      </c>
      <c r="X327">
        <v>9</v>
      </c>
      <c r="Y327" s="20" t="s">
        <v>127</v>
      </c>
      <c r="Z327" s="7">
        <v>0.35</v>
      </c>
      <c r="AA327" s="20" t="str">
        <f>grafico_sol1[[#This Row],[Value]]&amp;"|"&amp;grafico_sol1[[#This Row],[Numero Voltas]]</f>
        <v>0.35|3</v>
      </c>
    </row>
    <row r="328" spans="12:27" x14ac:dyDescent="0.25">
      <c r="L328" s="60" t="e">
        <f t="shared" si="10"/>
        <v>#N/A</v>
      </c>
      <c r="M328" s="42" t="e">
        <f t="shared" si="11"/>
        <v>#N/A</v>
      </c>
      <c r="U328">
        <v>3</v>
      </c>
      <c r="V328">
        <v>0</v>
      </c>
      <c r="W328" s="20" t="s">
        <v>303</v>
      </c>
      <c r="X328">
        <v>9</v>
      </c>
      <c r="Y328" s="20" t="s">
        <v>126</v>
      </c>
      <c r="Z328" s="7">
        <v>0.35</v>
      </c>
      <c r="AA328" s="20" t="str">
        <f>grafico_sol1[[#This Row],[Value]]&amp;"|"&amp;grafico_sol1[[#This Row],[Numero Voltas]]</f>
        <v>0.35|3</v>
      </c>
    </row>
    <row r="329" spans="12:27" x14ac:dyDescent="0.25">
      <c r="L329" s="60" t="e">
        <f t="shared" si="10"/>
        <v>#N/A</v>
      </c>
      <c r="M329" s="42" t="e">
        <f t="shared" si="11"/>
        <v>#N/A</v>
      </c>
      <c r="U329">
        <v>3</v>
      </c>
      <c r="V329">
        <v>0</v>
      </c>
      <c r="W329" s="20" t="s">
        <v>303</v>
      </c>
      <c r="X329">
        <v>9</v>
      </c>
      <c r="Y329" s="20" t="s">
        <v>127</v>
      </c>
      <c r="Z329" s="7">
        <v>0.35</v>
      </c>
      <c r="AA329" s="20" t="str">
        <f>grafico_sol1[[#This Row],[Value]]&amp;"|"&amp;grafico_sol1[[#This Row],[Numero Voltas]]</f>
        <v>0.35|3</v>
      </c>
    </row>
    <row r="330" spans="12:27" x14ac:dyDescent="0.25">
      <c r="L330" s="60" t="e">
        <f t="shared" si="10"/>
        <v>#N/A</v>
      </c>
      <c r="M330" s="42" t="e">
        <f t="shared" si="11"/>
        <v>#N/A</v>
      </c>
      <c r="U330">
        <v>2</v>
      </c>
      <c r="V330">
        <v>0</v>
      </c>
      <c r="W330" s="20" t="s">
        <v>2</v>
      </c>
      <c r="X330">
        <v>4</v>
      </c>
      <c r="Y330" s="20" t="s">
        <v>127</v>
      </c>
      <c r="Z330" s="7">
        <v>0.35208333333333336</v>
      </c>
      <c r="AA330" s="20" t="str">
        <f>grafico_sol1[[#This Row],[Value]]&amp;"|"&amp;grafico_sol1[[#This Row],[Numero Voltas]]</f>
        <v>0.352083333333333|2</v>
      </c>
    </row>
    <row r="331" spans="12:27" x14ac:dyDescent="0.25">
      <c r="L331" s="60" t="e">
        <f t="shared" si="10"/>
        <v>#N/A</v>
      </c>
      <c r="M331" s="42" t="e">
        <f t="shared" si="11"/>
        <v>#N/A</v>
      </c>
      <c r="U331">
        <v>2</v>
      </c>
      <c r="V331">
        <v>0</v>
      </c>
      <c r="W331" s="20" t="s">
        <v>215</v>
      </c>
      <c r="X331">
        <v>5</v>
      </c>
      <c r="Y331" s="20" t="s">
        <v>126</v>
      </c>
      <c r="Z331" s="7">
        <v>0.35416666666666669</v>
      </c>
      <c r="AA331" s="20" t="str">
        <f>grafico_sol1[[#This Row],[Value]]&amp;"|"&amp;grafico_sol1[[#This Row],[Numero Voltas]]</f>
        <v>0.354166666666667|2</v>
      </c>
    </row>
    <row r="332" spans="12:27" x14ac:dyDescent="0.25">
      <c r="L332" s="60" t="e">
        <f t="shared" si="10"/>
        <v>#N/A</v>
      </c>
      <c r="M332" s="42" t="e">
        <f t="shared" si="11"/>
        <v>#N/A</v>
      </c>
      <c r="U332">
        <v>2</v>
      </c>
      <c r="V332">
        <v>0</v>
      </c>
      <c r="W332" s="20" t="s">
        <v>215</v>
      </c>
      <c r="X332">
        <v>5</v>
      </c>
      <c r="Y332" s="20" t="s">
        <v>127</v>
      </c>
      <c r="Z332" s="7">
        <v>0.35416666666666669</v>
      </c>
      <c r="AA332" s="20" t="str">
        <f>grafico_sol1[[#This Row],[Value]]&amp;"|"&amp;grafico_sol1[[#This Row],[Numero Voltas]]</f>
        <v>0.354166666666667|2</v>
      </c>
    </row>
    <row r="333" spans="12:27" x14ac:dyDescent="0.25">
      <c r="L333" s="60" t="e">
        <f t="shared" si="10"/>
        <v>#N/A</v>
      </c>
      <c r="M333" s="42" t="e">
        <f t="shared" si="11"/>
        <v>#N/A</v>
      </c>
      <c r="U333">
        <v>3</v>
      </c>
      <c r="V333">
        <v>0</v>
      </c>
      <c r="W333" s="20" t="s">
        <v>302</v>
      </c>
      <c r="X333">
        <v>8</v>
      </c>
      <c r="Y333" s="20" t="s">
        <v>126</v>
      </c>
      <c r="Z333" s="7">
        <v>0.35416666666666669</v>
      </c>
      <c r="AA333" s="20" t="str">
        <f>grafico_sol1[[#This Row],[Value]]&amp;"|"&amp;grafico_sol1[[#This Row],[Numero Voltas]]</f>
        <v>0.354166666666667|3</v>
      </c>
    </row>
    <row r="334" spans="12:27" x14ac:dyDescent="0.25">
      <c r="L334" s="60" t="e">
        <f t="shared" si="10"/>
        <v>#N/A</v>
      </c>
      <c r="M334" s="42" t="e">
        <f t="shared" si="11"/>
        <v>#N/A</v>
      </c>
      <c r="U334">
        <v>3</v>
      </c>
      <c r="V334">
        <v>0</v>
      </c>
      <c r="W334" s="20" t="s">
        <v>302</v>
      </c>
      <c r="X334">
        <v>8</v>
      </c>
      <c r="Y334" s="20" t="s">
        <v>127</v>
      </c>
      <c r="Z334" s="7">
        <v>0.35416666666666669</v>
      </c>
      <c r="AA334" s="20" t="str">
        <f>grafico_sol1[[#This Row],[Value]]&amp;"|"&amp;grafico_sol1[[#This Row],[Numero Voltas]]</f>
        <v>0.354166666666667|3</v>
      </c>
    </row>
    <row r="335" spans="12:27" x14ac:dyDescent="0.25">
      <c r="L335" s="60" t="e">
        <f t="shared" si="10"/>
        <v>#N/A</v>
      </c>
      <c r="M335" s="42" t="e">
        <f t="shared" si="11"/>
        <v>#N/A</v>
      </c>
      <c r="U335">
        <v>2</v>
      </c>
      <c r="V335">
        <v>0</v>
      </c>
      <c r="W335" s="20" t="s">
        <v>300</v>
      </c>
      <c r="X335">
        <v>6</v>
      </c>
      <c r="Y335" s="20" t="s">
        <v>126</v>
      </c>
      <c r="Z335" s="7">
        <v>0.35694444444444445</v>
      </c>
      <c r="AA335" s="20" t="str">
        <f>grafico_sol1[[#This Row],[Value]]&amp;"|"&amp;grafico_sol1[[#This Row],[Numero Voltas]]</f>
        <v>0.356944444444444|2</v>
      </c>
    </row>
    <row r="336" spans="12:27" x14ac:dyDescent="0.25">
      <c r="L336" s="60" t="e">
        <f t="shared" si="10"/>
        <v>#N/A</v>
      </c>
      <c r="M336" s="42" t="e">
        <f t="shared" si="11"/>
        <v>#N/A</v>
      </c>
      <c r="U336">
        <v>2</v>
      </c>
      <c r="V336">
        <v>0</v>
      </c>
      <c r="W336" s="20" t="s">
        <v>300</v>
      </c>
      <c r="X336">
        <v>6</v>
      </c>
      <c r="Y336" s="20" t="s">
        <v>127</v>
      </c>
      <c r="Z336" s="7">
        <v>0.35694444444444445</v>
      </c>
      <c r="AA336" s="20" t="str">
        <f>grafico_sol1[[#This Row],[Value]]&amp;"|"&amp;grafico_sol1[[#This Row],[Numero Voltas]]</f>
        <v>0.356944444444444|2</v>
      </c>
    </row>
    <row r="337" spans="12:27" x14ac:dyDescent="0.25">
      <c r="L337" s="60" t="e">
        <f t="shared" si="10"/>
        <v>#N/A</v>
      </c>
      <c r="M337" s="42" t="e">
        <f t="shared" si="11"/>
        <v>#N/A</v>
      </c>
      <c r="U337">
        <v>3</v>
      </c>
      <c r="V337">
        <v>0</v>
      </c>
      <c r="W337" s="20" t="s">
        <v>301</v>
      </c>
      <c r="X337">
        <v>7</v>
      </c>
      <c r="Y337" s="20" t="s">
        <v>126</v>
      </c>
      <c r="Z337" s="7">
        <v>0.35833333333333334</v>
      </c>
      <c r="AA337" s="20" t="str">
        <f>grafico_sol1[[#This Row],[Value]]&amp;"|"&amp;grafico_sol1[[#This Row],[Numero Voltas]]</f>
        <v>0.358333333333333|3</v>
      </c>
    </row>
    <row r="338" spans="12:27" x14ac:dyDescent="0.25">
      <c r="L338" s="60" t="e">
        <f t="shared" si="10"/>
        <v>#N/A</v>
      </c>
      <c r="M338" s="42" t="e">
        <f t="shared" si="11"/>
        <v>#N/A</v>
      </c>
      <c r="U338">
        <v>3</v>
      </c>
      <c r="V338">
        <v>0</v>
      </c>
      <c r="W338" s="20" t="s">
        <v>301</v>
      </c>
      <c r="X338">
        <v>7</v>
      </c>
      <c r="Y338" s="20" t="s">
        <v>127</v>
      </c>
      <c r="Z338" s="7">
        <v>0.35833333333333334</v>
      </c>
      <c r="AA338" s="20" t="str">
        <f>grafico_sol1[[#This Row],[Value]]&amp;"|"&amp;grafico_sol1[[#This Row],[Numero Voltas]]</f>
        <v>0.358333333333333|3</v>
      </c>
    </row>
    <row r="339" spans="12:27" x14ac:dyDescent="0.25">
      <c r="L339" s="60" t="e">
        <f t="shared" si="10"/>
        <v>#N/A</v>
      </c>
      <c r="M339" s="42" t="e">
        <f t="shared" si="11"/>
        <v>#N/A</v>
      </c>
      <c r="U339">
        <v>3</v>
      </c>
      <c r="V339">
        <v>0</v>
      </c>
      <c r="W339" s="20" t="s">
        <v>301</v>
      </c>
      <c r="X339">
        <v>7</v>
      </c>
      <c r="Y339" s="20" t="s">
        <v>126</v>
      </c>
      <c r="Z339" s="7">
        <v>0.35833333333333334</v>
      </c>
      <c r="AA339" s="20" t="str">
        <f>grafico_sol1[[#This Row],[Value]]&amp;"|"&amp;grafico_sol1[[#This Row],[Numero Voltas]]</f>
        <v>0.358333333333333|3</v>
      </c>
    </row>
    <row r="340" spans="12:27" x14ac:dyDescent="0.25">
      <c r="L340" s="60" t="e">
        <f t="shared" si="10"/>
        <v>#N/A</v>
      </c>
      <c r="M340" s="42" t="e">
        <f t="shared" si="11"/>
        <v>#N/A</v>
      </c>
      <c r="U340">
        <v>2</v>
      </c>
      <c r="V340">
        <v>0</v>
      </c>
      <c r="W340" s="20" t="s">
        <v>301</v>
      </c>
      <c r="X340">
        <v>7</v>
      </c>
      <c r="Y340" s="20" t="s">
        <v>126</v>
      </c>
      <c r="Z340" s="7">
        <v>0.35902777777777778</v>
      </c>
      <c r="AA340" s="20" t="str">
        <f>grafico_sol1[[#This Row],[Value]]&amp;"|"&amp;grafico_sol1[[#This Row],[Numero Voltas]]</f>
        <v>0.359027777777778|2</v>
      </c>
    </row>
    <row r="341" spans="12:27" x14ac:dyDescent="0.25">
      <c r="L341" s="60" t="e">
        <f t="shared" si="10"/>
        <v>#N/A</v>
      </c>
      <c r="M341" s="42" t="e">
        <f t="shared" si="11"/>
        <v>#N/A</v>
      </c>
      <c r="U341">
        <v>2</v>
      </c>
      <c r="V341">
        <v>0</v>
      </c>
      <c r="W341" s="20" t="s">
        <v>301</v>
      </c>
      <c r="X341">
        <v>7</v>
      </c>
      <c r="Y341" s="20" t="s">
        <v>127</v>
      </c>
      <c r="Z341" s="7">
        <v>0.35902777777777778</v>
      </c>
      <c r="AA341" s="20" t="str">
        <f>grafico_sol1[[#This Row],[Value]]&amp;"|"&amp;grafico_sol1[[#This Row],[Numero Voltas]]</f>
        <v>0.359027777777778|2</v>
      </c>
    </row>
    <row r="342" spans="12:27" x14ac:dyDescent="0.25">
      <c r="L342" s="60" t="e">
        <f t="shared" si="10"/>
        <v>#N/A</v>
      </c>
      <c r="M342" s="42" t="e">
        <f t="shared" si="11"/>
        <v>#N/A</v>
      </c>
      <c r="U342">
        <v>2</v>
      </c>
      <c r="V342">
        <v>0</v>
      </c>
      <c r="W342" s="20" t="s">
        <v>302</v>
      </c>
      <c r="X342">
        <v>8</v>
      </c>
      <c r="Y342" s="20" t="s">
        <v>126</v>
      </c>
      <c r="Z342" s="7">
        <v>0.36319444444444443</v>
      </c>
      <c r="AA342" s="20" t="str">
        <f>grafico_sol1[[#This Row],[Value]]&amp;"|"&amp;grafico_sol1[[#This Row],[Numero Voltas]]</f>
        <v>0.363194444444444|2</v>
      </c>
    </row>
    <row r="343" spans="12:27" x14ac:dyDescent="0.25">
      <c r="L343" s="60" t="e">
        <f t="shared" si="10"/>
        <v>#N/A</v>
      </c>
      <c r="M343" s="42" t="e">
        <f t="shared" si="11"/>
        <v>#N/A</v>
      </c>
      <c r="U343">
        <v>2</v>
      </c>
      <c r="V343">
        <v>0</v>
      </c>
      <c r="W343" s="20" t="s">
        <v>302</v>
      </c>
      <c r="X343">
        <v>8</v>
      </c>
      <c r="Y343" s="20" t="s">
        <v>127</v>
      </c>
      <c r="Z343" s="7">
        <v>0.36319444444444443</v>
      </c>
      <c r="AA343" s="20" t="str">
        <f>grafico_sol1[[#This Row],[Value]]&amp;"|"&amp;grafico_sol1[[#This Row],[Numero Voltas]]</f>
        <v>0.363194444444444|2</v>
      </c>
    </row>
    <row r="344" spans="12:27" x14ac:dyDescent="0.25">
      <c r="L344" s="60" t="e">
        <f t="shared" si="10"/>
        <v>#N/A</v>
      </c>
      <c r="M344" s="42" t="e">
        <f t="shared" si="11"/>
        <v>#N/A</v>
      </c>
      <c r="U344">
        <v>3</v>
      </c>
      <c r="V344">
        <v>0</v>
      </c>
      <c r="W344" s="20" t="s">
        <v>301</v>
      </c>
      <c r="X344">
        <v>7</v>
      </c>
      <c r="Y344" s="20" t="s">
        <v>127</v>
      </c>
      <c r="Z344" s="7">
        <v>0.36527777777777776</v>
      </c>
      <c r="AA344" s="20" t="str">
        <f>grafico_sol1[[#This Row],[Value]]&amp;"|"&amp;grafico_sol1[[#This Row],[Numero Voltas]]</f>
        <v>0.365277777777778|3</v>
      </c>
    </row>
    <row r="345" spans="12:27" x14ac:dyDescent="0.25">
      <c r="L345" s="60" t="e">
        <f t="shared" si="10"/>
        <v>#N/A</v>
      </c>
      <c r="M345" s="42" t="e">
        <f t="shared" si="11"/>
        <v>#N/A</v>
      </c>
      <c r="U345">
        <v>3</v>
      </c>
      <c r="V345">
        <v>0</v>
      </c>
      <c r="W345" s="20" t="s">
        <v>300</v>
      </c>
      <c r="X345">
        <v>6</v>
      </c>
      <c r="Y345" s="20" t="s">
        <v>126</v>
      </c>
      <c r="Z345" s="7">
        <v>0.36666666666666664</v>
      </c>
      <c r="AA345" s="20" t="str">
        <f>grafico_sol1[[#This Row],[Value]]&amp;"|"&amp;grafico_sol1[[#This Row],[Numero Voltas]]</f>
        <v>0.366666666666667|3</v>
      </c>
    </row>
    <row r="346" spans="12:27" x14ac:dyDescent="0.25">
      <c r="L346" s="60" t="e">
        <f t="shared" si="10"/>
        <v>#N/A</v>
      </c>
      <c r="M346" s="42" t="e">
        <f t="shared" si="11"/>
        <v>#N/A</v>
      </c>
      <c r="U346">
        <v>3</v>
      </c>
      <c r="V346">
        <v>0</v>
      </c>
      <c r="W346" s="20" t="s">
        <v>300</v>
      </c>
      <c r="X346">
        <v>6</v>
      </c>
      <c r="Y346" s="20" t="s">
        <v>127</v>
      </c>
      <c r="Z346" s="7">
        <v>0.36666666666666664</v>
      </c>
      <c r="AA346" s="20" t="str">
        <f>grafico_sol1[[#This Row],[Value]]&amp;"|"&amp;grafico_sol1[[#This Row],[Numero Voltas]]</f>
        <v>0.366666666666667|3</v>
      </c>
    </row>
    <row r="347" spans="12:27" x14ac:dyDescent="0.25">
      <c r="L347" s="60" t="e">
        <f t="shared" si="10"/>
        <v>#N/A</v>
      </c>
      <c r="M347" s="42" t="e">
        <f t="shared" si="11"/>
        <v>#N/A</v>
      </c>
      <c r="U347">
        <v>2</v>
      </c>
      <c r="V347">
        <v>0</v>
      </c>
      <c r="W347" s="20" t="s">
        <v>303</v>
      </c>
      <c r="X347">
        <v>9</v>
      </c>
      <c r="Y347" s="20" t="s">
        <v>126</v>
      </c>
      <c r="Z347" s="7">
        <v>0.36736111111111114</v>
      </c>
      <c r="AA347" s="20" t="str">
        <f>grafico_sol1[[#This Row],[Value]]&amp;"|"&amp;grafico_sol1[[#This Row],[Numero Voltas]]</f>
        <v>0.367361111111111|2</v>
      </c>
    </row>
    <row r="348" spans="12:27" x14ac:dyDescent="0.25">
      <c r="L348" s="60" t="e">
        <f t="shared" si="10"/>
        <v>#N/A</v>
      </c>
      <c r="M348" s="42" t="e">
        <f t="shared" si="11"/>
        <v>#N/A</v>
      </c>
      <c r="U348">
        <v>2</v>
      </c>
      <c r="V348">
        <v>0</v>
      </c>
      <c r="W348" s="20" t="s">
        <v>303</v>
      </c>
      <c r="X348">
        <v>9</v>
      </c>
      <c r="Y348" s="20" t="s">
        <v>127</v>
      </c>
      <c r="Z348" s="7">
        <v>0.36736111111111114</v>
      </c>
      <c r="AA348" s="20" t="str">
        <f>grafico_sol1[[#This Row],[Value]]&amp;"|"&amp;grafico_sol1[[#This Row],[Numero Voltas]]</f>
        <v>0.367361111111111|2</v>
      </c>
    </row>
    <row r="349" spans="12:27" x14ac:dyDescent="0.25">
      <c r="L349" s="60" t="e">
        <f t="shared" si="10"/>
        <v>#N/A</v>
      </c>
      <c r="M349" s="42" t="e">
        <f t="shared" si="11"/>
        <v>#N/A</v>
      </c>
      <c r="U349">
        <v>2</v>
      </c>
      <c r="V349">
        <v>0</v>
      </c>
      <c r="W349" s="20" t="s">
        <v>303</v>
      </c>
      <c r="X349">
        <v>9</v>
      </c>
      <c r="Y349" s="20" t="s">
        <v>126</v>
      </c>
      <c r="Z349" s="7">
        <v>0.36736111111111114</v>
      </c>
      <c r="AA349" s="20" t="str">
        <f>grafico_sol1[[#This Row],[Value]]&amp;"|"&amp;grafico_sol1[[#This Row],[Numero Voltas]]</f>
        <v>0.367361111111111|2</v>
      </c>
    </row>
    <row r="350" spans="12:27" x14ac:dyDescent="0.25">
      <c r="L350" s="60" t="e">
        <f t="shared" si="10"/>
        <v>#N/A</v>
      </c>
      <c r="M350" s="42" t="e">
        <f t="shared" si="11"/>
        <v>#N/A</v>
      </c>
      <c r="U350">
        <v>2</v>
      </c>
      <c r="V350">
        <v>0</v>
      </c>
      <c r="W350" s="20" t="s">
        <v>303</v>
      </c>
      <c r="X350">
        <v>9</v>
      </c>
      <c r="Y350" s="20" t="s">
        <v>127</v>
      </c>
      <c r="Z350" s="7">
        <v>0.36736111111111114</v>
      </c>
      <c r="AA350" s="20" t="str">
        <f>grafico_sol1[[#This Row],[Value]]&amp;"|"&amp;grafico_sol1[[#This Row],[Numero Voltas]]</f>
        <v>0.367361111111111|2</v>
      </c>
    </row>
    <row r="351" spans="12:27" x14ac:dyDescent="0.25">
      <c r="L351" s="60" t="e">
        <f t="shared" si="10"/>
        <v>#N/A</v>
      </c>
      <c r="M351" s="42" t="e">
        <f t="shared" si="11"/>
        <v>#N/A</v>
      </c>
      <c r="U351">
        <v>2</v>
      </c>
      <c r="V351">
        <v>0</v>
      </c>
      <c r="W351" s="20" t="s">
        <v>303</v>
      </c>
      <c r="X351">
        <v>9</v>
      </c>
      <c r="Y351" s="20" t="s">
        <v>126</v>
      </c>
      <c r="Z351" s="7">
        <v>0.36736111111111114</v>
      </c>
      <c r="AA351" s="20" t="str">
        <f>grafico_sol1[[#This Row],[Value]]&amp;"|"&amp;grafico_sol1[[#This Row],[Numero Voltas]]</f>
        <v>0.367361111111111|2</v>
      </c>
    </row>
    <row r="352" spans="12:27" x14ac:dyDescent="0.25">
      <c r="L352" s="60" t="e">
        <f t="shared" si="10"/>
        <v>#N/A</v>
      </c>
      <c r="M352" s="42" t="e">
        <f t="shared" si="11"/>
        <v>#N/A</v>
      </c>
      <c r="U352">
        <v>3</v>
      </c>
      <c r="V352">
        <v>0</v>
      </c>
      <c r="W352" s="20" t="s">
        <v>215</v>
      </c>
      <c r="X352">
        <v>5</v>
      </c>
      <c r="Y352" s="20" t="s">
        <v>126</v>
      </c>
      <c r="Z352" s="7">
        <v>0.36944444444444446</v>
      </c>
      <c r="AA352" s="20" t="str">
        <f>grafico_sol1[[#This Row],[Value]]&amp;"|"&amp;grafico_sol1[[#This Row],[Numero Voltas]]</f>
        <v>0.369444444444444|3</v>
      </c>
    </row>
    <row r="353" spans="12:27" x14ac:dyDescent="0.25">
      <c r="L353" s="60" t="e">
        <f t="shared" si="10"/>
        <v>#N/A</v>
      </c>
      <c r="M353" s="42" t="e">
        <f t="shared" si="11"/>
        <v>#N/A</v>
      </c>
      <c r="U353">
        <v>3</v>
      </c>
      <c r="V353">
        <v>0</v>
      </c>
      <c r="W353" s="20" t="s">
        <v>215</v>
      </c>
      <c r="X353">
        <v>5</v>
      </c>
      <c r="Y353" s="20" t="s">
        <v>127</v>
      </c>
      <c r="Z353" s="7">
        <v>0.36944444444444446</v>
      </c>
      <c r="AA353" s="20" t="str">
        <f>grafico_sol1[[#This Row],[Value]]&amp;"|"&amp;grafico_sol1[[#This Row],[Numero Voltas]]</f>
        <v>0.369444444444444|3</v>
      </c>
    </row>
    <row r="354" spans="12:27" x14ac:dyDescent="0.25">
      <c r="L354" s="60" t="e">
        <f t="shared" si="10"/>
        <v>#N/A</v>
      </c>
      <c r="M354" s="42" t="e">
        <f t="shared" si="11"/>
        <v>#N/A</v>
      </c>
      <c r="U354">
        <v>3</v>
      </c>
      <c r="V354">
        <v>0</v>
      </c>
      <c r="W354" s="20" t="s">
        <v>2</v>
      </c>
      <c r="X354">
        <v>4</v>
      </c>
      <c r="Y354" s="20" t="s">
        <v>126</v>
      </c>
      <c r="Z354" s="7">
        <v>0.37222222222222223</v>
      </c>
      <c r="AA354" s="20" t="str">
        <f>grafico_sol1[[#This Row],[Value]]&amp;"|"&amp;grafico_sol1[[#This Row],[Numero Voltas]]</f>
        <v>0.372222222222222|3</v>
      </c>
    </row>
    <row r="355" spans="12:27" x14ac:dyDescent="0.25">
      <c r="L355" s="60" t="e">
        <f t="shared" si="10"/>
        <v>#N/A</v>
      </c>
      <c r="M355" s="42" t="e">
        <f t="shared" si="11"/>
        <v>#N/A</v>
      </c>
      <c r="U355">
        <v>3</v>
      </c>
      <c r="V355">
        <v>0</v>
      </c>
      <c r="W355" s="20" t="s">
        <v>2</v>
      </c>
      <c r="X355">
        <v>4</v>
      </c>
      <c r="Y355" s="20" t="s">
        <v>127</v>
      </c>
      <c r="Z355" s="7">
        <v>0.37222222222222223</v>
      </c>
      <c r="AA355" s="20" t="str">
        <f>grafico_sol1[[#This Row],[Value]]&amp;"|"&amp;grafico_sol1[[#This Row],[Numero Voltas]]</f>
        <v>0.372222222222222|3</v>
      </c>
    </row>
    <row r="356" spans="12:27" x14ac:dyDescent="0.25">
      <c r="L356" s="60" t="e">
        <f t="shared" si="10"/>
        <v>#N/A</v>
      </c>
      <c r="M356" s="42" t="e">
        <f t="shared" si="11"/>
        <v>#N/A</v>
      </c>
      <c r="U356">
        <v>3</v>
      </c>
      <c r="V356">
        <v>0</v>
      </c>
      <c r="W356" s="20" t="s">
        <v>2</v>
      </c>
      <c r="X356">
        <v>4</v>
      </c>
      <c r="Y356" s="20" t="s">
        <v>126</v>
      </c>
      <c r="Z356" s="7">
        <v>0.37222222222222223</v>
      </c>
      <c r="AA356" s="20" t="str">
        <f>grafico_sol1[[#This Row],[Value]]&amp;"|"&amp;grafico_sol1[[#This Row],[Numero Voltas]]</f>
        <v>0.372222222222222|3</v>
      </c>
    </row>
    <row r="357" spans="12:27" x14ac:dyDescent="0.25">
      <c r="L357" s="60" t="e">
        <f t="shared" si="10"/>
        <v>#N/A</v>
      </c>
      <c r="M357" s="42" t="e">
        <f t="shared" si="11"/>
        <v>#N/A</v>
      </c>
      <c r="U357">
        <v>2</v>
      </c>
      <c r="V357">
        <v>0</v>
      </c>
      <c r="W357" s="20" t="s">
        <v>303</v>
      </c>
      <c r="X357">
        <v>9</v>
      </c>
      <c r="Y357" s="20" t="s">
        <v>127</v>
      </c>
      <c r="Z357" s="7">
        <v>0.37430555555555556</v>
      </c>
      <c r="AA357" s="20" t="str">
        <f>grafico_sol1[[#This Row],[Value]]&amp;"|"&amp;grafico_sol1[[#This Row],[Numero Voltas]]</f>
        <v>0.374305555555556|2</v>
      </c>
    </row>
    <row r="358" spans="12:27" x14ac:dyDescent="0.25">
      <c r="L358" s="60" t="e">
        <f t="shared" si="10"/>
        <v>#N/A</v>
      </c>
      <c r="M358" s="42" t="e">
        <f t="shared" si="11"/>
        <v>#N/A</v>
      </c>
      <c r="U358">
        <v>2</v>
      </c>
      <c r="V358">
        <v>0</v>
      </c>
      <c r="W358" s="20" t="s">
        <v>302</v>
      </c>
      <c r="X358">
        <v>8</v>
      </c>
      <c r="Y358" s="20" t="s">
        <v>126</v>
      </c>
      <c r="Z358" s="7">
        <v>0.37847222222222221</v>
      </c>
      <c r="AA358" s="20" t="str">
        <f>grafico_sol1[[#This Row],[Value]]&amp;"|"&amp;grafico_sol1[[#This Row],[Numero Voltas]]</f>
        <v>0.378472222222222|2</v>
      </c>
    </row>
    <row r="359" spans="12:27" x14ac:dyDescent="0.25">
      <c r="L359" s="60" t="e">
        <f t="shared" si="10"/>
        <v>#N/A</v>
      </c>
      <c r="M359" s="42" t="e">
        <f t="shared" si="11"/>
        <v>#N/A</v>
      </c>
      <c r="U359">
        <v>2</v>
      </c>
      <c r="V359">
        <v>0</v>
      </c>
      <c r="W359" s="20" t="s">
        <v>302</v>
      </c>
      <c r="X359">
        <v>8</v>
      </c>
      <c r="Y359" s="20" t="s">
        <v>127</v>
      </c>
      <c r="Z359" s="7">
        <v>0.37847222222222221</v>
      </c>
      <c r="AA359" s="20" t="str">
        <f>grafico_sol1[[#This Row],[Value]]&amp;"|"&amp;grafico_sol1[[#This Row],[Numero Voltas]]</f>
        <v>0.378472222222222|2</v>
      </c>
    </row>
    <row r="360" spans="12:27" x14ac:dyDescent="0.25">
      <c r="L360" s="60" t="e">
        <f t="shared" si="10"/>
        <v>#N/A</v>
      </c>
      <c r="M360" s="42" t="e">
        <f t="shared" si="11"/>
        <v>#N/A</v>
      </c>
      <c r="U360">
        <v>2</v>
      </c>
      <c r="V360">
        <v>0</v>
      </c>
      <c r="W360" s="20" t="s">
        <v>302</v>
      </c>
      <c r="X360">
        <v>8</v>
      </c>
      <c r="Y360" s="20" t="s">
        <v>126</v>
      </c>
      <c r="Z360" s="7">
        <v>0.37847222222222221</v>
      </c>
      <c r="AA360" s="20" t="str">
        <f>grafico_sol1[[#This Row],[Value]]&amp;"|"&amp;grafico_sol1[[#This Row],[Numero Voltas]]</f>
        <v>0.378472222222222|2</v>
      </c>
    </row>
    <row r="361" spans="12:27" x14ac:dyDescent="0.25">
      <c r="L361" s="60" t="e">
        <f t="shared" si="10"/>
        <v>#N/A</v>
      </c>
      <c r="M361" s="42" t="e">
        <f t="shared" si="11"/>
        <v>#N/A</v>
      </c>
      <c r="U361">
        <v>3</v>
      </c>
      <c r="V361">
        <v>0</v>
      </c>
      <c r="W361" s="20" t="s">
        <v>2</v>
      </c>
      <c r="X361">
        <v>4</v>
      </c>
      <c r="Y361" s="20" t="s">
        <v>127</v>
      </c>
      <c r="Z361" s="7">
        <v>0.38194444444444442</v>
      </c>
      <c r="AA361" s="20" t="str">
        <f>grafico_sol1[[#This Row],[Value]]&amp;"|"&amp;grafico_sol1[[#This Row],[Numero Voltas]]</f>
        <v>0.381944444444444|3</v>
      </c>
    </row>
    <row r="362" spans="12:27" x14ac:dyDescent="0.25">
      <c r="L362" s="60" t="e">
        <f t="shared" si="10"/>
        <v>#N/A</v>
      </c>
      <c r="M362" s="42" t="e">
        <f t="shared" si="11"/>
        <v>#N/A</v>
      </c>
      <c r="U362">
        <v>2</v>
      </c>
      <c r="V362">
        <v>0</v>
      </c>
      <c r="W362" s="20" t="s">
        <v>302</v>
      </c>
      <c r="X362">
        <v>8</v>
      </c>
      <c r="Y362" s="20" t="s">
        <v>127</v>
      </c>
      <c r="Z362" s="7">
        <v>0.38541666666666669</v>
      </c>
      <c r="AA362" s="20" t="str">
        <f>grafico_sol1[[#This Row],[Value]]&amp;"|"&amp;grafico_sol1[[#This Row],[Numero Voltas]]</f>
        <v>0.385416666666667|2</v>
      </c>
    </row>
    <row r="363" spans="12:27" x14ac:dyDescent="0.25">
      <c r="L363" s="60" t="e">
        <f t="shared" si="10"/>
        <v>#N/A</v>
      </c>
      <c r="M363" s="42" t="e">
        <f t="shared" si="11"/>
        <v>#N/A</v>
      </c>
      <c r="U363">
        <v>3</v>
      </c>
      <c r="V363">
        <v>0</v>
      </c>
      <c r="W363" s="20" t="s">
        <v>208</v>
      </c>
      <c r="X363">
        <v>3</v>
      </c>
      <c r="Y363" s="20" t="s">
        <v>126</v>
      </c>
      <c r="Z363" s="7">
        <v>0.38611111111111113</v>
      </c>
      <c r="AA363" s="20" t="str">
        <f>grafico_sol1[[#This Row],[Value]]&amp;"|"&amp;grafico_sol1[[#This Row],[Numero Voltas]]</f>
        <v>0.386111111111111|3</v>
      </c>
    </row>
    <row r="364" spans="12:27" x14ac:dyDescent="0.25">
      <c r="L364" s="60" t="e">
        <f t="shared" si="10"/>
        <v>#N/A</v>
      </c>
      <c r="M364" s="42" t="e">
        <f t="shared" si="11"/>
        <v>#N/A</v>
      </c>
      <c r="U364">
        <v>3</v>
      </c>
      <c r="V364">
        <v>0</v>
      </c>
      <c r="W364" s="20" t="s">
        <v>208</v>
      </c>
      <c r="X364">
        <v>3</v>
      </c>
      <c r="Y364" s="20" t="s">
        <v>127</v>
      </c>
      <c r="Z364" s="7">
        <v>0.38611111111111113</v>
      </c>
      <c r="AA364" s="20" t="str">
        <f>grafico_sol1[[#This Row],[Value]]&amp;"|"&amp;grafico_sol1[[#This Row],[Numero Voltas]]</f>
        <v>0.386111111111111|3</v>
      </c>
    </row>
    <row r="365" spans="12:27" x14ac:dyDescent="0.25">
      <c r="L365" s="60" t="e">
        <f t="shared" si="10"/>
        <v>#N/A</v>
      </c>
      <c r="M365" s="42" t="e">
        <f t="shared" si="11"/>
        <v>#N/A</v>
      </c>
      <c r="U365">
        <v>3</v>
      </c>
      <c r="V365">
        <v>0</v>
      </c>
      <c r="W365" s="20" t="s">
        <v>228</v>
      </c>
      <c r="X365">
        <v>2</v>
      </c>
      <c r="Y365" s="20" t="s">
        <v>126</v>
      </c>
      <c r="Z365" s="7">
        <v>0.38750000000000001</v>
      </c>
      <c r="AA365" s="20" t="str">
        <f>grafico_sol1[[#This Row],[Value]]&amp;"|"&amp;grafico_sol1[[#This Row],[Numero Voltas]]</f>
        <v>0.3875|3</v>
      </c>
    </row>
    <row r="366" spans="12:27" x14ac:dyDescent="0.25">
      <c r="L366" s="60" t="e">
        <f t="shared" si="10"/>
        <v>#N/A</v>
      </c>
      <c r="M366" s="42" t="e">
        <f t="shared" si="11"/>
        <v>#N/A</v>
      </c>
      <c r="U366">
        <v>3</v>
      </c>
      <c r="V366">
        <v>0</v>
      </c>
      <c r="W366" s="20" t="s">
        <v>228</v>
      </c>
      <c r="X366">
        <v>2</v>
      </c>
      <c r="Y366" s="20" t="s">
        <v>127</v>
      </c>
      <c r="Z366" s="7">
        <v>0.38750000000000001</v>
      </c>
      <c r="AA366" s="20" t="str">
        <f>grafico_sol1[[#This Row],[Value]]&amp;"|"&amp;grafico_sol1[[#This Row],[Numero Voltas]]</f>
        <v>0.3875|3</v>
      </c>
    </row>
    <row r="367" spans="12:27" x14ac:dyDescent="0.25">
      <c r="L367" s="60" t="e">
        <f t="shared" si="10"/>
        <v>#N/A</v>
      </c>
      <c r="M367" s="42" t="e">
        <f t="shared" si="11"/>
        <v>#N/A</v>
      </c>
      <c r="U367">
        <v>3</v>
      </c>
      <c r="V367">
        <v>0</v>
      </c>
      <c r="W367" s="20" t="s">
        <v>228</v>
      </c>
      <c r="X367">
        <v>2</v>
      </c>
      <c r="Y367" s="20" t="s">
        <v>126</v>
      </c>
      <c r="Z367" s="7">
        <v>0.38750000000000001</v>
      </c>
      <c r="AA367" s="20" t="str">
        <f>grafico_sol1[[#This Row],[Value]]&amp;"|"&amp;grafico_sol1[[#This Row],[Numero Voltas]]</f>
        <v>0.3875|3</v>
      </c>
    </row>
    <row r="368" spans="12:27" x14ac:dyDescent="0.25">
      <c r="L368" s="60" t="e">
        <f t="shared" si="10"/>
        <v>#N/A</v>
      </c>
      <c r="M368" s="42" t="e">
        <f t="shared" si="11"/>
        <v>#N/A</v>
      </c>
      <c r="U368">
        <v>2</v>
      </c>
      <c r="V368">
        <v>0</v>
      </c>
      <c r="W368" s="20" t="s">
        <v>301</v>
      </c>
      <c r="X368">
        <v>7</v>
      </c>
      <c r="Y368" s="20" t="s">
        <v>126</v>
      </c>
      <c r="Z368" s="7">
        <v>0.38958333333333334</v>
      </c>
      <c r="AA368" s="20" t="str">
        <f>grafico_sol1[[#This Row],[Value]]&amp;"|"&amp;grafico_sol1[[#This Row],[Numero Voltas]]</f>
        <v>0.389583333333333|2</v>
      </c>
    </row>
    <row r="369" spans="12:27" x14ac:dyDescent="0.25">
      <c r="L369" s="60" t="e">
        <f t="shared" si="10"/>
        <v>#N/A</v>
      </c>
      <c r="M369" s="42" t="e">
        <f t="shared" si="11"/>
        <v>#N/A</v>
      </c>
      <c r="U369">
        <v>2</v>
      </c>
      <c r="V369">
        <v>0</v>
      </c>
      <c r="W369" s="20" t="s">
        <v>301</v>
      </c>
      <c r="X369">
        <v>7</v>
      </c>
      <c r="Y369" s="20" t="s">
        <v>127</v>
      </c>
      <c r="Z369" s="7">
        <v>0.38958333333333334</v>
      </c>
      <c r="AA369" s="20" t="str">
        <f>grafico_sol1[[#This Row],[Value]]&amp;"|"&amp;grafico_sol1[[#This Row],[Numero Voltas]]</f>
        <v>0.389583333333333|2</v>
      </c>
    </row>
    <row r="370" spans="12:27" x14ac:dyDescent="0.25">
      <c r="L370" s="60" t="e">
        <f t="shared" si="10"/>
        <v>#N/A</v>
      </c>
      <c r="M370" s="42" t="e">
        <f t="shared" si="11"/>
        <v>#N/A</v>
      </c>
      <c r="U370">
        <v>2</v>
      </c>
      <c r="V370">
        <v>0</v>
      </c>
      <c r="W370" s="20" t="s">
        <v>301</v>
      </c>
      <c r="X370">
        <v>7</v>
      </c>
      <c r="Y370" s="20" t="s">
        <v>126</v>
      </c>
      <c r="Z370" s="7">
        <v>0.38958333333333334</v>
      </c>
      <c r="AA370" s="20" t="str">
        <f>grafico_sol1[[#This Row],[Value]]&amp;"|"&amp;grafico_sol1[[#This Row],[Numero Voltas]]</f>
        <v>0.389583333333333|2</v>
      </c>
    </row>
    <row r="371" spans="12:27" x14ac:dyDescent="0.25">
      <c r="L371" s="60" t="e">
        <f t="shared" si="10"/>
        <v>#N/A</v>
      </c>
      <c r="M371" s="42" t="e">
        <f t="shared" si="11"/>
        <v>#N/A</v>
      </c>
      <c r="U371">
        <v>2</v>
      </c>
      <c r="V371">
        <v>0</v>
      </c>
      <c r="W371" s="20" t="s">
        <v>301</v>
      </c>
      <c r="X371">
        <v>7</v>
      </c>
      <c r="Y371" s="20" t="s">
        <v>127</v>
      </c>
      <c r="Z371" s="7">
        <v>0.39652777777777776</v>
      </c>
      <c r="AA371" s="20" t="str">
        <f>grafico_sol1[[#This Row],[Value]]&amp;"|"&amp;grafico_sol1[[#This Row],[Numero Voltas]]</f>
        <v>0.396527777777778|2</v>
      </c>
    </row>
    <row r="372" spans="12:27" x14ac:dyDescent="0.25">
      <c r="L372" s="60" t="e">
        <f t="shared" si="10"/>
        <v>#N/A</v>
      </c>
      <c r="M372" s="42" t="e">
        <f t="shared" si="11"/>
        <v>#N/A</v>
      </c>
      <c r="U372">
        <v>2</v>
      </c>
      <c r="V372">
        <v>0</v>
      </c>
      <c r="W372" s="20" t="s">
        <v>300</v>
      </c>
      <c r="X372">
        <v>6</v>
      </c>
      <c r="Y372" s="20" t="s">
        <v>126</v>
      </c>
      <c r="Z372" s="7">
        <v>0.39861111111111114</v>
      </c>
      <c r="AA372" s="20" t="str">
        <f>grafico_sol1[[#This Row],[Value]]&amp;"|"&amp;grafico_sol1[[#This Row],[Numero Voltas]]</f>
        <v>0.398611111111111|2</v>
      </c>
    </row>
    <row r="373" spans="12:27" x14ac:dyDescent="0.25">
      <c r="L373" s="60" t="e">
        <f t="shared" si="10"/>
        <v>#N/A</v>
      </c>
      <c r="M373" s="42" t="e">
        <f t="shared" si="11"/>
        <v>#N/A</v>
      </c>
      <c r="U373">
        <v>2</v>
      </c>
      <c r="V373">
        <v>0</v>
      </c>
      <c r="W373" s="20" t="s">
        <v>300</v>
      </c>
      <c r="X373">
        <v>6</v>
      </c>
      <c r="Y373" s="20" t="s">
        <v>127</v>
      </c>
      <c r="Z373" s="7">
        <v>0.39861111111111114</v>
      </c>
      <c r="AA373" s="20" t="str">
        <f>grafico_sol1[[#This Row],[Value]]&amp;"|"&amp;grafico_sol1[[#This Row],[Numero Voltas]]</f>
        <v>0.398611111111111|2</v>
      </c>
    </row>
    <row r="374" spans="12:27" x14ac:dyDescent="0.25">
      <c r="L374" s="60" t="e">
        <f t="shared" si="10"/>
        <v>#N/A</v>
      </c>
      <c r="M374" s="42" t="e">
        <f t="shared" si="11"/>
        <v>#N/A</v>
      </c>
      <c r="U374">
        <v>3</v>
      </c>
      <c r="V374">
        <v>0</v>
      </c>
      <c r="W374" s="20" t="s">
        <v>228</v>
      </c>
      <c r="X374">
        <v>2</v>
      </c>
      <c r="Y374" s="20" t="s">
        <v>127</v>
      </c>
      <c r="Z374" s="7">
        <v>0.4</v>
      </c>
      <c r="AA374" s="20" t="str">
        <f>grafico_sol1[[#This Row],[Value]]&amp;"|"&amp;grafico_sol1[[#This Row],[Numero Voltas]]</f>
        <v>0.4|3</v>
      </c>
    </row>
    <row r="375" spans="12:27" x14ac:dyDescent="0.25">
      <c r="L375" s="60" t="e">
        <f t="shared" ref="L375:L438" si="12">IF(Q375&lt;&gt;"",Q375,#N/A)</f>
        <v>#N/A</v>
      </c>
      <c r="M375" s="42" t="e">
        <f t="shared" ref="M375:M438" si="13">IF(R375&lt;&gt;"",R375,#N/A)</f>
        <v>#N/A</v>
      </c>
      <c r="U375">
        <v>2</v>
      </c>
      <c r="V375">
        <v>0</v>
      </c>
      <c r="W375" s="20" t="s">
        <v>215</v>
      </c>
      <c r="X375">
        <v>5</v>
      </c>
      <c r="Y375" s="20" t="s">
        <v>126</v>
      </c>
      <c r="Z375" s="7">
        <v>0.40138888888888891</v>
      </c>
      <c r="AA375" s="20" t="str">
        <f>grafico_sol1[[#This Row],[Value]]&amp;"|"&amp;grafico_sol1[[#This Row],[Numero Voltas]]</f>
        <v>0.401388888888889|2</v>
      </c>
    </row>
    <row r="376" spans="12:27" x14ac:dyDescent="0.25">
      <c r="L376" s="60" t="e">
        <f t="shared" si="12"/>
        <v>#N/A</v>
      </c>
      <c r="M376" s="42" t="e">
        <f t="shared" si="13"/>
        <v>#N/A</v>
      </c>
      <c r="U376">
        <v>2</v>
      </c>
      <c r="V376">
        <v>0</v>
      </c>
      <c r="W376" s="20" t="s">
        <v>215</v>
      </c>
      <c r="X376">
        <v>5</v>
      </c>
      <c r="Y376" s="20" t="s">
        <v>127</v>
      </c>
      <c r="Z376" s="7">
        <v>0.40138888888888891</v>
      </c>
      <c r="AA376" s="20" t="str">
        <f>grafico_sol1[[#This Row],[Value]]&amp;"|"&amp;grafico_sol1[[#This Row],[Numero Voltas]]</f>
        <v>0.401388888888889|2</v>
      </c>
    </row>
    <row r="377" spans="12:27" x14ac:dyDescent="0.25">
      <c r="L377" s="60" t="e">
        <f t="shared" si="12"/>
        <v>#N/A</v>
      </c>
      <c r="M377" s="42" t="e">
        <f t="shared" si="13"/>
        <v>#N/A</v>
      </c>
      <c r="U377">
        <v>3</v>
      </c>
      <c r="V377">
        <v>0</v>
      </c>
      <c r="W377" s="20" t="s">
        <v>200</v>
      </c>
      <c r="X377">
        <v>1</v>
      </c>
      <c r="Y377" s="20" t="s">
        <v>126</v>
      </c>
      <c r="Z377" s="7">
        <v>0.40138888888888891</v>
      </c>
      <c r="AA377" s="20" t="str">
        <f>grafico_sol1[[#This Row],[Value]]&amp;"|"&amp;grafico_sol1[[#This Row],[Numero Voltas]]</f>
        <v>0.401388888888889|3</v>
      </c>
    </row>
    <row r="378" spans="12:27" x14ac:dyDescent="0.25">
      <c r="L378" s="60" t="e">
        <f t="shared" si="12"/>
        <v>#N/A</v>
      </c>
      <c r="M378" s="42" t="e">
        <f t="shared" si="13"/>
        <v>#N/A</v>
      </c>
      <c r="U378">
        <v>3</v>
      </c>
      <c r="V378">
        <v>0</v>
      </c>
      <c r="W378" s="20" t="s">
        <v>200</v>
      </c>
      <c r="X378">
        <v>1</v>
      </c>
      <c r="Y378" s="20" t="s">
        <v>127</v>
      </c>
      <c r="Z378" s="7">
        <v>0.40138888888888891</v>
      </c>
      <c r="AA378" s="20" t="str">
        <f>grafico_sol1[[#This Row],[Value]]&amp;"|"&amp;grafico_sol1[[#This Row],[Numero Voltas]]</f>
        <v>0.401388888888889|3</v>
      </c>
    </row>
    <row r="379" spans="12:27" x14ac:dyDescent="0.25">
      <c r="L379" s="60" t="e">
        <f t="shared" si="12"/>
        <v>#N/A</v>
      </c>
      <c r="M379" s="42" t="e">
        <f t="shared" si="13"/>
        <v>#N/A</v>
      </c>
      <c r="U379">
        <v>3</v>
      </c>
      <c r="V379">
        <v>0</v>
      </c>
      <c r="W379" s="20" t="s">
        <v>203</v>
      </c>
      <c r="X379">
        <v>0</v>
      </c>
      <c r="Y379" s="20" t="s">
        <v>126</v>
      </c>
      <c r="Z379" s="7">
        <v>0.40277777777777779</v>
      </c>
      <c r="AA379" s="20" t="str">
        <f>grafico_sol1[[#This Row],[Value]]&amp;"|"&amp;grafico_sol1[[#This Row],[Numero Voltas]]</f>
        <v>0.402777777777778|3</v>
      </c>
    </row>
    <row r="380" spans="12:27" x14ac:dyDescent="0.25">
      <c r="L380" s="60" t="e">
        <f t="shared" si="12"/>
        <v>#N/A</v>
      </c>
      <c r="M380" s="42" t="e">
        <f t="shared" si="13"/>
        <v>#N/A</v>
      </c>
      <c r="U380">
        <v>3</v>
      </c>
      <c r="V380">
        <v>0</v>
      </c>
      <c r="W380" s="20" t="s">
        <v>203</v>
      </c>
      <c r="X380">
        <v>0</v>
      </c>
      <c r="Y380" s="20" t="s">
        <v>127</v>
      </c>
      <c r="Z380" s="7">
        <v>0.40277777777777779</v>
      </c>
      <c r="AA380" s="20" t="str">
        <f>grafico_sol1[[#This Row],[Value]]&amp;"|"&amp;grafico_sol1[[#This Row],[Numero Voltas]]</f>
        <v>0.402777777777778|3</v>
      </c>
    </row>
    <row r="381" spans="12:27" x14ac:dyDescent="0.25">
      <c r="L381" s="60" t="e">
        <f t="shared" si="12"/>
        <v>#N/A</v>
      </c>
      <c r="M381" s="42" t="e">
        <f t="shared" si="13"/>
        <v>#N/A</v>
      </c>
      <c r="U381">
        <v>3</v>
      </c>
      <c r="V381">
        <v>0</v>
      </c>
      <c r="W381" s="20" t="s">
        <v>203</v>
      </c>
      <c r="X381">
        <v>0</v>
      </c>
      <c r="Y381" s="20" t="s">
        <v>126</v>
      </c>
      <c r="Z381" s="7">
        <v>0.40277777777777779</v>
      </c>
      <c r="AA381" s="20" t="str">
        <f>grafico_sol1[[#This Row],[Value]]&amp;"|"&amp;grafico_sol1[[#This Row],[Numero Voltas]]</f>
        <v>0.402777777777778|3</v>
      </c>
    </row>
    <row r="382" spans="12:27" x14ac:dyDescent="0.25">
      <c r="L382" s="60" t="e">
        <f t="shared" si="12"/>
        <v>#N/A</v>
      </c>
      <c r="M382" s="42" t="e">
        <f t="shared" si="13"/>
        <v>#N/A</v>
      </c>
      <c r="U382">
        <v>2</v>
      </c>
      <c r="V382">
        <v>0</v>
      </c>
      <c r="W382" s="20" t="s">
        <v>2</v>
      </c>
      <c r="X382">
        <v>4</v>
      </c>
      <c r="Y382" s="20" t="s">
        <v>126</v>
      </c>
      <c r="Z382" s="7">
        <v>0.40347222222222223</v>
      </c>
      <c r="AA382" s="20" t="str">
        <f>grafico_sol1[[#This Row],[Value]]&amp;"|"&amp;grafico_sol1[[#This Row],[Numero Voltas]]</f>
        <v>0.403472222222222|2</v>
      </c>
    </row>
    <row r="383" spans="12:27" x14ac:dyDescent="0.25">
      <c r="L383" s="60" t="e">
        <f t="shared" si="12"/>
        <v>#N/A</v>
      </c>
      <c r="M383" s="42" t="e">
        <f t="shared" si="13"/>
        <v>#N/A</v>
      </c>
      <c r="U383">
        <v>2</v>
      </c>
      <c r="V383">
        <v>0</v>
      </c>
      <c r="W383" s="20" t="s">
        <v>2</v>
      </c>
      <c r="X383">
        <v>4</v>
      </c>
      <c r="Y383" s="20" t="s">
        <v>127</v>
      </c>
      <c r="Z383" s="7">
        <v>0.40347222222222223</v>
      </c>
      <c r="AA383" s="20" t="str">
        <f>grafico_sol1[[#This Row],[Value]]&amp;"|"&amp;grafico_sol1[[#This Row],[Numero Voltas]]</f>
        <v>0.403472222222222|2</v>
      </c>
    </row>
    <row r="384" spans="12:27" x14ac:dyDescent="0.25">
      <c r="L384" s="60" t="e">
        <f t="shared" si="12"/>
        <v>#N/A</v>
      </c>
      <c r="M384" s="42" t="e">
        <f t="shared" si="13"/>
        <v>#N/A</v>
      </c>
      <c r="U384">
        <v>2</v>
      </c>
      <c r="V384">
        <v>0</v>
      </c>
      <c r="W384" s="20" t="s">
        <v>2</v>
      </c>
      <c r="X384">
        <v>4</v>
      </c>
      <c r="Y384" s="20" t="s">
        <v>126</v>
      </c>
      <c r="Z384" s="7">
        <v>0.40347222222222223</v>
      </c>
      <c r="AA384" s="20" t="str">
        <f>grafico_sol1[[#This Row],[Value]]&amp;"|"&amp;grafico_sol1[[#This Row],[Numero Voltas]]</f>
        <v>0.403472222222222|2</v>
      </c>
    </row>
    <row r="385" spans="12:27" x14ac:dyDescent="0.25">
      <c r="L385" s="60" t="e">
        <f t="shared" si="12"/>
        <v>#N/A</v>
      </c>
      <c r="M385" s="42" t="e">
        <f t="shared" si="13"/>
        <v>#N/A</v>
      </c>
      <c r="U385">
        <v>2</v>
      </c>
      <c r="V385">
        <v>0</v>
      </c>
      <c r="W385" s="20" t="s">
        <v>2</v>
      </c>
      <c r="X385">
        <v>4</v>
      </c>
      <c r="Y385" s="20" t="s">
        <v>127</v>
      </c>
      <c r="Z385" s="7">
        <v>0.41388888888888886</v>
      </c>
      <c r="AA385" s="20" t="str">
        <f>grafico_sol1[[#This Row],[Value]]&amp;"|"&amp;grafico_sol1[[#This Row],[Numero Voltas]]</f>
        <v>0.413888888888889|2</v>
      </c>
    </row>
    <row r="386" spans="12:27" x14ac:dyDescent="0.25">
      <c r="L386" s="60" t="e">
        <f t="shared" si="12"/>
        <v>#N/A</v>
      </c>
      <c r="M386" s="42" t="e">
        <f t="shared" si="13"/>
        <v>#N/A</v>
      </c>
      <c r="U386">
        <v>2</v>
      </c>
      <c r="V386">
        <v>0</v>
      </c>
      <c r="W386" s="20" t="s">
        <v>2</v>
      </c>
      <c r="X386">
        <v>4</v>
      </c>
      <c r="Y386" s="20" t="s">
        <v>126</v>
      </c>
      <c r="Z386" s="7">
        <v>0.41388888888888886</v>
      </c>
      <c r="AA386" s="20" t="str">
        <f>grafico_sol1[[#This Row],[Value]]&amp;"|"&amp;grafico_sol1[[#This Row],[Numero Voltas]]</f>
        <v>0.413888888888889|2</v>
      </c>
    </row>
    <row r="387" spans="12:27" x14ac:dyDescent="0.25">
      <c r="L387" s="60" t="e">
        <f t="shared" si="12"/>
        <v>#N/A</v>
      </c>
      <c r="M387" s="42" t="e">
        <f t="shared" si="13"/>
        <v>#N/A</v>
      </c>
      <c r="U387">
        <v>3</v>
      </c>
      <c r="V387">
        <v>0</v>
      </c>
      <c r="W387" s="20" t="s">
        <v>203</v>
      </c>
      <c r="X387">
        <v>0</v>
      </c>
      <c r="Y387" s="20" t="s">
        <v>127</v>
      </c>
      <c r="Z387" s="7">
        <v>0.42083333333333334</v>
      </c>
      <c r="AA387" s="20" t="str">
        <f>grafico_sol1[[#This Row],[Value]]&amp;"|"&amp;grafico_sol1[[#This Row],[Numero Voltas]]</f>
        <v>0.420833333333333|3</v>
      </c>
    </row>
    <row r="388" spans="12:27" x14ac:dyDescent="0.25">
      <c r="L388" s="60" t="e">
        <f t="shared" si="12"/>
        <v>#N/A</v>
      </c>
      <c r="M388" s="42" t="e">
        <f t="shared" si="13"/>
        <v>#N/A</v>
      </c>
      <c r="U388">
        <v>3</v>
      </c>
      <c r="V388">
        <v>0</v>
      </c>
      <c r="W388" s="20" t="s">
        <v>203</v>
      </c>
      <c r="X388">
        <v>0</v>
      </c>
      <c r="Y388" s="20" t="s">
        <v>126</v>
      </c>
      <c r="Z388" s="7">
        <v>0.42083333333333334</v>
      </c>
      <c r="AA388" s="20" t="str">
        <f>grafico_sol1[[#This Row],[Value]]&amp;"|"&amp;grafico_sol1[[#This Row],[Numero Voltas]]</f>
        <v>0.420833333333333|3</v>
      </c>
    </row>
    <row r="389" spans="12:27" x14ac:dyDescent="0.25">
      <c r="L389" s="60" t="e">
        <f t="shared" si="12"/>
        <v>#N/A</v>
      </c>
      <c r="M389" s="42" t="e">
        <f t="shared" si="13"/>
        <v>#N/A</v>
      </c>
      <c r="U389">
        <v>3</v>
      </c>
      <c r="V389">
        <v>0</v>
      </c>
      <c r="W389" s="20" t="s">
        <v>203</v>
      </c>
      <c r="X389">
        <v>0</v>
      </c>
      <c r="Y389" s="20" t="s">
        <v>127</v>
      </c>
      <c r="Z389" s="7">
        <v>0.42083333333333334</v>
      </c>
      <c r="AA389" s="20" t="str">
        <f>grafico_sol1[[#This Row],[Value]]&amp;"|"&amp;grafico_sol1[[#This Row],[Numero Voltas]]</f>
        <v>0.420833333333333|3</v>
      </c>
    </row>
    <row r="390" spans="12:27" x14ac:dyDescent="0.25">
      <c r="L390" s="60" t="e">
        <f t="shared" si="12"/>
        <v>#N/A</v>
      </c>
      <c r="M390" s="42" t="e">
        <f t="shared" si="13"/>
        <v>#N/A</v>
      </c>
      <c r="U390">
        <v>3</v>
      </c>
      <c r="V390">
        <v>0</v>
      </c>
      <c r="W390" s="20" t="s">
        <v>200</v>
      </c>
      <c r="X390">
        <v>1</v>
      </c>
      <c r="Y390" s="20" t="s">
        <v>126</v>
      </c>
      <c r="Z390" s="7">
        <v>0.42222222222222222</v>
      </c>
      <c r="AA390" s="20" t="str">
        <f>grafico_sol1[[#This Row],[Value]]&amp;"|"&amp;grafico_sol1[[#This Row],[Numero Voltas]]</f>
        <v>0.422222222222222|3</v>
      </c>
    </row>
    <row r="391" spans="12:27" x14ac:dyDescent="0.25">
      <c r="L391" s="60" t="e">
        <f t="shared" si="12"/>
        <v>#N/A</v>
      </c>
      <c r="M391" s="42" t="e">
        <f t="shared" si="13"/>
        <v>#N/A</v>
      </c>
      <c r="U391">
        <v>3</v>
      </c>
      <c r="V391">
        <v>0</v>
      </c>
      <c r="W391" s="20" t="s">
        <v>200</v>
      </c>
      <c r="X391">
        <v>1</v>
      </c>
      <c r="Y391" s="20" t="s">
        <v>127</v>
      </c>
      <c r="Z391" s="7">
        <v>0.42222222222222222</v>
      </c>
      <c r="AA391" s="20" t="str">
        <f>grafico_sol1[[#This Row],[Value]]&amp;"|"&amp;grafico_sol1[[#This Row],[Numero Voltas]]</f>
        <v>0.422222222222222|3</v>
      </c>
    </row>
    <row r="392" spans="12:27" x14ac:dyDescent="0.25">
      <c r="L392" s="60" t="e">
        <f t="shared" si="12"/>
        <v>#N/A</v>
      </c>
      <c r="M392" s="42" t="e">
        <f t="shared" si="13"/>
        <v>#N/A</v>
      </c>
      <c r="U392">
        <v>3</v>
      </c>
      <c r="V392">
        <v>0</v>
      </c>
      <c r="W392" s="20" t="s">
        <v>200</v>
      </c>
      <c r="X392">
        <v>1</v>
      </c>
      <c r="Y392" s="20" t="s">
        <v>126</v>
      </c>
      <c r="Z392" s="7">
        <v>0.42222222222222222</v>
      </c>
      <c r="AA392" s="20" t="str">
        <f>grafico_sol1[[#This Row],[Value]]&amp;"|"&amp;grafico_sol1[[#This Row],[Numero Voltas]]</f>
        <v>0.422222222222222|3</v>
      </c>
    </row>
    <row r="393" spans="12:27" x14ac:dyDescent="0.25">
      <c r="L393" s="60" t="e">
        <f t="shared" si="12"/>
        <v>#N/A</v>
      </c>
      <c r="M393" s="42" t="e">
        <f t="shared" si="13"/>
        <v>#N/A</v>
      </c>
      <c r="U393">
        <v>2</v>
      </c>
      <c r="V393">
        <v>0</v>
      </c>
      <c r="W393" s="20" t="s">
        <v>2</v>
      </c>
      <c r="X393">
        <v>4</v>
      </c>
      <c r="Y393" s="20" t="s">
        <v>127</v>
      </c>
      <c r="Z393" s="7">
        <v>0.42291666666666666</v>
      </c>
      <c r="AA393" s="20" t="str">
        <f>grafico_sol1[[#This Row],[Value]]&amp;"|"&amp;grafico_sol1[[#This Row],[Numero Voltas]]</f>
        <v>0.422916666666667|2</v>
      </c>
    </row>
    <row r="394" spans="12:27" x14ac:dyDescent="0.25">
      <c r="L394" s="60" t="e">
        <f t="shared" si="12"/>
        <v>#N/A</v>
      </c>
      <c r="M394" s="42" t="e">
        <f t="shared" si="13"/>
        <v>#N/A</v>
      </c>
      <c r="U394">
        <v>3</v>
      </c>
      <c r="V394">
        <v>0</v>
      </c>
      <c r="W394" s="20" t="s">
        <v>200</v>
      </c>
      <c r="X394">
        <v>1</v>
      </c>
      <c r="Y394" s="20" t="s">
        <v>127</v>
      </c>
      <c r="Z394" s="7">
        <v>0.42499999999999999</v>
      </c>
      <c r="AA394" s="20" t="str">
        <f>grafico_sol1[[#This Row],[Value]]&amp;"|"&amp;grafico_sol1[[#This Row],[Numero Voltas]]</f>
        <v>0.425|3</v>
      </c>
    </row>
    <row r="395" spans="12:27" x14ac:dyDescent="0.25">
      <c r="L395" s="60" t="e">
        <f t="shared" si="12"/>
        <v>#N/A</v>
      </c>
      <c r="M395" s="42" t="e">
        <f t="shared" si="13"/>
        <v>#N/A</v>
      </c>
      <c r="U395">
        <v>3</v>
      </c>
      <c r="V395">
        <v>0</v>
      </c>
      <c r="W395" s="20" t="s">
        <v>228</v>
      </c>
      <c r="X395">
        <v>2</v>
      </c>
      <c r="Y395" s="20" t="s">
        <v>126</v>
      </c>
      <c r="Z395" s="7">
        <v>0.42569444444444443</v>
      </c>
      <c r="AA395" s="20" t="str">
        <f>grafico_sol1[[#This Row],[Value]]&amp;"|"&amp;grafico_sol1[[#This Row],[Numero Voltas]]</f>
        <v>0.425694444444444|3</v>
      </c>
    </row>
    <row r="396" spans="12:27" x14ac:dyDescent="0.25">
      <c r="L396" s="60" t="e">
        <f t="shared" si="12"/>
        <v>#N/A</v>
      </c>
      <c r="M396" s="42" t="e">
        <f t="shared" si="13"/>
        <v>#N/A</v>
      </c>
      <c r="U396">
        <v>3</v>
      </c>
      <c r="V396">
        <v>0</v>
      </c>
      <c r="W396" s="20" t="s">
        <v>228</v>
      </c>
      <c r="X396">
        <v>2</v>
      </c>
      <c r="Y396" s="20" t="s">
        <v>127</v>
      </c>
      <c r="Z396" s="7">
        <v>0.42569444444444443</v>
      </c>
      <c r="AA396" s="20" t="str">
        <f>grafico_sol1[[#This Row],[Value]]&amp;"|"&amp;grafico_sol1[[#This Row],[Numero Voltas]]</f>
        <v>0.425694444444444|3</v>
      </c>
    </row>
    <row r="397" spans="12:27" x14ac:dyDescent="0.25">
      <c r="L397" s="60" t="e">
        <f t="shared" si="12"/>
        <v>#N/A</v>
      </c>
      <c r="M397" s="42" t="e">
        <f t="shared" si="13"/>
        <v>#N/A</v>
      </c>
      <c r="U397">
        <v>3</v>
      </c>
      <c r="V397">
        <v>0</v>
      </c>
      <c r="W397" s="20" t="s">
        <v>228</v>
      </c>
      <c r="X397">
        <v>2</v>
      </c>
      <c r="Y397" s="20" t="s">
        <v>126</v>
      </c>
      <c r="Z397" s="7">
        <v>0.42569444444444443</v>
      </c>
      <c r="AA397" s="20" t="str">
        <f>grafico_sol1[[#This Row],[Value]]&amp;"|"&amp;grafico_sol1[[#This Row],[Numero Voltas]]</f>
        <v>0.425694444444444|3</v>
      </c>
    </row>
    <row r="398" spans="12:27" x14ac:dyDescent="0.25">
      <c r="L398" s="60" t="e">
        <f t="shared" si="12"/>
        <v>#N/A</v>
      </c>
      <c r="M398" s="42" t="e">
        <f t="shared" si="13"/>
        <v>#N/A</v>
      </c>
      <c r="U398">
        <v>2</v>
      </c>
      <c r="V398">
        <v>0</v>
      </c>
      <c r="W398" s="20" t="s">
        <v>208</v>
      </c>
      <c r="X398">
        <v>3</v>
      </c>
      <c r="Y398" s="20" t="s">
        <v>126</v>
      </c>
      <c r="Z398" s="7">
        <v>0.42638888888888887</v>
      </c>
      <c r="AA398" s="20" t="str">
        <f>grafico_sol1[[#This Row],[Value]]&amp;"|"&amp;grafico_sol1[[#This Row],[Numero Voltas]]</f>
        <v>0.426388888888889|2</v>
      </c>
    </row>
    <row r="399" spans="12:27" x14ac:dyDescent="0.25">
      <c r="L399" s="60" t="e">
        <f t="shared" si="12"/>
        <v>#N/A</v>
      </c>
      <c r="M399" s="42" t="e">
        <f t="shared" si="13"/>
        <v>#N/A</v>
      </c>
      <c r="U399">
        <v>2</v>
      </c>
      <c r="V399">
        <v>0</v>
      </c>
      <c r="W399" s="20" t="s">
        <v>208</v>
      </c>
      <c r="X399">
        <v>3</v>
      </c>
      <c r="Y399" s="20" t="s">
        <v>127</v>
      </c>
      <c r="Z399" s="7">
        <v>0.42638888888888887</v>
      </c>
      <c r="AA399" s="20" t="str">
        <f>grafico_sol1[[#This Row],[Value]]&amp;"|"&amp;grafico_sol1[[#This Row],[Numero Voltas]]</f>
        <v>0.426388888888889|2</v>
      </c>
    </row>
    <row r="400" spans="12:27" x14ac:dyDescent="0.25">
      <c r="L400" s="60" t="e">
        <f t="shared" si="12"/>
        <v>#N/A</v>
      </c>
      <c r="M400" s="42" t="e">
        <f t="shared" si="13"/>
        <v>#N/A</v>
      </c>
      <c r="U400">
        <v>2</v>
      </c>
      <c r="V400">
        <v>0</v>
      </c>
      <c r="W400" s="20" t="s">
        <v>208</v>
      </c>
      <c r="X400">
        <v>3</v>
      </c>
      <c r="Y400" s="20" t="s">
        <v>126</v>
      </c>
      <c r="Z400" s="7">
        <v>0.42638888888888887</v>
      </c>
      <c r="AA400" s="20" t="str">
        <f>grafico_sol1[[#This Row],[Value]]&amp;"|"&amp;grafico_sol1[[#This Row],[Numero Voltas]]</f>
        <v>0.426388888888889|2</v>
      </c>
    </row>
    <row r="401" spans="12:27" x14ac:dyDescent="0.25">
      <c r="L401" s="60" t="e">
        <f t="shared" si="12"/>
        <v>#N/A</v>
      </c>
      <c r="M401" s="42" t="e">
        <f t="shared" si="13"/>
        <v>#N/A</v>
      </c>
      <c r="U401">
        <v>3</v>
      </c>
      <c r="V401">
        <v>0</v>
      </c>
      <c r="W401" s="20" t="s">
        <v>228</v>
      </c>
      <c r="X401">
        <v>2</v>
      </c>
      <c r="Y401" s="20" t="s">
        <v>127</v>
      </c>
      <c r="Z401" s="7">
        <v>0.43819444444444444</v>
      </c>
      <c r="AA401" s="20" t="str">
        <f>grafico_sol1[[#This Row],[Value]]&amp;"|"&amp;grafico_sol1[[#This Row],[Numero Voltas]]</f>
        <v>0.438194444444444|3</v>
      </c>
    </row>
    <row r="402" spans="12:27" x14ac:dyDescent="0.25">
      <c r="L402" s="60" t="e">
        <f t="shared" si="12"/>
        <v>#N/A</v>
      </c>
      <c r="M402" s="42" t="e">
        <f t="shared" si="13"/>
        <v>#N/A</v>
      </c>
      <c r="U402">
        <v>3</v>
      </c>
      <c r="V402">
        <v>0</v>
      </c>
      <c r="W402" s="20" t="s">
        <v>208</v>
      </c>
      <c r="X402">
        <v>3</v>
      </c>
      <c r="Y402" s="20" t="s">
        <v>126</v>
      </c>
      <c r="Z402" s="7">
        <v>0.44027777777777777</v>
      </c>
      <c r="AA402" s="20" t="str">
        <f>grafico_sol1[[#This Row],[Value]]&amp;"|"&amp;grafico_sol1[[#This Row],[Numero Voltas]]</f>
        <v>0.440277777777778|3</v>
      </c>
    </row>
    <row r="403" spans="12:27" x14ac:dyDescent="0.25">
      <c r="L403" s="60" t="e">
        <f t="shared" si="12"/>
        <v>#N/A</v>
      </c>
      <c r="M403" s="42" t="e">
        <f t="shared" si="13"/>
        <v>#N/A</v>
      </c>
      <c r="U403">
        <v>3</v>
      </c>
      <c r="V403">
        <v>0</v>
      </c>
      <c r="W403" s="20" t="s">
        <v>208</v>
      </c>
      <c r="X403">
        <v>3</v>
      </c>
      <c r="Y403" s="20" t="s">
        <v>127</v>
      </c>
      <c r="Z403" s="7">
        <v>0.44027777777777777</v>
      </c>
      <c r="AA403" s="20" t="str">
        <f>grafico_sol1[[#This Row],[Value]]&amp;"|"&amp;grafico_sol1[[#This Row],[Numero Voltas]]</f>
        <v>0.440277777777778|3</v>
      </c>
    </row>
    <row r="404" spans="12:27" x14ac:dyDescent="0.25">
      <c r="L404" s="60" t="e">
        <f t="shared" si="12"/>
        <v>#N/A</v>
      </c>
      <c r="M404" s="42" t="e">
        <f t="shared" si="13"/>
        <v>#N/A</v>
      </c>
      <c r="U404">
        <v>3</v>
      </c>
      <c r="V404">
        <v>0</v>
      </c>
      <c r="W404" s="20" t="s">
        <v>208</v>
      </c>
      <c r="X404">
        <v>3</v>
      </c>
      <c r="Y404" s="20" t="s">
        <v>126</v>
      </c>
      <c r="Z404" s="7">
        <v>0.44027777777777777</v>
      </c>
      <c r="AA404" s="20" t="str">
        <f>grafico_sol1[[#This Row],[Value]]&amp;"|"&amp;grafico_sol1[[#This Row],[Numero Voltas]]</f>
        <v>0.440277777777778|3</v>
      </c>
    </row>
    <row r="405" spans="12:27" x14ac:dyDescent="0.25">
      <c r="L405" s="60" t="e">
        <f t="shared" si="12"/>
        <v>#N/A</v>
      </c>
      <c r="M405" s="42" t="e">
        <f t="shared" si="13"/>
        <v>#N/A</v>
      </c>
      <c r="U405">
        <v>2</v>
      </c>
      <c r="V405">
        <v>0</v>
      </c>
      <c r="W405" s="20" t="s">
        <v>208</v>
      </c>
      <c r="X405">
        <v>3</v>
      </c>
      <c r="Y405" s="20" t="s">
        <v>127</v>
      </c>
      <c r="Z405" s="7">
        <v>0.46805555555555556</v>
      </c>
      <c r="AA405" s="20" t="str">
        <f>grafico_sol1[[#This Row],[Value]]&amp;"|"&amp;grafico_sol1[[#This Row],[Numero Voltas]]</f>
        <v>0.468055555555556|2</v>
      </c>
    </row>
    <row r="406" spans="12:27" x14ac:dyDescent="0.25">
      <c r="L406" s="60" t="e">
        <f t="shared" si="12"/>
        <v>#N/A</v>
      </c>
      <c r="M406" s="42" t="e">
        <f t="shared" si="13"/>
        <v>#N/A</v>
      </c>
      <c r="U406">
        <v>2</v>
      </c>
      <c r="V406">
        <v>0</v>
      </c>
      <c r="W406" s="20" t="s">
        <v>208</v>
      </c>
      <c r="X406">
        <v>3</v>
      </c>
      <c r="Y406" s="20" t="s">
        <v>126</v>
      </c>
      <c r="Z406" s="7">
        <v>0.46805555555555556</v>
      </c>
      <c r="AA406" s="20" t="str">
        <f>grafico_sol1[[#This Row],[Value]]&amp;"|"&amp;grafico_sol1[[#This Row],[Numero Voltas]]</f>
        <v>0.468055555555556|2</v>
      </c>
    </row>
    <row r="407" spans="12:27" x14ac:dyDescent="0.25">
      <c r="L407" s="60" t="e">
        <f t="shared" si="12"/>
        <v>#N/A</v>
      </c>
      <c r="M407" s="42" t="e">
        <f t="shared" si="13"/>
        <v>#N/A</v>
      </c>
      <c r="U407">
        <v>2</v>
      </c>
      <c r="V407">
        <v>0</v>
      </c>
      <c r="W407" s="20" t="s">
        <v>208</v>
      </c>
      <c r="X407">
        <v>3</v>
      </c>
      <c r="Y407" s="20" t="s">
        <v>127</v>
      </c>
      <c r="Z407" s="7">
        <v>0.47708333333333336</v>
      </c>
      <c r="AA407" s="20" t="str">
        <f>grafico_sol1[[#This Row],[Value]]&amp;"|"&amp;grafico_sol1[[#This Row],[Numero Voltas]]</f>
        <v>0.477083333333333|2</v>
      </c>
    </row>
    <row r="408" spans="12:27" x14ac:dyDescent="0.25">
      <c r="L408" s="60" t="e">
        <f t="shared" si="12"/>
        <v>#N/A</v>
      </c>
      <c r="M408" s="42" t="e">
        <f t="shared" si="13"/>
        <v>#N/A</v>
      </c>
      <c r="U408">
        <v>2</v>
      </c>
      <c r="V408">
        <v>0</v>
      </c>
      <c r="W408" s="20" t="s">
        <v>228</v>
      </c>
      <c r="X408">
        <v>2</v>
      </c>
      <c r="Y408" s="20" t="s">
        <v>126</v>
      </c>
      <c r="Z408" s="7">
        <v>0.47916666666666669</v>
      </c>
      <c r="AA408" s="20" t="str">
        <f>grafico_sol1[[#This Row],[Value]]&amp;"|"&amp;grafico_sol1[[#This Row],[Numero Voltas]]</f>
        <v>0.479166666666667|2</v>
      </c>
    </row>
    <row r="409" spans="12:27" x14ac:dyDescent="0.25">
      <c r="L409" s="60" t="e">
        <f t="shared" si="12"/>
        <v>#N/A</v>
      </c>
      <c r="M409" s="42" t="e">
        <f t="shared" si="13"/>
        <v>#N/A</v>
      </c>
      <c r="U409">
        <v>2</v>
      </c>
      <c r="V409">
        <v>0</v>
      </c>
      <c r="W409" s="20" t="s">
        <v>228</v>
      </c>
      <c r="X409">
        <v>2</v>
      </c>
      <c r="Y409" s="20" t="s">
        <v>127</v>
      </c>
      <c r="Z409" s="7">
        <v>0.47916666666666669</v>
      </c>
      <c r="AA409" s="20" t="str">
        <f>grafico_sol1[[#This Row],[Value]]&amp;"|"&amp;grafico_sol1[[#This Row],[Numero Voltas]]</f>
        <v>0.479166666666667|2</v>
      </c>
    </row>
    <row r="410" spans="12:27" x14ac:dyDescent="0.25">
      <c r="L410" s="60" t="e">
        <f t="shared" si="12"/>
        <v>#N/A</v>
      </c>
      <c r="M410" s="42" t="e">
        <f t="shared" si="13"/>
        <v>#N/A</v>
      </c>
      <c r="U410">
        <v>2</v>
      </c>
      <c r="V410">
        <v>0</v>
      </c>
      <c r="W410" s="20" t="s">
        <v>228</v>
      </c>
      <c r="X410">
        <v>2</v>
      </c>
      <c r="Y410" s="20" t="s">
        <v>126</v>
      </c>
      <c r="Z410" s="7">
        <v>0.47916666666666669</v>
      </c>
      <c r="AA410" s="20" t="str">
        <f>grafico_sol1[[#This Row],[Value]]&amp;"|"&amp;grafico_sol1[[#This Row],[Numero Voltas]]</f>
        <v>0.479166666666667|2</v>
      </c>
    </row>
    <row r="411" spans="12:27" x14ac:dyDescent="0.25">
      <c r="L411" s="60" t="e">
        <f t="shared" si="12"/>
        <v>#N/A</v>
      </c>
      <c r="M411" s="42" t="e">
        <f t="shared" si="13"/>
        <v>#N/A</v>
      </c>
      <c r="U411">
        <v>3</v>
      </c>
      <c r="V411">
        <v>0</v>
      </c>
      <c r="W411" s="20" t="s">
        <v>208</v>
      </c>
      <c r="X411">
        <v>3</v>
      </c>
      <c r="Y411" s="20" t="s">
        <v>127</v>
      </c>
      <c r="Z411" s="7">
        <v>0.48194444444444445</v>
      </c>
      <c r="AA411" s="20" t="str">
        <f>grafico_sol1[[#This Row],[Value]]&amp;"|"&amp;grafico_sol1[[#This Row],[Numero Voltas]]</f>
        <v>0.481944444444444|3</v>
      </c>
    </row>
    <row r="412" spans="12:27" x14ac:dyDescent="0.25">
      <c r="L412" s="60" t="e">
        <f t="shared" si="12"/>
        <v>#N/A</v>
      </c>
      <c r="M412" s="42" t="e">
        <f t="shared" si="13"/>
        <v>#N/A</v>
      </c>
      <c r="U412">
        <v>3</v>
      </c>
      <c r="V412">
        <v>0</v>
      </c>
      <c r="W412" s="20" t="s">
        <v>208</v>
      </c>
      <c r="X412">
        <v>3</v>
      </c>
      <c r="Y412" s="20" t="s">
        <v>126</v>
      </c>
      <c r="Z412" s="7">
        <v>0.48194444444444445</v>
      </c>
      <c r="AA412" s="20" t="str">
        <f>grafico_sol1[[#This Row],[Value]]&amp;"|"&amp;grafico_sol1[[#This Row],[Numero Voltas]]</f>
        <v>0.481944444444444|3</v>
      </c>
    </row>
    <row r="413" spans="12:27" x14ac:dyDescent="0.25">
      <c r="L413" s="60" t="e">
        <f t="shared" si="12"/>
        <v>#N/A</v>
      </c>
      <c r="M413" s="42" t="e">
        <f t="shared" si="13"/>
        <v>#N/A</v>
      </c>
      <c r="U413">
        <v>3</v>
      </c>
      <c r="V413">
        <v>0</v>
      </c>
      <c r="W413" s="20" t="s">
        <v>208</v>
      </c>
      <c r="X413">
        <v>3</v>
      </c>
      <c r="Y413" s="20" t="s">
        <v>127</v>
      </c>
      <c r="Z413" s="7">
        <v>0.4909722222222222</v>
      </c>
      <c r="AA413" s="20" t="str">
        <f>grafico_sol1[[#This Row],[Value]]&amp;"|"&amp;grafico_sol1[[#This Row],[Numero Voltas]]</f>
        <v>0.490972222222222|3</v>
      </c>
    </row>
    <row r="414" spans="12:27" x14ac:dyDescent="0.25">
      <c r="L414" s="60" t="e">
        <f t="shared" si="12"/>
        <v>#N/A</v>
      </c>
      <c r="M414" s="42" t="e">
        <f t="shared" si="13"/>
        <v>#N/A</v>
      </c>
      <c r="U414">
        <v>2</v>
      </c>
      <c r="V414">
        <v>0</v>
      </c>
      <c r="W414" s="20" t="s">
        <v>228</v>
      </c>
      <c r="X414">
        <v>2</v>
      </c>
      <c r="Y414" s="20" t="s">
        <v>127</v>
      </c>
      <c r="Z414" s="7">
        <v>0.49166666666666664</v>
      </c>
      <c r="AA414" s="20" t="str">
        <f>grafico_sol1[[#This Row],[Value]]&amp;"|"&amp;grafico_sol1[[#This Row],[Numero Voltas]]</f>
        <v>0.491666666666667|2</v>
      </c>
    </row>
    <row r="415" spans="12:27" x14ac:dyDescent="0.25">
      <c r="L415" s="60" t="e">
        <f t="shared" si="12"/>
        <v>#N/A</v>
      </c>
      <c r="M415" s="42" t="e">
        <f t="shared" si="13"/>
        <v>#N/A</v>
      </c>
      <c r="U415">
        <v>2</v>
      </c>
      <c r="V415">
        <v>0</v>
      </c>
      <c r="W415" s="20" t="s">
        <v>200</v>
      </c>
      <c r="X415">
        <v>1</v>
      </c>
      <c r="Y415" s="20" t="s">
        <v>126</v>
      </c>
      <c r="Z415" s="7">
        <v>0.49236111111111114</v>
      </c>
      <c r="AA415" s="20" t="str">
        <f>grafico_sol1[[#This Row],[Value]]&amp;"|"&amp;grafico_sol1[[#This Row],[Numero Voltas]]</f>
        <v>0.492361111111111|2</v>
      </c>
    </row>
    <row r="416" spans="12:27" x14ac:dyDescent="0.25">
      <c r="L416" s="60" t="e">
        <f t="shared" si="12"/>
        <v>#N/A</v>
      </c>
      <c r="M416" s="42" t="e">
        <f t="shared" si="13"/>
        <v>#N/A</v>
      </c>
      <c r="U416">
        <v>2</v>
      </c>
      <c r="V416">
        <v>0</v>
      </c>
      <c r="W416" s="20" t="s">
        <v>200</v>
      </c>
      <c r="X416">
        <v>1</v>
      </c>
      <c r="Y416" s="20" t="s">
        <v>127</v>
      </c>
      <c r="Z416" s="7">
        <v>0.49236111111111114</v>
      </c>
      <c r="AA416" s="20" t="str">
        <f>grafico_sol1[[#This Row],[Value]]&amp;"|"&amp;grafico_sol1[[#This Row],[Numero Voltas]]</f>
        <v>0.492361111111111|2</v>
      </c>
    </row>
    <row r="417" spans="12:27" x14ac:dyDescent="0.25">
      <c r="L417" s="60" t="e">
        <f t="shared" si="12"/>
        <v>#N/A</v>
      </c>
      <c r="M417" s="42" t="e">
        <f t="shared" si="13"/>
        <v>#N/A</v>
      </c>
      <c r="U417">
        <v>2</v>
      </c>
      <c r="V417">
        <v>0</v>
      </c>
      <c r="W417" s="20" t="s">
        <v>200</v>
      </c>
      <c r="X417">
        <v>1</v>
      </c>
      <c r="Y417" s="20" t="s">
        <v>126</v>
      </c>
      <c r="Z417" s="7">
        <v>0.49236111111111114</v>
      </c>
      <c r="AA417" s="20" t="str">
        <f>grafico_sol1[[#This Row],[Value]]&amp;"|"&amp;grafico_sol1[[#This Row],[Numero Voltas]]</f>
        <v>0.492361111111111|2</v>
      </c>
    </row>
    <row r="418" spans="12:27" x14ac:dyDescent="0.25">
      <c r="L418" s="60" t="e">
        <f t="shared" si="12"/>
        <v>#N/A</v>
      </c>
      <c r="M418" s="42" t="e">
        <f t="shared" si="13"/>
        <v>#N/A</v>
      </c>
      <c r="U418">
        <v>3</v>
      </c>
      <c r="V418">
        <v>0</v>
      </c>
      <c r="W418" s="20" t="s">
        <v>2</v>
      </c>
      <c r="X418">
        <v>4</v>
      </c>
      <c r="Y418" s="20" t="s">
        <v>126</v>
      </c>
      <c r="Z418" s="7">
        <v>0.49444444444444446</v>
      </c>
      <c r="AA418" s="20" t="str">
        <f>grafico_sol1[[#This Row],[Value]]&amp;"|"&amp;grafico_sol1[[#This Row],[Numero Voltas]]</f>
        <v>0.494444444444444|3</v>
      </c>
    </row>
    <row r="419" spans="12:27" x14ac:dyDescent="0.25">
      <c r="L419" s="60" t="e">
        <f t="shared" si="12"/>
        <v>#N/A</v>
      </c>
      <c r="M419" s="42" t="e">
        <f t="shared" si="13"/>
        <v>#N/A</v>
      </c>
      <c r="U419">
        <v>3</v>
      </c>
      <c r="V419">
        <v>0</v>
      </c>
      <c r="W419" s="20" t="s">
        <v>2</v>
      </c>
      <c r="X419">
        <v>4</v>
      </c>
      <c r="Y419" s="20" t="s">
        <v>127</v>
      </c>
      <c r="Z419" s="7">
        <v>0.49444444444444446</v>
      </c>
      <c r="AA419" s="20" t="str">
        <f>grafico_sol1[[#This Row],[Value]]&amp;"|"&amp;grafico_sol1[[#This Row],[Numero Voltas]]</f>
        <v>0.494444444444444|3</v>
      </c>
    </row>
    <row r="420" spans="12:27" x14ac:dyDescent="0.25">
      <c r="L420" s="60" t="e">
        <f t="shared" si="12"/>
        <v>#N/A</v>
      </c>
      <c r="M420" s="42" t="e">
        <f t="shared" si="13"/>
        <v>#N/A</v>
      </c>
      <c r="U420">
        <v>3</v>
      </c>
      <c r="V420">
        <v>0</v>
      </c>
      <c r="W420" s="20" t="s">
        <v>2</v>
      </c>
      <c r="X420">
        <v>4</v>
      </c>
      <c r="Y420" s="20" t="s">
        <v>126</v>
      </c>
      <c r="Z420" s="7">
        <v>0.49444444444444446</v>
      </c>
      <c r="AA420" s="20" t="str">
        <f>grafico_sol1[[#This Row],[Value]]&amp;"|"&amp;grafico_sol1[[#This Row],[Numero Voltas]]</f>
        <v>0.494444444444444|3</v>
      </c>
    </row>
    <row r="421" spans="12:27" x14ac:dyDescent="0.25">
      <c r="L421" s="60" t="e">
        <f t="shared" si="12"/>
        <v>#N/A</v>
      </c>
      <c r="M421" s="42" t="e">
        <f t="shared" si="13"/>
        <v>#N/A</v>
      </c>
      <c r="U421">
        <v>2</v>
      </c>
      <c r="V421">
        <v>0</v>
      </c>
      <c r="W421" s="20" t="s">
        <v>200</v>
      </c>
      <c r="X421">
        <v>1</v>
      </c>
      <c r="Y421" s="20" t="s">
        <v>127</v>
      </c>
      <c r="Z421" s="7">
        <v>0.49513888888888891</v>
      </c>
      <c r="AA421" s="20" t="str">
        <f>grafico_sol1[[#This Row],[Value]]&amp;"|"&amp;grafico_sol1[[#This Row],[Numero Voltas]]</f>
        <v>0.495138888888889|2</v>
      </c>
    </row>
    <row r="422" spans="12:27" x14ac:dyDescent="0.25">
      <c r="L422" s="60" t="e">
        <f t="shared" si="12"/>
        <v>#N/A</v>
      </c>
      <c r="M422" s="42" t="e">
        <f t="shared" si="13"/>
        <v>#N/A</v>
      </c>
      <c r="U422">
        <v>2</v>
      </c>
      <c r="V422">
        <v>0</v>
      </c>
      <c r="W422" s="20" t="s">
        <v>203</v>
      </c>
      <c r="X422">
        <v>0</v>
      </c>
      <c r="Y422" s="20" t="s">
        <v>126</v>
      </c>
      <c r="Z422" s="7">
        <v>0.49652777777777779</v>
      </c>
      <c r="AA422" s="20" t="str">
        <f>grafico_sol1[[#This Row],[Value]]&amp;"|"&amp;grafico_sol1[[#This Row],[Numero Voltas]]</f>
        <v>0.496527777777778|2</v>
      </c>
    </row>
    <row r="423" spans="12:27" x14ac:dyDescent="0.25">
      <c r="L423" s="60" t="e">
        <f t="shared" si="12"/>
        <v>#N/A</v>
      </c>
      <c r="M423" s="42" t="e">
        <f t="shared" si="13"/>
        <v>#N/A</v>
      </c>
      <c r="U423">
        <v>2</v>
      </c>
      <c r="V423">
        <v>0</v>
      </c>
      <c r="W423" s="20" t="s">
        <v>203</v>
      </c>
      <c r="X423">
        <v>0</v>
      </c>
      <c r="Y423" s="20" t="s">
        <v>127</v>
      </c>
      <c r="Z423" s="7">
        <v>0.49652777777777779</v>
      </c>
      <c r="AA423" s="20" t="str">
        <f>grafico_sol1[[#This Row],[Value]]&amp;"|"&amp;grafico_sol1[[#This Row],[Numero Voltas]]</f>
        <v>0.496527777777778|2</v>
      </c>
    </row>
    <row r="424" spans="12:27" x14ac:dyDescent="0.25">
      <c r="L424" s="60" t="e">
        <f t="shared" si="12"/>
        <v>#N/A</v>
      </c>
      <c r="M424" s="42" t="e">
        <f t="shared" si="13"/>
        <v>#N/A</v>
      </c>
      <c r="U424">
        <v>2</v>
      </c>
      <c r="V424">
        <v>0</v>
      </c>
      <c r="W424" s="20" t="s">
        <v>203</v>
      </c>
      <c r="X424">
        <v>0</v>
      </c>
      <c r="Y424" s="20" t="s">
        <v>126</v>
      </c>
      <c r="Z424" s="7">
        <v>0.49652777777777779</v>
      </c>
      <c r="AA424" s="20" t="str">
        <f>grafico_sol1[[#This Row],[Value]]&amp;"|"&amp;grafico_sol1[[#This Row],[Numero Voltas]]</f>
        <v>0.496527777777778|2</v>
      </c>
    </row>
    <row r="425" spans="12:27" x14ac:dyDescent="0.25">
      <c r="L425" s="60" t="e">
        <f t="shared" si="12"/>
        <v>#N/A</v>
      </c>
      <c r="M425" s="42" t="e">
        <f t="shared" si="13"/>
        <v>#N/A</v>
      </c>
      <c r="U425">
        <v>3</v>
      </c>
      <c r="V425">
        <v>0</v>
      </c>
      <c r="W425" s="20" t="s">
        <v>2</v>
      </c>
      <c r="X425">
        <v>4</v>
      </c>
      <c r="Y425" s="20" t="s">
        <v>127</v>
      </c>
      <c r="Z425" s="7">
        <v>0.50347222222222221</v>
      </c>
      <c r="AA425" s="20" t="str">
        <f>grafico_sol1[[#This Row],[Value]]&amp;"|"&amp;grafico_sol1[[#This Row],[Numero Voltas]]</f>
        <v>0.503472222222222|3</v>
      </c>
    </row>
    <row r="426" spans="12:27" x14ac:dyDescent="0.25">
      <c r="L426" s="60" t="e">
        <f t="shared" si="12"/>
        <v>#N/A</v>
      </c>
      <c r="M426" s="42" t="e">
        <f t="shared" si="13"/>
        <v>#N/A</v>
      </c>
      <c r="U426">
        <v>3</v>
      </c>
      <c r="V426">
        <v>0</v>
      </c>
      <c r="W426" s="20" t="s">
        <v>215</v>
      </c>
      <c r="X426">
        <v>5</v>
      </c>
      <c r="Y426" s="20" t="s">
        <v>126</v>
      </c>
      <c r="Z426" s="7">
        <v>0.50555555555555554</v>
      </c>
      <c r="AA426" s="20" t="str">
        <f>grafico_sol1[[#This Row],[Value]]&amp;"|"&amp;grafico_sol1[[#This Row],[Numero Voltas]]</f>
        <v>0.505555555555556|3</v>
      </c>
    </row>
    <row r="427" spans="12:27" x14ac:dyDescent="0.25">
      <c r="L427" s="60" t="e">
        <f t="shared" si="12"/>
        <v>#N/A</v>
      </c>
      <c r="M427" s="42" t="e">
        <f t="shared" si="13"/>
        <v>#N/A</v>
      </c>
      <c r="U427">
        <v>3</v>
      </c>
      <c r="V427">
        <v>0</v>
      </c>
      <c r="W427" s="20" t="s">
        <v>215</v>
      </c>
      <c r="X427">
        <v>5</v>
      </c>
      <c r="Y427" s="20" t="s">
        <v>127</v>
      </c>
      <c r="Z427" s="7">
        <v>0.50555555555555554</v>
      </c>
      <c r="AA427" s="20" t="str">
        <f>grafico_sol1[[#This Row],[Value]]&amp;"|"&amp;grafico_sol1[[#This Row],[Numero Voltas]]</f>
        <v>0.505555555555556|3</v>
      </c>
    </row>
    <row r="428" spans="12:27" x14ac:dyDescent="0.25">
      <c r="L428" s="60" t="e">
        <f t="shared" si="12"/>
        <v>#N/A</v>
      </c>
      <c r="M428" s="42" t="e">
        <f t="shared" si="13"/>
        <v>#N/A</v>
      </c>
      <c r="U428">
        <v>3</v>
      </c>
      <c r="V428">
        <v>0</v>
      </c>
      <c r="W428" s="20" t="s">
        <v>300</v>
      </c>
      <c r="X428">
        <v>6</v>
      </c>
      <c r="Y428" s="20" t="s">
        <v>126</v>
      </c>
      <c r="Z428" s="7">
        <v>0.5083333333333333</v>
      </c>
      <c r="AA428" s="20" t="str">
        <f>grafico_sol1[[#This Row],[Value]]&amp;"|"&amp;grafico_sol1[[#This Row],[Numero Voltas]]</f>
        <v>0.508333333333333|3</v>
      </c>
    </row>
    <row r="429" spans="12:27" x14ac:dyDescent="0.25">
      <c r="L429" s="60" t="e">
        <f t="shared" si="12"/>
        <v>#N/A</v>
      </c>
      <c r="M429" s="42" t="e">
        <f t="shared" si="13"/>
        <v>#N/A</v>
      </c>
      <c r="U429">
        <v>3</v>
      </c>
      <c r="V429">
        <v>0</v>
      </c>
      <c r="W429" s="20" t="s">
        <v>300</v>
      </c>
      <c r="X429">
        <v>6</v>
      </c>
      <c r="Y429" s="20" t="s">
        <v>127</v>
      </c>
      <c r="Z429" s="7">
        <v>0.5083333333333333</v>
      </c>
      <c r="AA429" s="20" t="str">
        <f>grafico_sol1[[#This Row],[Value]]&amp;"|"&amp;grafico_sol1[[#This Row],[Numero Voltas]]</f>
        <v>0.508333333333333|3</v>
      </c>
    </row>
    <row r="430" spans="12:27" x14ac:dyDescent="0.25">
      <c r="L430" s="60" t="e">
        <f t="shared" si="12"/>
        <v>#N/A</v>
      </c>
      <c r="M430" s="42" t="e">
        <f t="shared" si="13"/>
        <v>#N/A</v>
      </c>
      <c r="U430">
        <v>3</v>
      </c>
      <c r="V430">
        <v>0</v>
      </c>
      <c r="W430" s="20" t="s">
        <v>301</v>
      </c>
      <c r="X430">
        <v>7</v>
      </c>
      <c r="Y430" s="20" t="s">
        <v>126</v>
      </c>
      <c r="Z430" s="7">
        <v>0.51041666666666663</v>
      </c>
      <c r="AA430" s="20" t="str">
        <f>grafico_sol1[[#This Row],[Value]]&amp;"|"&amp;grafico_sol1[[#This Row],[Numero Voltas]]</f>
        <v>0.510416666666667|3</v>
      </c>
    </row>
    <row r="431" spans="12:27" x14ac:dyDescent="0.25">
      <c r="L431" s="60" t="e">
        <f t="shared" si="12"/>
        <v>#N/A</v>
      </c>
      <c r="M431" s="42" t="e">
        <f t="shared" si="13"/>
        <v>#N/A</v>
      </c>
      <c r="U431">
        <v>3</v>
      </c>
      <c r="V431">
        <v>0</v>
      </c>
      <c r="W431" s="20" t="s">
        <v>301</v>
      </c>
      <c r="X431">
        <v>7</v>
      </c>
      <c r="Y431" s="20" t="s">
        <v>127</v>
      </c>
      <c r="Z431" s="7">
        <v>0.51041666666666663</v>
      </c>
      <c r="AA431" s="20" t="str">
        <f>grafico_sol1[[#This Row],[Value]]&amp;"|"&amp;grafico_sol1[[#This Row],[Numero Voltas]]</f>
        <v>0.510416666666667|3</v>
      </c>
    </row>
    <row r="432" spans="12:27" x14ac:dyDescent="0.25">
      <c r="L432" s="60" t="e">
        <f t="shared" si="12"/>
        <v>#N/A</v>
      </c>
      <c r="M432" s="42" t="e">
        <f t="shared" si="13"/>
        <v>#N/A</v>
      </c>
      <c r="U432">
        <v>3</v>
      </c>
      <c r="V432">
        <v>0</v>
      </c>
      <c r="W432" s="20" t="s">
        <v>301</v>
      </c>
      <c r="X432">
        <v>7</v>
      </c>
      <c r="Y432" s="20" t="s">
        <v>126</v>
      </c>
      <c r="Z432" s="7">
        <v>0.51041666666666663</v>
      </c>
      <c r="AA432" s="20" t="str">
        <f>grafico_sol1[[#This Row],[Value]]&amp;"|"&amp;grafico_sol1[[#This Row],[Numero Voltas]]</f>
        <v>0.510416666666667|3</v>
      </c>
    </row>
    <row r="433" spans="12:27" x14ac:dyDescent="0.25">
      <c r="L433" s="60" t="e">
        <f t="shared" si="12"/>
        <v>#N/A</v>
      </c>
      <c r="M433" s="42" t="e">
        <f t="shared" si="13"/>
        <v>#N/A</v>
      </c>
      <c r="U433">
        <v>2</v>
      </c>
      <c r="V433">
        <v>0</v>
      </c>
      <c r="W433" s="20" t="s">
        <v>203</v>
      </c>
      <c r="X433">
        <v>0</v>
      </c>
      <c r="Y433" s="20" t="s">
        <v>127</v>
      </c>
      <c r="Z433" s="7">
        <v>0.51666666666666672</v>
      </c>
      <c r="AA433" s="20" t="str">
        <f>grafico_sol1[[#This Row],[Value]]&amp;"|"&amp;grafico_sol1[[#This Row],[Numero Voltas]]</f>
        <v>0.516666666666667|2</v>
      </c>
    </row>
    <row r="434" spans="12:27" x14ac:dyDescent="0.25">
      <c r="L434" s="60" t="e">
        <f t="shared" si="12"/>
        <v>#N/A</v>
      </c>
      <c r="M434" s="42" t="e">
        <f t="shared" si="13"/>
        <v>#N/A</v>
      </c>
      <c r="U434">
        <v>2</v>
      </c>
      <c r="V434">
        <v>0</v>
      </c>
      <c r="W434" s="20" t="s">
        <v>203</v>
      </c>
      <c r="X434">
        <v>0</v>
      </c>
      <c r="Y434" s="20" t="s">
        <v>126</v>
      </c>
      <c r="Z434" s="7">
        <v>0.51666666666666672</v>
      </c>
      <c r="AA434" s="20" t="str">
        <f>grafico_sol1[[#This Row],[Value]]&amp;"|"&amp;grafico_sol1[[#This Row],[Numero Voltas]]</f>
        <v>0.516666666666667|2</v>
      </c>
    </row>
    <row r="435" spans="12:27" x14ac:dyDescent="0.25">
      <c r="L435" s="60" t="e">
        <f t="shared" si="12"/>
        <v>#N/A</v>
      </c>
      <c r="M435" s="42" t="e">
        <f t="shared" si="13"/>
        <v>#N/A</v>
      </c>
      <c r="U435">
        <v>3</v>
      </c>
      <c r="V435">
        <v>0</v>
      </c>
      <c r="W435" s="20" t="s">
        <v>301</v>
      </c>
      <c r="X435">
        <v>7</v>
      </c>
      <c r="Y435" s="20" t="s">
        <v>127</v>
      </c>
      <c r="Z435" s="7">
        <v>0.51736111111111116</v>
      </c>
      <c r="AA435" s="20" t="str">
        <f>grafico_sol1[[#This Row],[Value]]&amp;"|"&amp;grafico_sol1[[#This Row],[Numero Voltas]]</f>
        <v>0.517361111111111|3</v>
      </c>
    </row>
    <row r="436" spans="12:27" x14ac:dyDescent="0.25">
      <c r="L436" s="60" t="e">
        <f t="shared" si="12"/>
        <v>#N/A</v>
      </c>
      <c r="M436" s="42" t="e">
        <f t="shared" si="13"/>
        <v>#N/A</v>
      </c>
      <c r="U436">
        <v>3</v>
      </c>
      <c r="V436">
        <v>0</v>
      </c>
      <c r="W436" s="20" t="s">
        <v>302</v>
      </c>
      <c r="X436">
        <v>8</v>
      </c>
      <c r="Y436" s="20" t="s">
        <v>126</v>
      </c>
      <c r="Z436" s="7">
        <v>0.52152777777777781</v>
      </c>
      <c r="AA436" s="20" t="str">
        <f>grafico_sol1[[#This Row],[Value]]&amp;"|"&amp;grafico_sol1[[#This Row],[Numero Voltas]]</f>
        <v>0.521527777777778|3</v>
      </c>
    </row>
    <row r="437" spans="12:27" x14ac:dyDescent="0.25">
      <c r="L437" s="60" t="e">
        <f t="shared" si="12"/>
        <v>#N/A</v>
      </c>
      <c r="M437" s="42" t="e">
        <f t="shared" si="13"/>
        <v>#N/A</v>
      </c>
      <c r="U437">
        <v>3</v>
      </c>
      <c r="V437">
        <v>0</v>
      </c>
      <c r="W437" s="20" t="s">
        <v>302</v>
      </c>
      <c r="X437">
        <v>8</v>
      </c>
      <c r="Y437" s="20" t="s">
        <v>127</v>
      </c>
      <c r="Z437" s="7">
        <v>0.52152777777777781</v>
      </c>
      <c r="AA437" s="20" t="str">
        <f>grafico_sol1[[#This Row],[Value]]&amp;"|"&amp;grafico_sol1[[#This Row],[Numero Voltas]]</f>
        <v>0.521527777777778|3</v>
      </c>
    </row>
    <row r="438" spans="12:27" x14ac:dyDescent="0.25">
      <c r="L438" s="60" t="e">
        <f t="shared" si="12"/>
        <v>#N/A</v>
      </c>
      <c r="M438" s="42" t="e">
        <f t="shared" si="13"/>
        <v>#N/A</v>
      </c>
      <c r="U438">
        <v>3</v>
      </c>
      <c r="V438">
        <v>0</v>
      </c>
      <c r="W438" s="20" t="s">
        <v>302</v>
      </c>
      <c r="X438">
        <v>8</v>
      </c>
      <c r="Y438" s="20" t="s">
        <v>126</v>
      </c>
      <c r="Z438" s="7">
        <v>0.52152777777777781</v>
      </c>
      <c r="AA438" s="20" t="str">
        <f>grafico_sol1[[#This Row],[Value]]&amp;"|"&amp;grafico_sol1[[#This Row],[Numero Voltas]]</f>
        <v>0.521527777777778|3</v>
      </c>
    </row>
    <row r="439" spans="12:27" x14ac:dyDescent="0.25">
      <c r="L439" s="60" t="e">
        <f t="shared" ref="L439:L502" si="14">IF(Q439&lt;&gt;"",Q439,#N/A)</f>
        <v>#N/A</v>
      </c>
      <c r="M439" s="42" t="e">
        <f t="shared" ref="M439:M502" si="15">IF(R439&lt;&gt;"",R439,#N/A)</f>
        <v>#N/A</v>
      </c>
      <c r="U439">
        <v>3</v>
      </c>
      <c r="V439">
        <v>0</v>
      </c>
      <c r="W439" s="20" t="s">
        <v>302</v>
      </c>
      <c r="X439">
        <v>8</v>
      </c>
      <c r="Y439" s="20" t="s">
        <v>127</v>
      </c>
      <c r="Z439" s="7">
        <v>0.52847222222222223</v>
      </c>
      <c r="AA439" s="20" t="str">
        <f>grafico_sol1[[#This Row],[Value]]&amp;"|"&amp;grafico_sol1[[#This Row],[Numero Voltas]]</f>
        <v>0.528472222222222|3</v>
      </c>
    </row>
    <row r="440" spans="12:27" x14ac:dyDescent="0.25">
      <c r="L440" s="60" t="e">
        <f t="shared" si="14"/>
        <v>#N/A</v>
      </c>
      <c r="M440" s="42" t="e">
        <f t="shared" si="15"/>
        <v>#N/A</v>
      </c>
      <c r="U440">
        <v>3</v>
      </c>
      <c r="V440">
        <v>0</v>
      </c>
      <c r="W440" s="20" t="s">
        <v>303</v>
      </c>
      <c r="X440">
        <v>9</v>
      </c>
      <c r="Y440" s="20" t="s">
        <v>126</v>
      </c>
      <c r="Z440" s="7">
        <v>0.53263888888888888</v>
      </c>
      <c r="AA440" s="20" t="str">
        <f>grafico_sol1[[#This Row],[Value]]&amp;"|"&amp;grafico_sol1[[#This Row],[Numero Voltas]]</f>
        <v>0.532638888888889|3</v>
      </c>
    </row>
    <row r="441" spans="12:27" x14ac:dyDescent="0.25">
      <c r="L441" s="60" t="e">
        <f t="shared" si="14"/>
        <v>#N/A</v>
      </c>
      <c r="M441" s="42" t="e">
        <f t="shared" si="15"/>
        <v>#N/A</v>
      </c>
      <c r="U441">
        <v>3</v>
      </c>
      <c r="V441">
        <v>0</v>
      </c>
      <c r="W441" s="20" t="s">
        <v>303</v>
      </c>
      <c r="X441">
        <v>9</v>
      </c>
      <c r="Y441" s="20" t="s">
        <v>127</v>
      </c>
      <c r="Z441" s="7">
        <v>0.53263888888888888</v>
      </c>
      <c r="AA441" s="20" t="str">
        <f>grafico_sol1[[#This Row],[Value]]&amp;"|"&amp;grafico_sol1[[#This Row],[Numero Voltas]]</f>
        <v>0.532638888888889|3</v>
      </c>
    </row>
    <row r="442" spans="12:27" x14ac:dyDescent="0.25">
      <c r="L442" s="60" t="e">
        <f t="shared" si="14"/>
        <v>#N/A</v>
      </c>
      <c r="M442" s="42" t="e">
        <f t="shared" si="15"/>
        <v>#N/A</v>
      </c>
      <c r="U442">
        <v>3</v>
      </c>
      <c r="V442">
        <v>0</v>
      </c>
      <c r="W442" s="20" t="s">
        <v>303</v>
      </c>
      <c r="X442">
        <v>9</v>
      </c>
      <c r="Y442" s="20" t="s">
        <v>126</v>
      </c>
      <c r="Z442" s="7">
        <v>0.53263888888888888</v>
      </c>
      <c r="AA442" s="20" t="str">
        <f>grafico_sol1[[#This Row],[Value]]&amp;"|"&amp;grafico_sol1[[#This Row],[Numero Voltas]]</f>
        <v>0.532638888888889|3</v>
      </c>
    </row>
    <row r="443" spans="12:27" x14ac:dyDescent="0.25">
      <c r="L443" s="60" t="e">
        <f t="shared" si="14"/>
        <v>#N/A</v>
      </c>
      <c r="M443" s="42" t="e">
        <f t="shared" si="15"/>
        <v>#N/A</v>
      </c>
      <c r="U443">
        <v>3</v>
      </c>
      <c r="V443">
        <v>0</v>
      </c>
      <c r="W443" s="20" t="s">
        <v>303</v>
      </c>
      <c r="X443">
        <v>9</v>
      </c>
      <c r="Y443" s="20" t="s">
        <v>127</v>
      </c>
      <c r="Z443" s="7">
        <v>0.53263888888888888</v>
      </c>
      <c r="AA443" s="20" t="str">
        <f>grafico_sol1[[#This Row],[Value]]&amp;"|"&amp;grafico_sol1[[#This Row],[Numero Voltas]]</f>
        <v>0.532638888888889|3</v>
      </c>
    </row>
    <row r="444" spans="12:27" x14ac:dyDescent="0.25">
      <c r="L444" s="60" t="e">
        <f t="shared" si="14"/>
        <v>#N/A</v>
      </c>
      <c r="M444" s="42" t="e">
        <f t="shared" si="15"/>
        <v>#N/A</v>
      </c>
      <c r="U444">
        <v>3</v>
      </c>
      <c r="V444">
        <v>0</v>
      </c>
      <c r="W444" s="20" t="s">
        <v>302</v>
      </c>
      <c r="X444">
        <v>8</v>
      </c>
      <c r="Y444" s="20" t="s">
        <v>126</v>
      </c>
      <c r="Z444" s="7">
        <v>0.53680555555555554</v>
      </c>
      <c r="AA444" s="20" t="str">
        <f>grafico_sol1[[#This Row],[Value]]&amp;"|"&amp;grafico_sol1[[#This Row],[Numero Voltas]]</f>
        <v>0.536805555555556|3</v>
      </c>
    </row>
    <row r="445" spans="12:27" x14ac:dyDescent="0.25">
      <c r="L445" s="60" t="e">
        <f t="shared" si="14"/>
        <v>#N/A</v>
      </c>
      <c r="M445" s="42" t="e">
        <f t="shared" si="15"/>
        <v>#N/A</v>
      </c>
      <c r="U445">
        <v>3</v>
      </c>
      <c r="V445">
        <v>0</v>
      </c>
      <c r="W445" s="20" t="s">
        <v>302</v>
      </c>
      <c r="X445">
        <v>8</v>
      </c>
      <c r="Y445" s="20" t="s">
        <v>127</v>
      </c>
      <c r="Z445" s="7">
        <v>0.53680555555555554</v>
      </c>
      <c r="AA445" s="20" t="str">
        <f>grafico_sol1[[#This Row],[Value]]&amp;"|"&amp;grafico_sol1[[#This Row],[Numero Voltas]]</f>
        <v>0.536805555555556|3</v>
      </c>
    </row>
    <row r="446" spans="12:27" x14ac:dyDescent="0.25">
      <c r="L446" s="60" t="e">
        <f t="shared" si="14"/>
        <v>#N/A</v>
      </c>
      <c r="M446" s="42" t="e">
        <f t="shared" si="15"/>
        <v>#N/A</v>
      </c>
      <c r="U446">
        <v>3</v>
      </c>
      <c r="V446">
        <v>0</v>
      </c>
      <c r="W446" s="20" t="s">
        <v>302</v>
      </c>
      <c r="X446">
        <v>8</v>
      </c>
      <c r="Y446" s="20" t="s">
        <v>126</v>
      </c>
      <c r="Z446" s="7">
        <v>0.53680555555555554</v>
      </c>
      <c r="AA446" s="20" t="str">
        <f>grafico_sol1[[#This Row],[Value]]&amp;"|"&amp;grafico_sol1[[#This Row],[Numero Voltas]]</f>
        <v>0.536805555555556|3</v>
      </c>
    </row>
    <row r="447" spans="12:27" x14ac:dyDescent="0.25">
      <c r="L447" s="60" t="e">
        <f t="shared" si="14"/>
        <v>#N/A</v>
      </c>
      <c r="M447" s="42" t="e">
        <f t="shared" si="15"/>
        <v>#N/A</v>
      </c>
      <c r="U447">
        <v>2</v>
      </c>
      <c r="V447">
        <v>0</v>
      </c>
      <c r="W447" s="20" t="s">
        <v>203</v>
      </c>
      <c r="X447">
        <v>0</v>
      </c>
      <c r="Y447" s="20" t="s">
        <v>127</v>
      </c>
      <c r="Z447" s="7">
        <v>0.53749999999999998</v>
      </c>
      <c r="AA447" s="20" t="str">
        <f>grafico_sol1[[#This Row],[Value]]&amp;"|"&amp;grafico_sol1[[#This Row],[Numero Voltas]]</f>
        <v>0.5375|2</v>
      </c>
    </row>
    <row r="448" spans="12:27" x14ac:dyDescent="0.25">
      <c r="L448" s="60" t="e">
        <f t="shared" si="14"/>
        <v>#N/A</v>
      </c>
      <c r="M448" s="42" t="e">
        <f t="shared" si="15"/>
        <v>#N/A</v>
      </c>
      <c r="U448">
        <v>2</v>
      </c>
      <c r="V448">
        <v>0</v>
      </c>
      <c r="W448" s="20" t="s">
        <v>203</v>
      </c>
      <c r="X448">
        <v>0</v>
      </c>
      <c r="Y448" s="20" t="s">
        <v>126</v>
      </c>
      <c r="Z448" s="7">
        <v>0.53749999999999998</v>
      </c>
      <c r="AA448" s="20" t="str">
        <f>grafico_sol1[[#This Row],[Value]]&amp;"|"&amp;grafico_sol1[[#This Row],[Numero Voltas]]</f>
        <v>0.5375|2</v>
      </c>
    </row>
    <row r="449" spans="12:27" x14ac:dyDescent="0.25">
      <c r="L449" s="60" t="e">
        <f t="shared" si="14"/>
        <v>#N/A</v>
      </c>
      <c r="M449" s="42" t="e">
        <f t="shared" si="15"/>
        <v>#N/A</v>
      </c>
      <c r="U449">
        <v>2</v>
      </c>
      <c r="V449">
        <v>0</v>
      </c>
      <c r="W449" s="20" t="s">
        <v>203</v>
      </c>
      <c r="X449">
        <v>0</v>
      </c>
      <c r="Y449" s="20" t="s">
        <v>127</v>
      </c>
      <c r="Z449" s="7">
        <v>0.53749999999999998</v>
      </c>
      <c r="AA449" s="20" t="str">
        <f>grafico_sol1[[#This Row],[Value]]&amp;"|"&amp;grafico_sol1[[#This Row],[Numero Voltas]]</f>
        <v>0.5375|2</v>
      </c>
    </row>
    <row r="450" spans="12:27" x14ac:dyDescent="0.25">
      <c r="L450" s="60" t="e">
        <f t="shared" si="14"/>
        <v>#N/A</v>
      </c>
      <c r="M450" s="42" t="e">
        <f t="shared" si="15"/>
        <v>#N/A</v>
      </c>
      <c r="U450">
        <v>2</v>
      </c>
      <c r="V450">
        <v>0</v>
      </c>
      <c r="W450" s="20" t="s">
        <v>203</v>
      </c>
      <c r="X450">
        <v>0</v>
      </c>
      <c r="Y450" s="20" t="s">
        <v>126</v>
      </c>
      <c r="Z450" s="7">
        <v>0.53749999999999998</v>
      </c>
      <c r="AA450" s="20" t="str">
        <f>grafico_sol1[[#This Row],[Value]]&amp;"|"&amp;grafico_sol1[[#This Row],[Numero Voltas]]</f>
        <v>0.5375|2</v>
      </c>
    </row>
    <row r="451" spans="12:27" x14ac:dyDescent="0.25">
      <c r="L451" s="60" t="e">
        <f t="shared" si="14"/>
        <v>#N/A</v>
      </c>
      <c r="M451" s="42" t="e">
        <f t="shared" si="15"/>
        <v>#N/A</v>
      </c>
      <c r="U451">
        <v>2</v>
      </c>
      <c r="V451">
        <v>0</v>
      </c>
      <c r="W451" s="20" t="s">
        <v>203</v>
      </c>
      <c r="X451">
        <v>0</v>
      </c>
      <c r="Y451" s="20" t="s">
        <v>127</v>
      </c>
      <c r="Z451" s="7">
        <v>0.54305555555555551</v>
      </c>
      <c r="AA451" s="20" t="str">
        <f>grafico_sol1[[#This Row],[Value]]&amp;"|"&amp;grafico_sol1[[#This Row],[Numero Voltas]]</f>
        <v>0.543055555555556|2</v>
      </c>
    </row>
    <row r="452" spans="12:27" x14ac:dyDescent="0.25">
      <c r="L452" s="60" t="e">
        <f t="shared" si="14"/>
        <v>#N/A</v>
      </c>
      <c r="M452" s="42" t="e">
        <f t="shared" si="15"/>
        <v>#N/A</v>
      </c>
      <c r="U452">
        <v>3</v>
      </c>
      <c r="V452">
        <v>0</v>
      </c>
      <c r="W452" s="20" t="s">
        <v>302</v>
      </c>
      <c r="X452">
        <v>8</v>
      </c>
      <c r="Y452" s="20" t="s">
        <v>127</v>
      </c>
      <c r="Z452" s="7">
        <v>0.54374999999999996</v>
      </c>
      <c r="AA452" s="20" t="str">
        <f>grafico_sol1[[#This Row],[Value]]&amp;"|"&amp;grafico_sol1[[#This Row],[Numero Voltas]]</f>
        <v>0.54375|3</v>
      </c>
    </row>
    <row r="453" spans="12:27" x14ac:dyDescent="0.25">
      <c r="L453" s="60" t="e">
        <f t="shared" si="14"/>
        <v>#N/A</v>
      </c>
      <c r="M453" s="42" t="e">
        <f t="shared" si="15"/>
        <v>#N/A</v>
      </c>
      <c r="U453">
        <v>2</v>
      </c>
      <c r="V453">
        <v>0</v>
      </c>
      <c r="W453" s="20" t="s">
        <v>200</v>
      </c>
      <c r="X453">
        <v>1</v>
      </c>
      <c r="Y453" s="20" t="s">
        <v>126</v>
      </c>
      <c r="Z453" s="7">
        <v>0.5444444444444444</v>
      </c>
      <c r="AA453" s="20" t="str">
        <f>grafico_sol1[[#This Row],[Value]]&amp;"|"&amp;grafico_sol1[[#This Row],[Numero Voltas]]</f>
        <v>0.544444444444444|2</v>
      </c>
    </row>
    <row r="454" spans="12:27" x14ac:dyDescent="0.25">
      <c r="L454" s="60" t="e">
        <f t="shared" si="14"/>
        <v>#N/A</v>
      </c>
      <c r="M454" s="42" t="e">
        <f t="shared" si="15"/>
        <v>#N/A</v>
      </c>
      <c r="U454">
        <v>2</v>
      </c>
      <c r="V454">
        <v>0</v>
      </c>
      <c r="W454" s="20" t="s">
        <v>200</v>
      </c>
      <c r="X454">
        <v>1</v>
      </c>
      <c r="Y454" s="20" t="s">
        <v>127</v>
      </c>
      <c r="Z454" s="7">
        <v>0.5444444444444444</v>
      </c>
      <c r="AA454" s="20" t="str">
        <f>grafico_sol1[[#This Row],[Value]]&amp;"|"&amp;grafico_sol1[[#This Row],[Numero Voltas]]</f>
        <v>0.544444444444444|2</v>
      </c>
    </row>
    <row r="455" spans="12:27" x14ac:dyDescent="0.25">
      <c r="L455" s="60" t="e">
        <f t="shared" si="14"/>
        <v>#N/A</v>
      </c>
      <c r="M455" s="42" t="e">
        <f t="shared" si="15"/>
        <v>#N/A</v>
      </c>
      <c r="U455">
        <v>2</v>
      </c>
      <c r="V455">
        <v>0</v>
      </c>
      <c r="W455" s="20" t="s">
        <v>228</v>
      </c>
      <c r="X455">
        <v>2</v>
      </c>
      <c r="Y455" s="20" t="s">
        <v>126</v>
      </c>
      <c r="Z455" s="7">
        <v>0.54513888888888884</v>
      </c>
      <c r="AA455" s="20" t="str">
        <f>grafico_sol1[[#This Row],[Value]]&amp;"|"&amp;grafico_sol1[[#This Row],[Numero Voltas]]</f>
        <v>0.545138888888889|2</v>
      </c>
    </row>
    <row r="456" spans="12:27" x14ac:dyDescent="0.25">
      <c r="L456" s="60" t="e">
        <f t="shared" si="14"/>
        <v>#N/A</v>
      </c>
      <c r="M456" s="42" t="e">
        <f t="shared" si="15"/>
        <v>#N/A</v>
      </c>
      <c r="U456">
        <v>2</v>
      </c>
      <c r="V456">
        <v>0</v>
      </c>
      <c r="W456" s="20" t="s">
        <v>228</v>
      </c>
      <c r="X456">
        <v>2</v>
      </c>
      <c r="Y456" s="20" t="s">
        <v>127</v>
      </c>
      <c r="Z456" s="7">
        <v>0.54513888888888884</v>
      </c>
      <c r="AA456" s="20" t="str">
        <f>grafico_sol1[[#This Row],[Value]]&amp;"|"&amp;grafico_sol1[[#This Row],[Numero Voltas]]</f>
        <v>0.545138888888889|2</v>
      </c>
    </row>
    <row r="457" spans="12:27" x14ac:dyDescent="0.25">
      <c r="L457" s="60" t="e">
        <f t="shared" si="14"/>
        <v>#N/A</v>
      </c>
      <c r="M457" s="42" t="e">
        <f t="shared" si="15"/>
        <v>#N/A</v>
      </c>
      <c r="U457">
        <v>2</v>
      </c>
      <c r="V457">
        <v>0</v>
      </c>
      <c r="W457" s="20" t="s">
        <v>208</v>
      </c>
      <c r="X457">
        <v>3</v>
      </c>
      <c r="Y457" s="20" t="s">
        <v>126</v>
      </c>
      <c r="Z457" s="7">
        <v>0.54722222222222228</v>
      </c>
      <c r="AA457" s="20" t="str">
        <f>grafico_sol1[[#This Row],[Value]]&amp;"|"&amp;grafico_sol1[[#This Row],[Numero Voltas]]</f>
        <v>0.547222222222222|2</v>
      </c>
    </row>
    <row r="458" spans="12:27" x14ac:dyDescent="0.25">
      <c r="L458" s="60" t="e">
        <f t="shared" si="14"/>
        <v>#N/A</v>
      </c>
      <c r="M458" s="42" t="e">
        <f t="shared" si="15"/>
        <v>#N/A</v>
      </c>
      <c r="U458">
        <v>2</v>
      </c>
      <c r="V458">
        <v>0</v>
      </c>
      <c r="W458" s="20" t="s">
        <v>208</v>
      </c>
      <c r="X458">
        <v>3</v>
      </c>
      <c r="Y458" s="20" t="s">
        <v>127</v>
      </c>
      <c r="Z458" s="7">
        <v>0.54722222222222228</v>
      </c>
      <c r="AA458" s="20" t="str">
        <f>grafico_sol1[[#This Row],[Value]]&amp;"|"&amp;grafico_sol1[[#This Row],[Numero Voltas]]</f>
        <v>0.547222222222222|2</v>
      </c>
    </row>
    <row r="459" spans="12:27" x14ac:dyDescent="0.25">
      <c r="L459" s="60" t="e">
        <f t="shared" si="14"/>
        <v>#N/A</v>
      </c>
      <c r="M459" s="42" t="e">
        <f t="shared" si="15"/>
        <v>#N/A</v>
      </c>
      <c r="U459">
        <v>2</v>
      </c>
      <c r="V459">
        <v>0</v>
      </c>
      <c r="W459" s="20" t="s">
        <v>208</v>
      </c>
      <c r="X459">
        <v>3</v>
      </c>
      <c r="Y459" s="20" t="s">
        <v>126</v>
      </c>
      <c r="Z459" s="7">
        <v>0.54722222222222228</v>
      </c>
      <c r="AA459" s="20" t="str">
        <f>grafico_sol1[[#This Row],[Value]]&amp;"|"&amp;grafico_sol1[[#This Row],[Numero Voltas]]</f>
        <v>0.547222222222222|2</v>
      </c>
    </row>
    <row r="460" spans="12:27" x14ac:dyDescent="0.25">
      <c r="L460" s="60" t="e">
        <f t="shared" si="14"/>
        <v>#N/A</v>
      </c>
      <c r="M460" s="42" t="e">
        <f t="shared" si="15"/>
        <v>#N/A</v>
      </c>
      <c r="U460">
        <v>3</v>
      </c>
      <c r="V460">
        <v>0</v>
      </c>
      <c r="W460" s="20" t="s">
        <v>301</v>
      </c>
      <c r="X460">
        <v>7</v>
      </c>
      <c r="Y460" s="20" t="s">
        <v>126</v>
      </c>
      <c r="Z460" s="7">
        <v>0.54791666666666672</v>
      </c>
      <c r="AA460" s="20" t="str">
        <f>grafico_sol1[[#This Row],[Value]]&amp;"|"&amp;grafico_sol1[[#This Row],[Numero Voltas]]</f>
        <v>0.547916666666667|3</v>
      </c>
    </row>
    <row r="461" spans="12:27" x14ac:dyDescent="0.25">
      <c r="L461" s="60" t="e">
        <f t="shared" si="14"/>
        <v>#N/A</v>
      </c>
      <c r="M461" s="42" t="e">
        <f t="shared" si="15"/>
        <v>#N/A</v>
      </c>
      <c r="U461">
        <v>3</v>
      </c>
      <c r="V461">
        <v>0</v>
      </c>
      <c r="W461" s="20" t="s">
        <v>301</v>
      </c>
      <c r="X461">
        <v>7</v>
      </c>
      <c r="Y461" s="20" t="s">
        <v>127</v>
      </c>
      <c r="Z461" s="7">
        <v>0.54791666666666672</v>
      </c>
      <c r="AA461" s="20" t="str">
        <f>grafico_sol1[[#This Row],[Value]]&amp;"|"&amp;grafico_sol1[[#This Row],[Numero Voltas]]</f>
        <v>0.547916666666667|3</v>
      </c>
    </row>
    <row r="462" spans="12:27" x14ac:dyDescent="0.25">
      <c r="L462" s="60" t="e">
        <f t="shared" si="14"/>
        <v>#N/A</v>
      </c>
      <c r="M462" s="42" t="e">
        <f t="shared" si="15"/>
        <v>#N/A</v>
      </c>
      <c r="U462">
        <v>3</v>
      </c>
      <c r="V462">
        <v>0</v>
      </c>
      <c r="W462" s="20" t="s">
        <v>300</v>
      </c>
      <c r="X462">
        <v>6</v>
      </c>
      <c r="Y462" s="20" t="s">
        <v>126</v>
      </c>
      <c r="Z462" s="7">
        <v>0.55000000000000004</v>
      </c>
      <c r="AA462" s="20" t="str">
        <f>grafico_sol1[[#This Row],[Value]]&amp;"|"&amp;grafico_sol1[[#This Row],[Numero Voltas]]</f>
        <v>0.55|3</v>
      </c>
    </row>
    <row r="463" spans="12:27" x14ac:dyDescent="0.25">
      <c r="L463" s="60" t="e">
        <f t="shared" si="14"/>
        <v>#N/A</v>
      </c>
      <c r="M463" s="42" t="e">
        <f t="shared" si="15"/>
        <v>#N/A</v>
      </c>
      <c r="U463">
        <v>3</v>
      </c>
      <c r="V463">
        <v>0</v>
      </c>
      <c r="W463" s="20" t="s">
        <v>300</v>
      </c>
      <c r="X463">
        <v>6</v>
      </c>
      <c r="Y463" s="20" t="s">
        <v>127</v>
      </c>
      <c r="Z463" s="7">
        <v>0.55000000000000004</v>
      </c>
      <c r="AA463" s="20" t="str">
        <f>grafico_sol1[[#This Row],[Value]]&amp;"|"&amp;grafico_sol1[[#This Row],[Numero Voltas]]</f>
        <v>0.55|3</v>
      </c>
    </row>
    <row r="464" spans="12:27" x14ac:dyDescent="0.25">
      <c r="L464" s="60" t="e">
        <f t="shared" si="14"/>
        <v>#N/A</v>
      </c>
      <c r="M464" s="42" t="e">
        <f t="shared" si="15"/>
        <v>#N/A</v>
      </c>
      <c r="U464">
        <v>3</v>
      </c>
      <c r="V464">
        <v>0</v>
      </c>
      <c r="W464" s="20" t="s">
        <v>215</v>
      </c>
      <c r="X464">
        <v>5</v>
      </c>
      <c r="Y464" s="20" t="s">
        <v>126</v>
      </c>
      <c r="Z464" s="7">
        <v>0.55277777777777781</v>
      </c>
      <c r="AA464" s="20" t="str">
        <f>grafico_sol1[[#This Row],[Value]]&amp;"|"&amp;grafico_sol1[[#This Row],[Numero Voltas]]</f>
        <v>0.552777777777778|3</v>
      </c>
    </row>
    <row r="465" spans="12:27" x14ac:dyDescent="0.25">
      <c r="L465" s="60" t="e">
        <f t="shared" si="14"/>
        <v>#N/A</v>
      </c>
      <c r="M465" s="42" t="e">
        <f t="shared" si="15"/>
        <v>#N/A</v>
      </c>
      <c r="U465">
        <v>3</v>
      </c>
      <c r="V465">
        <v>0</v>
      </c>
      <c r="W465" s="20" t="s">
        <v>215</v>
      </c>
      <c r="X465">
        <v>5</v>
      </c>
      <c r="Y465" s="20" t="s">
        <v>127</v>
      </c>
      <c r="Z465" s="7">
        <v>0.55277777777777781</v>
      </c>
      <c r="AA465" s="20" t="str">
        <f>grafico_sol1[[#This Row],[Value]]&amp;"|"&amp;grafico_sol1[[#This Row],[Numero Voltas]]</f>
        <v>0.552777777777778|3</v>
      </c>
    </row>
    <row r="466" spans="12:27" x14ac:dyDescent="0.25">
      <c r="L466" s="60" t="e">
        <f t="shared" si="14"/>
        <v>#N/A</v>
      </c>
      <c r="M466" s="42" t="e">
        <f t="shared" si="15"/>
        <v>#N/A</v>
      </c>
      <c r="U466">
        <v>3</v>
      </c>
      <c r="V466">
        <v>0</v>
      </c>
      <c r="W466" s="20" t="s">
        <v>2</v>
      </c>
      <c r="X466">
        <v>4</v>
      </c>
      <c r="Y466" s="20" t="s">
        <v>126</v>
      </c>
      <c r="Z466" s="7">
        <v>0.55486111111111114</v>
      </c>
      <c r="AA466" s="20" t="str">
        <f>grafico_sol1[[#This Row],[Value]]&amp;"|"&amp;grafico_sol1[[#This Row],[Numero Voltas]]</f>
        <v>0.554861111111111|3</v>
      </c>
    </row>
    <row r="467" spans="12:27" x14ac:dyDescent="0.25">
      <c r="L467" s="60" t="e">
        <f t="shared" si="14"/>
        <v>#N/A</v>
      </c>
      <c r="M467" s="42" t="e">
        <f t="shared" si="15"/>
        <v>#N/A</v>
      </c>
      <c r="U467">
        <v>3</v>
      </c>
      <c r="V467">
        <v>0</v>
      </c>
      <c r="W467" s="20" t="s">
        <v>2</v>
      </c>
      <c r="X467">
        <v>4</v>
      </c>
      <c r="Y467" s="20" t="s">
        <v>127</v>
      </c>
      <c r="Z467" s="7">
        <v>0.55486111111111114</v>
      </c>
      <c r="AA467" s="20" t="str">
        <f>grafico_sol1[[#This Row],[Value]]&amp;"|"&amp;grafico_sol1[[#This Row],[Numero Voltas]]</f>
        <v>0.554861111111111|3</v>
      </c>
    </row>
    <row r="468" spans="12:27" x14ac:dyDescent="0.25">
      <c r="L468" s="60" t="e">
        <f t="shared" si="14"/>
        <v>#N/A</v>
      </c>
      <c r="M468" s="42" t="e">
        <f t="shared" si="15"/>
        <v>#N/A</v>
      </c>
      <c r="U468">
        <v>2</v>
      </c>
      <c r="V468">
        <v>0</v>
      </c>
      <c r="W468" s="20" t="s">
        <v>208</v>
      </c>
      <c r="X468">
        <v>3</v>
      </c>
      <c r="Y468" s="20" t="s">
        <v>127</v>
      </c>
      <c r="Z468" s="7">
        <v>0.55625000000000002</v>
      </c>
      <c r="AA468" s="20" t="str">
        <f>grafico_sol1[[#This Row],[Value]]&amp;"|"&amp;grafico_sol1[[#This Row],[Numero Voltas]]</f>
        <v>0.55625|2</v>
      </c>
    </row>
    <row r="469" spans="12:27" x14ac:dyDescent="0.25">
      <c r="L469" s="60" t="e">
        <f t="shared" si="14"/>
        <v>#N/A</v>
      </c>
      <c r="M469" s="42" t="e">
        <f t="shared" si="15"/>
        <v>#N/A</v>
      </c>
      <c r="U469">
        <v>3</v>
      </c>
      <c r="V469">
        <v>0</v>
      </c>
      <c r="W469" s="20" t="s">
        <v>208</v>
      </c>
      <c r="X469">
        <v>3</v>
      </c>
      <c r="Y469" s="20" t="s">
        <v>126</v>
      </c>
      <c r="Z469" s="7">
        <v>0.55833333333333335</v>
      </c>
      <c r="AA469" s="20" t="str">
        <f>grafico_sol1[[#This Row],[Value]]&amp;"|"&amp;grafico_sol1[[#This Row],[Numero Voltas]]</f>
        <v>0.558333333333333|3</v>
      </c>
    </row>
    <row r="470" spans="12:27" x14ac:dyDescent="0.25">
      <c r="L470" s="60" t="e">
        <f t="shared" si="14"/>
        <v>#N/A</v>
      </c>
      <c r="M470" s="42" t="e">
        <f t="shared" si="15"/>
        <v>#N/A</v>
      </c>
      <c r="U470">
        <v>3</v>
      </c>
      <c r="V470">
        <v>0</v>
      </c>
      <c r="W470" s="20" t="s">
        <v>208</v>
      </c>
      <c r="X470">
        <v>3</v>
      </c>
      <c r="Y470" s="20" t="s">
        <v>127</v>
      </c>
      <c r="Z470" s="7">
        <v>0.55833333333333335</v>
      </c>
      <c r="AA470" s="20" t="str">
        <f>grafico_sol1[[#This Row],[Value]]&amp;"|"&amp;grafico_sol1[[#This Row],[Numero Voltas]]</f>
        <v>0.558333333333333|3</v>
      </c>
    </row>
    <row r="471" spans="12:27" x14ac:dyDescent="0.25">
      <c r="L471" s="60" t="e">
        <f t="shared" si="14"/>
        <v>#N/A</v>
      </c>
      <c r="M471" s="42" t="e">
        <f t="shared" si="15"/>
        <v>#N/A</v>
      </c>
      <c r="U471">
        <v>3</v>
      </c>
      <c r="V471">
        <v>0</v>
      </c>
      <c r="W471" s="20" t="s">
        <v>208</v>
      </c>
      <c r="X471">
        <v>3</v>
      </c>
      <c r="Y471" s="20" t="s">
        <v>126</v>
      </c>
      <c r="Z471" s="7">
        <v>0.55833333333333335</v>
      </c>
      <c r="AA471" s="20" t="str">
        <f>grafico_sol1[[#This Row],[Value]]&amp;"|"&amp;grafico_sol1[[#This Row],[Numero Voltas]]</f>
        <v>0.558333333333333|3</v>
      </c>
    </row>
    <row r="472" spans="12:27" x14ac:dyDescent="0.25">
      <c r="L472" s="60" t="e">
        <f t="shared" si="14"/>
        <v>#N/A</v>
      </c>
      <c r="M472" s="42" t="e">
        <f t="shared" si="15"/>
        <v>#N/A</v>
      </c>
      <c r="U472">
        <v>2</v>
      </c>
      <c r="V472">
        <v>0</v>
      </c>
      <c r="W472" s="20" t="s">
        <v>2</v>
      </c>
      <c r="X472">
        <v>4</v>
      </c>
      <c r="Y472" s="20" t="s">
        <v>126</v>
      </c>
      <c r="Z472" s="7">
        <v>0.55972222222222223</v>
      </c>
      <c r="AA472" s="20" t="str">
        <f>grafico_sol1[[#This Row],[Value]]&amp;"|"&amp;grafico_sol1[[#This Row],[Numero Voltas]]</f>
        <v>0.559722222222222|2</v>
      </c>
    </row>
    <row r="473" spans="12:27" x14ac:dyDescent="0.25">
      <c r="L473" s="60" t="e">
        <f t="shared" si="14"/>
        <v>#N/A</v>
      </c>
      <c r="M473" s="42" t="e">
        <f t="shared" si="15"/>
        <v>#N/A</v>
      </c>
      <c r="U473">
        <v>2</v>
      </c>
      <c r="V473">
        <v>0</v>
      </c>
      <c r="W473" s="20" t="s">
        <v>2</v>
      </c>
      <c r="X473">
        <v>4</v>
      </c>
      <c r="Y473" s="20" t="s">
        <v>127</v>
      </c>
      <c r="Z473" s="7">
        <v>0.55972222222222223</v>
      </c>
      <c r="AA473" s="20" t="str">
        <f>grafico_sol1[[#This Row],[Value]]&amp;"|"&amp;grafico_sol1[[#This Row],[Numero Voltas]]</f>
        <v>0.559722222222222|2</v>
      </c>
    </row>
    <row r="474" spans="12:27" x14ac:dyDescent="0.25">
      <c r="L474" s="60" t="e">
        <f t="shared" si="14"/>
        <v>#N/A</v>
      </c>
      <c r="M474" s="42" t="e">
        <f t="shared" si="15"/>
        <v>#N/A</v>
      </c>
      <c r="U474">
        <v>2</v>
      </c>
      <c r="V474">
        <v>0</v>
      </c>
      <c r="W474" s="20" t="s">
        <v>215</v>
      </c>
      <c r="X474">
        <v>5</v>
      </c>
      <c r="Y474" s="20" t="s">
        <v>126</v>
      </c>
      <c r="Z474" s="7">
        <v>0.56180555555555556</v>
      </c>
      <c r="AA474" s="20" t="str">
        <f>grafico_sol1[[#This Row],[Value]]&amp;"|"&amp;grafico_sol1[[#This Row],[Numero Voltas]]</f>
        <v>0.561805555555556|2</v>
      </c>
    </row>
    <row r="475" spans="12:27" x14ac:dyDescent="0.25">
      <c r="L475" s="60" t="e">
        <f t="shared" si="14"/>
        <v>#N/A</v>
      </c>
      <c r="M475" s="42" t="e">
        <f t="shared" si="15"/>
        <v>#N/A</v>
      </c>
      <c r="U475">
        <v>2</v>
      </c>
      <c r="V475">
        <v>0</v>
      </c>
      <c r="W475" s="20" t="s">
        <v>215</v>
      </c>
      <c r="X475">
        <v>5</v>
      </c>
      <c r="Y475" s="20" t="s">
        <v>127</v>
      </c>
      <c r="Z475" s="7">
        <v>0.56180555555555556</v>
      </c>
      <c r="AA475" s="20" t="str">
        <f>grafico_sol1[[#This Row],[Value]]&amp;"|"&amp;grafico_sol1[[#This Row],[Numero Voltas]]</f>
        <v>0.561805555555556|2</v>
      </c>
    </row>
    <row r="476" spans="12:27" x14ac:dyDescent="0.25">
      <c r="L476" s="60" t="e">
        <f t="shared" si="14"/>
        <v>#N/A</v>
      </c>
      <c r="M476" s="42" t="e">
        <f t="shared" si="15"/>
        <v>#N/A</v>
      </c>
      <c r="U476">
        <v>2</v>
      </c>
      <c r="V476">
        <v>0</v>
      </c>
      <c r="W476" s="20" t="s">
        <v>215</v>
      </c>
      <c r="X476">
        <v>5</v>
      </c>
      <c r="Y476" s="20" t="s">
        <v>126</v>
      </c>
      <c r="Z476" s="7">
        <v>0.56180555555555556</v>
      </c>
      <c r="AA476" s="20" t="str">
        <f>grafico_sol1[[#This Row],[Value]]&amp;"|"&amp;grafico_sol1[[#This Row],[Numero Voltas]]</f>
        <v>0.561805555555556|2</v>
      </c>
    </row>
    <row r="477" spans="12:27" x14ac:dyDescent="0.25">
      <c r="L477" s="60" t="e">
        <f t="shared" si="14"/>
        <v>#N/A</v>
      </c>
      <c r="M477" s="42" t="e">
        <f t="shared" si="15"/>
        <v>#N/A</v>
      </c>
      <c r="U477">
        <v>2</v>
      </c>
      <c r="V477">
        <v>0</v>
      </c>
      <c r="W477" s="20" t="s">
        <v>215</v>
      </c>
      <c r="X477">
        <v>5</v>
      </c>
      <c r="Y477" s="20" t="s">
        <v>127</v>
      </c>
      <c r="Z477" s="7">
        <v>0.56180555555555556</v>
      </c>
      <c r="AA477" s="20" t="str">
        <f>grafico_sol1[[#This Row],[Value]]&amp;"|"&amp;grafico_sol1[[#This Row],[Numero Voltas]]</f>
        <v>0.561805555555556|2</v>
      </c>
    </row>
    <row r="478" spans="12:27" x14ac:dyDescent="0.25">
      <c r="L478" s="60" t="e">
        <f t="shared" si="14"/>
        <v>#N/A</v>
      </c>
      <c r="M478" s="42" t="e">
        <f t="shared" si="15"/>
        <v>#N/A</v>
      </c>
      <c r="U478">
        <v>2</v>
      </c>
      <c r="V478">
        <v>0</v>
      </c>
      <c r="W478" s="20" t="s">
        <v>300</v>
      </c>
      <c r="X478">
        <v>6</v>
      </c>
      <c r="Y478" s="20" t="s">
        <v>126</v>
      </c>
      <c r="Z478" s="7">
        <v>0.56458333333333333</v>
      </c>
      <c r="AA478" s="20" t="str">
        <f>grafico_sol1[[#This Row],[Value]]&amp;"|"&amp;grafico_sol1[[#This Row],[Numero Voltas]]</f>
        <v>0.564583333333333|2</v>
      </c>
    </row>
    <row r="479" spans="12:27" x14ac:dyDescent="0.25">
      <c r="L479" s="60" t="e">
        <f t="shared" si="14"/>
        <v>#N/A</v>
      </c>
      <c r="M479" s="42" t="e">
        <f t="shared" si="15"/>
        <v>#N/A</v>
      </c>
      <c r="U479">
        <v>2</v>
      </c>
      <c r="V479">
        <v>0</v>
      </c>
      <c r="W479" s="20" t="s">
        <v>300</v>
      </c>
      <c r="X479">
        <v>6</v>
      </c>
      <c r="Y479" s="20" t="s">
        <v>127</v>
      </c>
      <c r="Z479" s="7">
        <v>0.56458333333333333</v>
      </c>
      <c r="AA479" s="20" t="str">
        <f>grafico_sol1[[#This Row],[Value]]&amp;"|"&amp;grafico_sol1[[#This Row],[Numero Voltas]]</f>
        <v>0.564583333333333|2</v>
      </c>
    </row>
    <row r="480" spans="12:27" x14ac:dyDescent="0.25">
      <c r="L480" s="60" t="e">
        <f t="shared" si="14"/>
        <v>#N/A</v>
      </c>
      <c r="M480" s="42" t="e">
        <f t="shared" si="15"/>
        <v>#N/A</v>
      </c>
      <c r="U480">
        <v>2</v>
      </c>
      <c r="V480">
        <v>0</v>
      </c>
      <c r="W480" s="20" t="s">
        <v>300</v>
      </c>
      <c r="X480">
        <v>6</v>
      </c>
      <c r="Y480" s="20" t="s">
        <v>126</v>
      </c>
      <c r="Z480" s="7">
        <v>0.56458333333333333</v>
      </c>
      <c r="AA480" s="20" t="str">
        <f>grafico_sol1[[#This Row],[Value]]&amp;"|"&amp;grafico_sol1[[#This Row],[Numero Voltas]]</f>
        <v>0.564583333333333|2</v>
      </c>
    </row>
    <row r="481" spans="12:27" x14ac:dyDescent="0.25">
      <c r="L481" s="60" t="e">
        <f t="shared" si="14"/>
        <v>#N/A</v>
      </c>
      <c r="M481" s="42" t="e">
        <f t="shared" si="15"/>
        <v>#N/A</v>
      </c>
      <c r="U481">
        <v>2</v>
      </c>
      <c r="V481">
        <v>0</v>
      </c>
      <c r="W481" s="20" t="s">
        <v>300</v>
      </c>
      <c r="X481">
        <v>6</v>
      </c>
      <c r="Y481" s="20" t="s">
        <v>127</v>
      </c>
      <c r="Z481" s="7">
        <v>0.56458333333333333</v>
      </c>
      <c r="AA481" s="20" t="str">
        <f>grafico_sol1[[#This Row],[Value]]&amp;"|"&amp;grafico_sol1[[#This Row],[Numero Voltas]]</f>
        <v>0.564583333333333|2</v>
      </c>
    </row>
    <row r="482" spans="12:27" x14ac:dyDescent="0.25">
      <c r="L482" s="60" t="e">
        <f t="shared" si="14"/>
        <v>#N/A</v>
      </c>
      <c r="M482" s="42" t="e">
        <f t="shared" si="15"/>
        <v>#N/A</v>
      </c>
      <c r="U482">
        <v>2</v>
      </c>
      <c r="V482">
        <v>0</v>
      </c>
      <c r="W482" s="20" t="s">
        <v>301</v>
      </c>
      <c r="X482">
        <v>7</v>
      </c>
      <c r="Y482" s="20" t="s">
        <v>126</v>
      </c>
      <c r="Z482" s="7">
        <v>0.56666666666666665</v>
      </c>
      <c r="AA482" s="20" t="str">
        <f>grafico_sol1[[#This Row],[Value]]&amp;"|"&amp;grafico_sol1[[#This Row],[Numero Voltas]]</f>
        <v>0.566666666666667|2</v>
      </c>
    </row>
    <row r="483" spans="12:27" x14ac:dyDescent="0.25">
      <c r="L483" s="60" t="e">
        <f t="shared" si="14"/>
        <v>#N/A</v>
      </c>
      <c r="M483" s="42" t="e">
        <f t="shared" si="15"/>
        <v>#N/A</v>
      </c>
      <c r="U483">
        <v>2</v>
      </c>
      <c r="V483">
        <v>0</v>
      </c>
      <c r="W483" s="20" t="s">
        <v>301</v>
      </c>
      <c r="X483">
        <v>7</v>
      </c>
      <c r="Y483" s="20" t="s">
        <v>127</v>
      </c>
      <c r="Z483" s="7">
        <v>0.56666666666666665</v>
      </c>
      <c r="AA483" s="20" t="str">
        <f>grafico_sol1[[#This Row],[Value]]&amp;"|"&amp;grafico_sol1[[#This Row],[Numero Voltas]]</f>
        <v>0.566666666666667|2</v>
      </c>
    </row>
    <row r="484" spans="12:27" x14ac:dyDescent="0.25">
      <c r="L484" s="60" t="e">
        <f t="shared" si="14"/>
        <v>#N/A</v>
      </c>
      <c r="M484" s="42" t="e">
        <f t="shared" si="15"/>
        <v>#N/A</v>
      </c>
      <c r="U484">
        <v>2</v>
      </c>
      <c r="V484">
        <v>0</v>
      </c>
      <c r="W484" s="20" t="s">
        <v>301</v>
      </c>
      <c r="X484">
        <v>7</v>
      </c>
      <c r="Y484" s="20" t="s">
        <v>126</v>
      </c>
      <c r="Z484" s="7">
        <v>0.56666666666666665</v>
      </c>
      <c r="AA484" s="20" t="str">
        <f>grafico_sol1[[#This Row],[Value]]&amp;"|"&amp;grafico_sol1[[#This Row],[Numero Voltas]]</f>
        <v>0.566666666666667|2</v>
      </c>
    </row>
    <row r="485" spans="12:27" x14ac:dyDescent="0.25">
      <c r="L485" s="60" t="e">
        <f t="shared" si="14"/>
        <v>#N/A</v>
      </c>
      <c r="M485" s="42" t="e">
        <f t="shared" si="15"/>
        <v>#N/A</v>
      </c>
      <c r="U485">
        <v>3</v>
      </c>
      <c r="V485">
        <v>0</v>
      </c>
      <c r="W485" s="20" t="s">
        <v>208</v>
      </c>
      <c r="X485">
        <v>3</v>
      </c>
      <c r="Y485" s="20" t="s">
        <v>127</v>
      </c>
      <c r="Z485" s="7">
        <v>0.56736111111111109</v>
      </c>
      <c r="AA485" s="20" t="str">
        <f>grafico_sol1[[#This Row],[Value]]&amp;"|"&amp;grafico_sol1[[#This Row],[Numero Voltas]]</f>
        <v>0.567361111111111|3</v>
      </c>
    </row>
    <row r="486" spans="12:27" x14ac:dyDescent="0.25">
      <c r="L486" s="60" t="e">
        <f t="shared" si="14"/>
        <v>#N/A</v>
      </c>
      <c r="M486" s="42" t="e">
        <f t="shared" si="15"/>
        <v>#N/A</v>
      </c>
      <c r="U486">
        <v>3</v>
      </c>
      <c r="V486">
        <v>0</v>
      </c>
      <c r="W486" s="20" t="s">
        <v>228</v>
      </c>
      <c r="X486">
        <v>2</v>
      </c>
      <c r="Y486" s="20" t="s">
        <v>126</v>
      </c>
      <c r="Z486" s="7">
        <v>0.56944444444444442</v>
      </c>
      <c r="AA486" s="20" t="str">
        <f>grafico_sol1[[#This Row],[Value]]&amp;"|"&amp;grafico_sol1[[#This Row],[Numero Voltas]]</f>
        <v>0.569444444444444|3</v>
      </c>
    </row>
    <row r="487" spans="12:27" x14ac:dyDescent="0.25">
      <c r="L487" s="60" t="e">
        <f t="shared" si="14"/>
        <v>#N/A</v>
      </c>
      <c r="M487" s="42" t="e">
        <f t="shared" si="15"/>
        <v>#N/A</v>
      </c>
      <c r="U487">
        <v>3</v>
      </c>
      <c r="V487">
        <v>0</v>
      </c>
      <c r="W487" s="20" t="s">
        <v>228</v>
      </c>
      <c r="X487">
        <v>2</v>
      </c>
      <c r="Y487" s="20" t="s">
        <v>127</v>
      </c>
      <c r="Z487" s="7">
        <v>0.56944444444444442</v>
      </c>
      <c r="AA487" s="20" t="str">
        <f>grafico_sol1[[#This Row],[Value]]&amp;"|"&amp;grafico_sol1[[#This Row],[Numero Voltas]]</f>
        <v>0.569444444444444|3</v>
      </c>
    </row>
    <row r="488" spans="12:27" x14ac:dyDescent="0.25">
      <c r="L488" s="60" t="e">
        <f t="shared" si="14"/>
        <v>#N/A</v>
      </c>
      <c r="M488" s="42" t="e">
        <f t="shared" si="15"/>
        <v>#N/A</v>
      </c>
      <c r="U488">
        <v>3</v>
      </c>
      <c r="V488">
        <v>0</v>
      </c>
      <c r="W488" s="20" t="s">
        <v>200</v>
      </c>
      <c r="X488">
        <v>1</v>
      </c>
      <c r="Y488" s="20" t="s">
        <v>126</v>
      </c>
      <c r="Z488" s="7">
        <v>0.57013888888888886</v>
      </c>
      <c r="AA488" s="20" t="str">
        <f>grafico_sol1[[#This Row],[Value]]&amp;"|"&amp;grafico_sol1[[#This Row],[Numero Voltas]]</f>
        <v>0.570138888888889|3</v>
      </c>
    </row>
    <row r="489" spans="12:27" x14ac:dyDescent="0.25">
      <c r="L489" s="60" t="e">
        <f t="shared" si="14"/>
        <v>#N/A</v>
      </c>
      <c r="M489" s="42" t="e">
        <f t="shared" si="15"/>
        <v>#N/A</v>
      </c>
      <c r="U489">
        <v>3</v>
      </c>
      <c r="V489">
        <v>0</v>
      </c>
      <c r="W489" s="20" t="s">
        <v>200</v>
      </c>
      <c r="X489">
        <v>1</v>
      </c>
      <c r="Y489" s="20" t="s">
        <v>127</v>
      </c>
      <c r="Z489" s="7">
        <v>0.57013888888888886</v>
      </c>
      <c r="AA489" s="20" t="str">
        <f>grafico_sol1[[#This Row],[Value]]&amp;"|"&amp;grafico_sol1[[#This Row],[Numero Voltas]]</f>
        <v>0.570138888888889|3</v>
      </c>
    </row>
    <row r="490" spans="12:27" x14ac:dyDescent="0.25">
      <c r="L490" s="60" t="e">
        <f t="shared" si="14"/>
        <v>#N/A</v>
      </c>
      <c r="M490" s="42" t="e">
        <f t="shared" si="15"/>
        <v>#N/A</v>
      </c>
      <c r="U490">
        <v>3</v>
      </c>
      <c r="V490">
        <v>0</v>
      </c>
      <c r="W490" s="20" t="s">
        <v>200</v>
      </c>
      <c r="X490">
        <v>1</v>
      </c>
      <c r="Y490" s="20" t="s">
        <v>126</v>
      </c>
      <c r="Z490" s="7">
        <v>0.57013888888888886</v>
      </c>
      <c r="AA490" s="20" t="str">
        <f>grafico_sol1[[#This Row],[Value]]&amp;"|"&amp;grafico_sol1[[#This Row],[Numero Voltas]]</f>
        <v>0.570138888888889|3</v>
      </c>
    </row>
    <row r="491" spans="12:27" x14ac:dyDescent="0.25">
      <c r="L491" s="60" t="e">
        <f t="shared" si="14"/>
        <v>#N/A</v>
      </c>
      <c r="M491" s="42" t="e">
        <f t="shared" si="15"/>
        <v>#N/A</v>
      </c>
      <c r="U491">
        <v>3</v>
      </c>
      <c r="V491">
        <v>0</v>
      </c>
      <c r="W491" s="20" t="s">
        <v>200</v>
      </c>
      <c r="X491">
        <v>1</v>
      </c>
      <c r="Y491" s="20" t="s">
        <v>127</v>
      </c>
      <c r="Z491" s="7">
        <v>0.57291666666666663</v>
      </c>
      <c r="AA491" s="20" t="str">
        <f>grafico_sol1[[#This Row],[Value]]&amp;"|"&amp;grafico_sol1[[#This Row],[Numero Voltas]]</f>
        <v>0.572916666666667|3</v>
      </c>
    </row>
    <row r="492" spans="12:27" x14ac:dyDescent="0.25">
      <c r="L492" s="60" t="e">
        <f t="shared" si="14"/>
        <v>#N/A</v>
      </c>
      <c r="M492" s="42" t="e">
        <f t="shared" si="15"/>
        <v>#N/A</v>
      </c>
      <c r="U492">
        <v>2</v>
      </c>
      <c r="V492">
        <v>0</v>
      </c>
      <c r="W492" s="20" t="s">
        <v>301</v>
      </c>
      <c r="X492">
        <v>7</v>
      </c>
      <c r="Y492" s="20" t="s">
        <v>127</v>
      </c>
      <c r="Z492" s="7">
        <v>0.57361111111111107</v>
      </c>
      <c r="AA492" s="20" t="str">
        <f>grafico_sol1[[#This Row],[Value]]&amp;"|"&amp;grafico_sol1[[#This Row],[Numero Voltas]]</f>
        <v>0.573611111111111|2</v>
      </c>
    </row>
    <row r="493" spans="12:27" x14ac:dyDescent="0.25">
      <c r="L493" s="60" t="e">
        <f t="shared" si="14"/>
        <v>#N/A</v>
      </c>
      <c r="M493" s="42" t="e">
        <f t="shared" si="15"/>
        <v>#N/A</v>
      </c>
      <c r="U493">
        <v>3</v>
      </c>
      <c r="V493">
        <v>0</v>
      </c>
      <c r="W493" s="20" t="s">
        <v>203</v>
      </c>
      <c r="X493">
        <v>0</v>
      </c>
      <c r="Y493" s="20" t="s">
        <v>126</v>
      </c>
      <c r="Z493" s="7">
        <v>0.57430555555555551</v>
      </c>
      <c r="AA493" s="20" t="str">
        <f>grafico_sol1[[#This Row],[Value]]&amp;"|"&amp;grafico_sol1[[#This Row],[Numero Voltas]]</f>
        <v>0.574305555555556|3</v>
      </c>
    </row>
    <row r="494" spans="12:27" x14ac:dyDescent="0.25">
      <c r="L494" s="60" t="e">
        <f t="shared" si="14"/>
        <v>#N/A</v>
      </c>
      <c r="M494" s="42" t="e">
        <f t="shared" si="15"/>
        <v>#N/A</v>
      </c>
      <c r="U494">
        <v>3</v>
      </c>
      <c r="V494">
        <v>0</v>
      </c>
      <c r="W494" s="20" t="s">
        <v>203</v>
      </c>
      <c r="X494">
        <v>0</v>
      </c>
      <c r="Y494" s="20" t="s">
        <v>127</v>
      </c>
      <c r="Z494" s="7">
        <v>0.57430555555555551</v>
      </c>
      <c r="AA494" s="20" t="str">
        <f>grafico_sol1[[#This Row],[Value]]&amp;"|"&amp;grafico_sol1[[#This Row],[Numero Voltas]]</f>
        <v>0.574305555555556|3</v>
      </c>
    </row>
    <row r="495" spans="12:27" x14ac:dyDescent="0.25">
      <c r="L495" s="60" t="e">
        <f t="shared" si="14"/>
        <v>#N/A</v>
      </c>
      <c r="M495" s="42" t="e">
        <f t="shared" si="15"/>
        <v>#N/A</v>
      </c>
      <c r="U495">
        <v>3</v>
      </c>
      <c r="V495">
        <v>0</v>
      </c>
      <c r="W495" s="20" t="s">
        <v>203</v>
      </c>
      <c r="X495">
        <v>0</v>
      </c>
      <c r="Y495" s="20" t="s">
        <v>126</v>
      </c>
      <c r="Z495" s="7">
        <v>0.57430555555555551</v>
      </c>
      <c r="AA495" s="20" t="str">
        <f>grafico_sol1[[#This Row],[Value]]&amp;"|"&amp;grafico_sol1[[#This Row],[Numero Voltas]]</f>
        <v>0.574305555555556|3</v>
      </c>
    </row>
    <row r="496" spans="12:27" x14ac:dyDescent="0.25">
      <c r="L496" s="60" t="e">
        <f t="shared" si="14"/>
        <v>#N/A</v>
      </c>
      <c r="M496" s="42" t="e">
        <f t="shared" si="15"/>
        <v>#N/A</v>
      </c>
      <c r="U496">
        <v>3</v>
      </c>
      <c r="V496">
        <v>0</v>
      </c>
      <c r="W496" s="20" t="s">
        <v>203</v>
      </c>
      <c r="X496">
        <v>0</v>
      </c>
      <c r="Y496" s="20" t="s">
        <v>127</v>
      </c>
      <c r="Z496" s="7">
        <v>0.57430555555555551</v>
      </c>
      <c r="AA496" s="20" t="str">
        <f>grafico_sol1[[#This Row],[Value]]&amp;"|"&amp;grafico_sol1[[#This Row],[Numero Voltas]]</f>
        <v>0.574305555555556|3</v>
      </c>
    </row>
    <row r="497" spans="12:27" x14ac:dyDescent="0.25">
      <c r="L497" s="60" t="e">
        <f t="shared" si="14"/>
        <v>#N/A</v>
      </c>
      <c r="M497" s="42" t="e">
        <f t="shared" si="15"/>
        <v>#N/A</v>
      </c>
      <c r="U497">
        <v>3</v>
      </c>
      <c r="V497">
        <v>0</v>
      </c>
      <c r="W497" s="20" t="s">
        <v>203</v>
      </c>
      <c r="X497">
        <v>0</v>
      </c>
      <c r="Y497" s="20" t="s">
        <v>126</v>
      </c>
      <c r="Z497" s="7">
        <v>0.57430555555555551</v>
      </c>
      <c r="AA497" s="20" t="str">
        <f>grafico_sol1[[#This Row],[Value]]&amp;"|"&amp;grafico_sol1[[#This Row],[Numero Voltas]]</f>
        <v>0.574305555555556|3</v>
      </c>
    </row>
    <row r="498" spans="12:27" x14ac:dyDescent="0.25">
      <c r="L498" s="60" t="e">
        <f t="shared" si="14"/>
        <v>#N/A</v>
      </c>
      <c r="M498" s="42" t="e">
        <f t="shared" si="15"/>
        <v>#N/A</v>
      </c>
      <c r="U498">
        <v>2</v>
      </c>
      <c r="V498">
        <v>0</v>
      </c>
      <c r="W498" s="20" t="s">
        <v>302</v>
      </c>
      <c r="X498">
        <v>8</v>
      </c>
      <c r="Y498" s="20" t="s">
        <v>126</v>
      </c>
      <c r="Z498" s="7">
        <v>0.57777777777777772</v>
      </c>
      <c r="AA498" s="20" t="str">
        <f>grafico_sol1[[#This Row],[Value]]&amp;"|"&amp;grafico_sol1[[#This Row],[Numero Voltas]]</f>
        <v>0.577777777777778|2</v>
      </c>
    </row>
    <row r="499" spans="12:27" x14ac:dyDescent="0.25">
      <c r="L499" s="60" t="e">
        <f t="shared" si="14"/>
        <v>#N/A</v>
      </c>
      <c r="M499" s="42" t="e">
        <f t="shared" si="15"/>
        <v>#N/A</v>
      </c>
      <c r="U499">
        <v>2</v>
      </c>
      <c r="V499">
        <v>0</v>
      </c>
      <c r="W499" s="20" t="s">
        <v>302</v>
      </c>
      <c r="X499">
        <v>8</v>
      </c>
      <c r="Y499" s="20" t="s">
        <v>127</v>
      </c>
      <c r="Z499" s="7">
        <v>0.57777777777777772</v>
      </c>
      <c r="AA499" s="20" t="str">
        <f>grafico_sol1[[#This Row],[Value]]&amp;"|"&amp;grafico_sol1[[#This Row],[Numero Voltas]]</f>
        <v>0.577777777777778|2</v>
      </c>
    </row>
    <row r="500" spans="12:27" x14ac:dyDescent="0.25">
      <c r="L500" s="60" t="e">
        <f t="shared" si="14"/>
        <v>#N/A</v>
      </c>
      <c r="M500" s="42" t="e">
        <f t="shared" si="15"/>
        <v>#N/A</v>
      </c>
      <c r="U500">
        <v>2</v>
      </c>
      <c r="V500">
        <v>0</v>
      </c>
      <c r="W500" s="20" t="s">
        <v>302</v>
      </c>
      <c r="X500">
        <v>8</v>
      </c>
      <c r="Y500" s="20" t="s">
        <v>126</v>
      </c>
      <c r="Z500" s="7">
        <v>0.57777777777777772</v>
      </c>
      <c r="AA500" s="20" t="str">
        <f>grafico_sol1[[#This Row],[Value]]&amp;"|"&amp;grafico_sol1[[#This Row],[Numero Voltas]]</f>
        <v>0.577777777777778|2</v>
      </c>
    </row>
    <row r="501" spans="12:27" x14ac:dyDescent="0.25">
      <c r="L501" s="60" t="e">
        <f t="shared" si="14"/>
        <v>#N/A</v>
      </c>
      <c r="M501" s="42" t="e">
        <f t="shared" si="15"/>
        <v>#N/A</v>
      </c>
      <c r="U501">
        <v>3</v>
      </c>
      <c r="V501">
        <v>0</v>
      </c>
      <c r="W501" s="20" t="s">
        <v>203</v>
      </c>
      <c r="X501">
        <v>0</v>
      </c>
      <c r="Y501" s="20" t="s">
        <v>127</v>
      </c>
      <c r="Z501" s="7">
        <v>0.57986111111111116</v>
      </c>
      <c r="AA501" s="20" t="str">
        <f>grafico_sol1[[#This Row],[Value]]&amp;"|"&amp;grafico_sol1[[#This Row],[Numero Voltas]]</f>
        <v>0.579861111111111|3</v>
      </c>
    </row>
    <row r="502" spans="12:27" x14ac:dyDescent="0.25">
      <c r="L502" s="60" t="e">
        <f t="shared" si="14"/>
        <v>#N/A</v>
      </c>
      <c r="M502" s="42" t="e">
        <f t="shared" si="15"/>
        <v>#N/A</v>
      </c>
      <c r="U502">
        <v>3</v>
      </c>
      <c r="V502">
        <v>0</v>
      </c>
      <c r="W502" s="20" t="s">
        <v>200</v>
      </c>
      <c r="X502">
        <v>1</v>
      </c>
      <c r="Y502" s="20" t="s">
        <v>126</v>
      </c>
      <c r="Z502" s="7">
        <v>0.58125000000000004</v>
      </c>
      <c r="AA502" s="20" t="str">
        <f>grafico_sol1[[#This Row],[Value]]&amp;"|"&amp;grafico_sol1[[#This Row],[Numero Voltas]]</f>
        <v>0.58125|3</v>
      </c>
    </row>
    <row r="503" spans="12:27" x14ac:dyDescent="0.25">
      <c r="L503" s="60" t="e">
        <f t="shared" ref="L503:L566" si="16">IF(Q503&lt;&gt;"",Q503,#N/A)</f>
        <v>#N/A</v>
      </c>
      <c r="M503" s="42" t="e">
        <f t="shared" ref="M503:M566" si="17">IF(R503&lt;&gt;"",R503,#N/A)</f>
        <v>#N/A</v>
      </c>
      <c r="U503">
        <v>3</v>
      </c>
      <c r="V503">
        <v>0</v>
      </c>
      <c r="W503" s="20" t="s">
        <v>200</v>
      </c>
      <c r="X503">
        <v>1</v>
      </c>
      <c r="Y503" s="20" t="s">
        <v>127</v>
      </c>
      <c r="Z503" s="7">
        <v>0.58125000000000004</v>
      </c>
      <c r="AA503" s="20" t="str">
        <f>grafico_sol1[[#This Row],[Value]]&amp;"|"&amp;grafico_sol1[[#This Row],[Numero Voltas]]</f>
        <v>0.58125|3</v>
      </c>
    </row>
    <row r="504" spans="12:27" x14ac:dyDescent="0.25">
      <c r="L504" s="60" t="e">
        <f t="shared" si="16"/>
        <v>#N/A</v>
      </c>
      <c r="M504" s="42" t="e">
        <f t="shared" si="17"/>
        <v>#N/A</v>
      </c>
      <c r="U504">
        <v>3</v>
      </c>
      <c r="V504">
        <v>0</v>
      </c>
      <c r="W504" s="20" t="s">
        <v>228</v>
      </c>
      <c r="X504">
        <v>2</v>
      </c>
      <c r="Y504" s="20" t="s">
        <v>126</v>
      </c>
      <c r="Z504" s="7">
        <v>0.58194444444444449</v>
      </c>
      <c r="AA504" s="20" t="str">
        <f>grafico_sol1[[#This Row],[Value]]&amp;"|"&amp;grafico_sol1[[#This Row],[Numero Voltas]]</f>
        <v>0.581944444444444|3</v>
      </c>
    </row>
    <row r="505" spans="12:27" x14ac:dyDescent="0.25">
      <c r="L505" s="60" t="e">
        <f t="shared" si="16"/>
        <v>#N/A</v>
      </c>
      <c r="M505" s="42" t="e">
        <f t="shared" si="17"/>
        <v>#N/A</v>
      </c>
      <c r="U505">
        <v>3</v>
      </c>
      <c r="V505">
        <v>0</v>
      </c>
      <c r="W505" s="20" t="s">
        <v>228</v>
      </c>
      <c r="X505">
        <v>2</v>
      </c>
      <c r="Y505" s="20" t="s">
        <v>127</v>
      </c>
      <c r="Z505" s="7">
        <v>0.58194444444444449</v>
      </c>
      <c r="AA505" s="20" t="str">
        <f>grafico_sol1[[#This Row],[Value]]&amp;"|"&amp;grafico_sol1[[#This Row],[Numero Voltas]]</f>
        <v>0.581944444444444|3</v>
      </c>
    </row>
    <row r="506" spans="12:27" x14ac:dyDescent="0.25">
      <c r="L506" s="60" t="e">
        <f t="shared" si="16"/>
        <v>#N/A</v>
      </c>
      <c r="M506" s="42" t="e">
        <f t="shared" si="17"/>
        <v>#N/A</v>
      </c>
      <c r="U506">
        <v>3</v>
      </c>
      <c r="V506">
        <v>0</v>
      </c>
      <c r="W506" s="20" t="s">
        <v>208</v>
      </c>
      <c r="X506">
        <v>3</v>
      </c>
      <c r="Y506" s="20" t="s">
        <v>126</v>
      </c>
      <c r="Z506" s="7">
        <v>0.58402777777777781</v>
      </c>
      <c r="AA506" s="20" t="str">
        <f>grafico_sol1[[#This Row],[Value]]&amp;"|"&amp;grafico_sol1[[#This Row],[Numero Voltas]]</f>
        <v>0.584027777777778|3</v>
      </c>
    </row>
    <row r="507" spans="12:27" x14ac:dyDescent="0.25">
      <c r="L507" s="60" t="e">
        <f t="shared" si="16"/>
        <v>#N/A</v>
      </c>
      <c r="M507" s="42" t="e">
        <f t="shared" si="17"/>
        <v>#N/A</v>
      </c>
      <c r="U507">
        <v>3</v>
      </c>
      <c r="V507">
        <v>0</v>
      </c>
      <c r="W507" s="20" t="s">
        <v>208</v>
      </c>
      <c r="X507">
        <v>3</v>
      </c>
      <c r="Y507" s="20" t="s">
        <v>127</v>
      </c>
      <c r="Z507" s="7">
        <v>0.58402777777777781</v>
      </c>
      <c r="AA507" s="20" t="str">
        <f>grafico_sol1[[#This Row],[Value]]&amp;"|"&amp;grafico_sol1[[#This Row],[Numero Voltas]]</f>
        <v>0.584027777777778|3</v>
      </c>
    </row>
    <row r="508" spans="12:27" x14ac:dyDescent="0.25">
      <c r="L508" s="60" t="e">
        <f t="shared" si="16"/>
        <v>#N/A</v>
      </c>
      <c r="M508" s="42" t="e">
        <f t="shared" si="17"/>
        <v>#N/A</v>
      </c>
      <c r="U508">
        <v>2</v>
      </c>
      <c r="V508">
        <v>0</v>
      </c>
      <c r="W508" s="20" t="s">
        <v>302</v>
      </c>
      <c r="X508">
        <v>8</v>
      </c>
      <c r="Y508" s="20" t="s">
        <v>127</v>
      </c>
      <c r="Z508" s="7">
        <v>0.58472222222222225</v>
      </c>
      <c r="AA508" s="20" t="str">
        <f>grafico_sol1[[#This Row],[Value]]&amp;"|"&amp;grafico_sol1[[#This Row],[Numero Voltas]]</f>
        <v>0.584722222222222|2</v>
      </c>
    </row>
    <row r="509" spans="12:27" x14ac:dyDescent="0.25">
      <c r="L509" s="60" t="e">
        <f t="shared" si="16"/>
        <v>#N/A</v>
      </c>
      <c r="M509" s="42" t="e">
        <f t="shared" si="17"/>
        <v>#N/A</v>
      </c>
      <c r="U509">
        <v>3</v>
      </c>
      <c r="V509">
        <v>0</v>
      </c>
      <c r="W509" s="20" t="s">
        <v>2</v>
      </c>
      <c r="X509">
        <v>4</v>
      </c>
      <c r="Y509" s="20" t="s">
        <v>126</v>
      </c>
      <c r="Z509" s="7">
        <v>0.58750000000000002</v>
      </c>
      <c r="AA509" s="20" t="str">
        <f>grafico_sol1[[#This Row],[Value]]&amp;"|"&amp;grafico_sol1[[#This Row],[Numero Voltas]]</f>
        <v>0.5875|3</v>
      </c>
    </row>
    <row r="510" spans="12:27" x14ac:dyDescent="0.25">
      <c r="L510" s="60" t="e">
        <f t="shared" si="16"/>
        <v>#N/A</v>
      </c>
      <c r="M510" s="42" t="e">
        <f t="shared" si="17"/>
        <v>#N/A</v>
      </c>
      <c r="U510">
        <v>3</v>
      </c>
      <c r="V510">
        <v>0</v>
      </c>
      <c r="W510" s="20" t="s">
        <v>2</v>
      </c>
      <c r="X510">
        <v>4</v>
      </c>
      <c r="Y510" s="20" t="s">
        <v>127</v>
      </c>
      <c r="Z510" s="7">
        <v>0.58750000000000002</v>
      </c>
      <c r="AA510" s="20" t="str">
        <f>grafico_sol1[[#This Row],[Value]]&amp;"|"&amp;grafico_sol1[[#This Row],[Numero Voltas]]</f>
        <v>0.5875|3</v>
      </c>
    </row>
    <row r="511" spans="12:27" x14ac:dyDescent="0.25">
      <c r="L511" s="60" t="e">
        <f t="shared" si="16"/>
        <v>#N/A</v>
      </c>
      <c r="M511" s="42" t="e">
        <f t="shared" si="17"/>
        <v>#N/A</v>
      </c>
      <c r="U511">
        <v>2</v>
      </c>
      <c r="V511">
        <v>0</v>
      </c>
      <c r="W511" s="20" t="s">
        <v>303</v>
      </c>
      <c r="X511">
        <v>9</v>
      </c>
      <c r="Y511" s="20" t="s">
        <v>126</v>
      </c>
      <c r="Z511" s="7">
        <v>0.58888888888888891</v>
      </c>
      <c r="AA511" s="20" t="str">
        <f>grafico_sol1[[#This Row],[Value]]&amp;"|"&amp;grafico_sol1[[#This Row],[Numero Voltas]]</f>
        <v>0.588888888888889|2</v>
      </c>
    </row>
    <row r="512" spans="12:27" x14ac:dyDescent="0.25">
      <c r="L512" s="60" t="e">
        <f t="shared" si="16"/>
        <v>#N/A</v>
      </c>
      <c r="M512" s="42" t="e">
        <f t="shared" si="17"/>
        <v>#N/A</v>
      </c>
      <c r="U512">
        <v>2</v>
      </c>
      <c r="V512">
        <v>0</v>
      </c>
      <c r="W512" s="20" t="s">
        <v>303</v>
      </c>
      <c r="X512">
        <v>9</v>
      </c>
      <c r="Y512" s="20" t="s">
        <v>127</v>
      </c>
      <c r="Z512" s="7">
        <v>0.58888888888888891</v>
      </c>
      <c r="AA512" s="20" t="str">
        <f>grafico_sol1[[#This Row],[Value]]&amp;"|"&amp;grafico_sol1[[#This Row],[Numero Voltas]]</f>
        <v>0.588888888888889|2</v>
      </c>
    </row>
    <row r="513" spans="12:27" x14ac:dyDescent="0.25">
      <c r="L513" s="60" t="e">
        <f t="shared" si="16"/>
        <v>#N/A</v>
      </c>
      <c r="M513" s="42" t="e">
        <f t="shared" si="17"/>
        <v>#N/A</v>
      </c>
      <c r="U513">
        <v>2</v>
      </c>
      <c r="V513">
        <v>0</v>
      </c>
      <c r="W513" s="20" t="s">
        <v>303</v>
      </c>
      <c r="X513">
        <v>9</v>
      </c>
      <c r="Y513" s="20" t="s">
        <v>126</v>
      </c>
      <c r="Z513" s="7">
        <v>0.58888888888888891</v>
      </c>
      <c r="AA513" s="20" t="str">
        <f>grafico_sol1[[#This Row],[Value]]&amp;"|"&amp;grafico_sol1[[#This Row],[Numero Voltas]]</f>
        <v>0.588888888888889|2</v>
      </c>
    </row>
    <row r="514" spans="12:27" x14ac:dyDescent="0.25">
      <c r="L514" s="60" t="e">
        <f t="shared" si="16"/>
        <v>#N/A</v>
      </c>
      <c r="M514" s="42" t="e">
        <f t="shared" si="17"/>
        <v>#N/A</v>
      </c>
      <c r="U514">
        <v>2</v>
      </c>
      <c r="V514">
        <v>0</v>
      </c>
      <c r="W514" s="20" t="s">
        <v>303</v>
      </c>
      <c r="X514">
        <v>9</v>
      </c>
      <c r="Y514" s="20" t="s">
        <v>127</v>
      </c>
      <c r="Z514" s="7">
        <v>0.58888888888888891</v>
      </c>
      <c r="AA514" s="20" t="str">
        <f>grafico_sol1[[#This Row],[Value]]&amp;"|"&amp;grafico_sol1[[#This Row],[Numero Voltas]]</f>
        <v>0.588888888888889|2</v>
      </c>
    </row>
    <row r="515" spans="12:27" x14ac:dyDescent="0.25">
      <c r="L515" s="60" t="e">
        <f t="shared" si="16"/>
        <v>#N/A</v>
      </c>
      <c r="M515" s="42" t="e">
        <f t="shared" si="17"/>
        <v>#N/A</v>
      </c>
      <c r="U515">
        <v>3</v>
      </c>
      <c r="V515">
        <v>0</v>
      </c>
      <c r="W515" s="20" t="s">
        <v>215</v>
      </c>
      <c r="X515">
        <v>5</v>
      </c>
      <c r="Y515" s="20" t="s">
        <v>126</v>
      </c>
      <c r="Z515" s="7">
        <v>0.58958333333333335</v>
      </c>
      <c r="AA515" s="20" t="str">
        <f>grafico_sol1[[#This Row],[Value]]&amp;"|"&amp;grafico_sol1[[#This Row],[Numero Voltas]]</f>
        <v>0.589583333333333|3</v>
      </c>
    </row>
    <row r="516" spans="12:27" x14ac:dyDescent="0.25">
      <c r="L516" s="60" t="e">
        <f t="shared" si="16"/>
        <v>#N/A</v>
      </c>
      <c r="M516" s="42" t="e">
        <f t="shared" si="17"/>
        <v>#N/A</v>
      </c>
      <c r="U516">
        <v>3</v>
      </c>
      <c r="V516">
        <v>0</v>
      </c>
      <c r="W516" s="20" t="s">
        <v>215</v>
      </c>
      <c r="X516">
        <v>5</v>
      </c>
      <c r="Y516" s="20" t="s">
        <v>127</v>
      </c>
      <c r="Z516" s="7">
        <v>0.58958333333333335</v>
      </c>
      <c r="AA516" s="20" t="str">
        <f>grafico_sol1[[#This Row],[Value]]&amp;"|"&amp;grafico_sol1[[#This Row],[Numero Voltas]]</f>
        <v>0.589583333333333|3</v>
      </c>
    </row>
    <row r="517" spans="12:27" x14ac:dyDescent="0.25">
      <c r="L517" s="60" t="e">
        <f t="shared" si="16"/>
        <v>#N/A</v>
      </c>
      <c r="M517" s="42" t="e">
        <f t="shared" si="17"/>
        <v>#N/A</v>
      </c>
      <c r="U517">
        <v>3</v>
      </c>
      <c r="V517">
        <v>0</v>
      </c>
      <c r="W517" s="20" t="s">
        <v>215</v>
      </c>
      <c r="X517">
        <v>5</v>
      </c>
      <c r="Y517" s="20" t="s">
        <v>126</v>
      </c>
      <c r="Z517" s="7">
        <v>0.58958333333333335</v>
      </c>
      <c r="AA517" s="20" t="str">
        <f>grafico_sol1[[#This Row],[Value]]&amp;"|"&amp;grafico_sol1[[#This Row],[Numero Voltas]]</f>
        <v>0.589583333333333|3</v>
      </c>
    </row>
    <row r="518" spans="12:27" x14ac:dyDescent="0.25">
      <c r="L518" s="60" t="e">
        <f t="shared" si="16"/>
        <v>#N/A</v>
      </c>
      <c r="M518" s="42" t="e">
        <f t="shared" si="17"/>
        <v>#N/A</v>
      </c>
      <c r="U518">
        <v>3</v>
      </c>
      <c r="V518">
        <v>0</v>
      </c>
      <c r="W518" s="20" t="s">
        <v>215</v>
      </c>
      <c r="X518">
        <v>5</v>
      </c>
      <c r="Y518" s="20" t="s">
        <v>127</v>
      </c>
      <c r="Z518" s="7">
        <v>0.58958333333333335</v>
      </c>
      <c r="AA518" s="20" t="str">
        <f>grafico_sol1[[#This Row],[Value]]&amp;"|"&amp;grafico_sol1[[#This Row],[Numero Voltas]]</f>
        <v>0.589583333333333|3</v>
      </c>
    </row>
    <row r="519" spans="12:27" x14ac:dyDescent="0.25">
      <c r="L519" s="60" t="e">
        <f t="shared" si="16"/>
        <v>#N/A</v>
      </c>
      <c r="M519" s="42" t="e">
        <f t="shared" si="17"/>
        <v>#N/A</v>
      </c>
      <c r="U519">
        <v>3</v>
      </c>
      <c r="V519">
        <v>0</v>
      </c>
      <c r="W519" s="20" t="s">
        <v>300</v>
      </c>
      <c r="X519">
        <v>6</v>
      </c>
      <c r="Y519" s="20" t="s">
        <v>126</v>
      </c>
      <c r="Z519" s="7">
        <v>0.59236111111111112</v>
      </c>
      <c r="AA519" s="20" t="str">
        <f>grafico_sol1[[#This Row],[Value]]&amp;"|"&amp;grafico_sol1[[#This Row],[Numero Voltas]]</f>
        <v>0.592361111111111|3</v>
      </c>
    </row>
    <row r="520" spans="12:27" x14ac:dyDescent="0.25">
      <c r="L520" s="60" t="e">
        <f t="shared" si="16"/>
        <v>#N/A</v>
      </c>
      <c r="M520" s="42" t="e">
        <f t="shared" si="17"/>
        <v>#N/A</v>
      </c>
      <c r="U520">
        <v>3</v>
      </c>
      <c r="V520">
        <v>0</v>
      </c>
      <c r="W520" s="20" t="s">
        <v>300</v>
      </c>
      <c r="X520">
        <v>6</v>
      </c>
      <c r="Y520" s="20" t="s">
        <v>127</v>
      </c>
      <c r="Z520" s="7">
        <v>0.59236111111111112</v>
      </c>
      <c r="AA520" s="20" t="str">
        <f>grafico_sol1[[#This Row],[Value]]&amp;"|"&amp;grafico_sol1[[#This Row],[Numero Voltas]]</f>
        <v>0.592361111111111|3</v>
      </c>
    </row>
    <row r="521" spans="12:27" x14ac:dyDescent="0.25">
      <c r="L521" s="60" t="e">
        <f t="shared" si="16"/>
        <v>#N/A</v>
      </c>
      <c r="M521" s="42" t="e">
        <f t="shared" si="17"/>
        <v>#N/A</v>
      </c>
      <c r="U521">
        <v>3</v>
      </c>
      <c r="V521">
        <v>0</v>
      </c>
      <c r="W521" s="20" t="s">
        <v>300</v>
      </c>
      <c r="X521">
        <v>6</v>
      </c>
      <c r="Y521" s="20" t="s">
        <v>126</v>
      </c>
      <c r="Z521" s="7">
        <v>0.59236111111111112</v>
      </c>
      <c r="AA521" s="20" t="str">
        <f>grafico_sol1[[#This Row],[Value]]&amp;"|"&amp;grafico_sol1[[#This Row],[Numero Voltas]]</f>
        <v>0.592361111111111|3</v>
      </c>
    </row>
    <row r="522" spans="12:27" x14ac:dyDescent="0.25">
      <c r="L522" s="60" t="e">
        <f t="shared" si="16"/>
        <v>#N/A</v>
      </c>
      <c r="M522" s="42" t="e">
        <f t="shared" si="17"/>
        <v>#N/A</v>
      </c>
      <c r="U522">
        <v>3</v>
      </c>
      <c r="V522">
        <v>0</v>
      </c>
      <c r="W522" s="20" t="s">
        <v>300</v>
      </c>
      <c r="X522">
        <v>6</v>
      </c>
      <c r="Y522" s="20" t="s">
        <v>127</v>
      </c>
      <c r="Z522" s="7">
        <v>0.59236111111111112</v>
      </c>
      <c r="AA522" s="20" t="str">
        <f>grafico_sol1[[#This Row],[Value]]&amp;"|"&amp;grafico_sol1[[#This Row],[Numero Voltas]]</f>
        <v>0.592361111111111|3</v>
      </c>
    </row>
    <row r="523" spans="12:27" x14ac:dyDescent="0.25">
      <c r="L523" s="60" t="e">
        <f t="shared" si="16"/>
        <v>#N/A</v>
      </c>
      <c r="M523" s="42" t="e">
        <f t="shared" si="17"/>
        <v>#N/A</v>
      </c>
      <c r="U523">
        <v>2</v>
      </c>
      <c r="V523">
        <v>0</v>
      </c>
      <c r="W523" s="20" t="s">
        <v>302</v>
      </c>
      <c r="X523">
        <v>8</v>
      </c>
      <c r="Y523" s="20" t="s">
        <v>126</v>
      </c>
      <c r="Z523" s="7">
        <v>0.59305555555555556</v>
      </c>
      <c r="AA523" s="20" t="str">
        <f>grafico_sol1[[#This Row],[Value]]&amp;"|"&amp;grafico_sol1[[#This Row],[Numero Voltas]]</f>
        <v>0.593055555555556|2</v>
      </c>
    </row>
    <row r="524" spans="12:27" x14ac:dyDescent="0.25">
      <c r="L524" s="60" t="e">
        <f t="shared" si="16"/>
        <v>#N/A</v>
      </c>
      <c r="M524" s="42" t="e">
        <f t="shared" si="17"/>
        <v>#N/A</v>
      </c>
      <c r="U524">
        <v>2</v>
      </c>
      <c r="V524">
        <v>0</v>
      </c>
      <c r="W524" s="20" t="s">
        <v>302</v>
      </c>
      <c r="X524">
        <v>8</v>
      </c>
      <c r="Y524" s="20" t="s">
        <v>127</v>
      </c>
      <c r="Z524" s="7">
        <v>0.59305555555555556</v>
      </c>
      <c r="AA524" s="20" t="str">
        <f>grafico_sol1[[#This Row],[Value]]&amp;"|"&amp;grafico_sol1[[#This Row],[Numero Voltas]]</f>
        <v>0.593055555555556|2</v>
      </c>
    </row>
    <row r="525" spans="12:27" x14ac:dyDescent="0.25">
      <c r="L525" s="60" t="e">
        <f t="shared" si="16"/>
        <v>#N/A</v>
      </c>
      <c r="M525" s="42" t="e">
        <f t="shared" si="17"/>
        <v>#N/A</v>
      </c>
      <c r="U525">
        <v>3</v>
      </c>
      <c r="V525">
        <v>0</v>
      </c>
      <c r="W525" s="20" t="s">
        <v>301</v>
      </c>
      <c r="X525">
        <v>7</v>
      </c>
      <c r="Y525" s="20" t="s">
        <v>126</v>
      </c>
      <c r="Z525" s="7">
        <v>0.59444444444444444</v>
      </c>
      <c r="AA525" s="20" t="str">
        <f>grafico_sol1[[#This Row],[Value]]&amp;"|"&amp;grafico_sol1[[#This Row],[Numero Voltas]]</f>
        <v>0.594444444444444|3</v>
      </c>
    </row>
    <row r="526" spans="12:27" x14ac:dyDescent="0.25">
      <c r="L526" s="60" t="e">
        <f t="shared" si="16"/>
        <v>#N/A</v>
      </c>
      <c r="M526" s="42" t="e">
        <f t="shared" si="17"/>
        <v>#N/A</v>
      </c>
      <c r="U526">
        <v>3</v>
      </c>
      <c r="V526">
        <v>0</v>
      </c>
      <c r="W526" s="20" t="s">
        <v>301</v>
      </c>
      <c r="X526">
        <v>7</v>
      </c>
      <c r="Y526" s="20" t="s">
        <v>127</v>
      </c>
      <c r="Z526" s="7">
        <v>0.59444444444444444</v>
      </c>
      <c r="AA526" s="20" t="str">
        <f>grafico_sol1[[#This Row],[Value]]&amp;"|"&amp;grafico_sol1[[#This Row],[Numero Voltas]]</f>
        <v>0.594444444444444|3</v>
      </c>
    </row>
    <row r="527" spans="12:27" x14ac:dyDescent="0.25">
      <c r="L527" s="60" t="e">
        <f t="shared" si="16"/>
        <v>#N/A</v>
      </c>
      <c r="M527" s="42" t="e">
        <f t="shared" si="17"/>
        <v>#N/A</v>
      </c>
      <c r="U527">
        <v>2</v>
      </c>
      <c r="V527">
        <v>0</v>
      </c>
      <c r="W527" s="20" t="s">
        <v>301</v>
      </c>
      <c r="X527">
        <v>7</v>
      </c>
      <c r="Y527" s="20" t="s">
        <v>126</v>
      </c>
      <c r="Z527" s="7">
        <v>0.59722222222222221</v>
      </c>
      <c r="AA527" s="20" t="str">
        <f>grafico_sol1[[#This Row],[Value]]&amp;"|"&amp;grafico_sol1[[#This Row],[Numero Voltas]]</f>
        <v>0.597222222222222|2</v>
      </c>
    </row>
    <row r="528" spans="12:27" x14ac:dyDescent="0.25">
      <c r="L528" s="60" t="e">
        <f t="shared" si="16"/>
        <v>#N/A</v>
      </c>
      <c r="M528" s="42" t="e">
        <f t="shared" si="17"/>
        <v>#N/A</v>
      </c>
      <c r="U528">
        <v>2</v>
      </c>
      <c r="V528">
        <v>0</v>
      </c>
      <c r="W528" s="20" t="s">
        <v>301</v>
      </c>
      <c r="X528">
        <v>7</v>
      </c>
      <c r="Y528" s="20" t="s">
        <v>127</v>
      </c>
      <c r="Z528" s="7">
        <v>0.59722222222222221</v>
      </c>
      <c r="AA528" s="20" t="str">
        <f>grafico_sol1[[#This Row],[Value]]&amp;"|"&amp;grafico_sol1[[#This Row],[Numero Voltas]]</f>
        <v>0.597222222222222|2</v>
      </c>
    </row>
    <row r="529" spans="12:27" x14ac:dyDescent="0.25">
      <c r="L529" s="60" t="e">
        <f t="shared" si="16"/>
        <v>#N/A</v>
      </c>
      <c r="M529" s="42" t="e">
        <f t="shared" si="17"/>
        <v>#N/A</v>
      </c>
      <c r="U529">
        <v>3</v>
      </c>
      <c r="V529">
        <v>0</v>
      </c>
      <c r="W529" s="20" t="s">
        <v>302</v>
      </c>
      <c r="X529">
        <v>8</v>
      </c>
      <c r="Y529" s="20" t="s">
        <v>126</v>
      </c>
      <c r="Z529" s="7">
        <v>0.59861111111111109</v>
      </c>
      <c r="AA529" s="20" t="str">
        <f>grafico_sol1[[#This Row],[Value]]&amp;"|"&amp;grafico_sol1[[#This Row],[Numero Voltas]]</f>
        <v>0.598611111111111|3</v>
      </c>
    </row>
    <row r="530" spans="12:27" x14ac:dyDescent="0.25">
      <c r="L530" s="60" t="e">
        <f t="shared" si="16"/>
        <v>#N/A</v>
      </c>
      <c r="M530" s="42" t="e">
        <f t="shared" si="17"/>
        <v>#N/A</v>
      </c>
      <c r="U530">
        <v>3</v>
      </c>
      <c r="V530">
        <v>0</v>
      </c>
      <c r="W530" s="20" t="s">
        <v>302</v>
      </c>
      <c r="X530">
        <v>8</v>
      </c>
      <c r="Y530" s="20" t="s">
        <v>127</v>
      </c>
      <c r="Z530" s="7">
        <v>0.59861111111111109</v>
      </c>
      <c r="AA530" s="20" t="str">
        <f>grafico_sol1[[#This Row],[Value]]&amp;"|"&amp;grafico_sol1[[#This Row],[Numero Voltas]]</f>
        <v>0.598611111111111|3</v>
      </c>
    </row>
    <row r="531" spans="12:27" x14ac:dyDescent="0.25">
      <c r="L531" s="60" t="e">
        <f t="shared" si="16"/>
        <v>#N/A</v>
      </c>
      <c r="M531" s="42" t="e">
        <f t="shared" si="17"/>
        <v>#N/A</v>
      </c>
      <c r="U531">
        <v>2</v>
      </c>
      <c r="V531">
        <v>0</v>
      </c>
      <c r="W531" s="20" t="s">
        <v>300</v>
      </c>
      <c r="X531">
        <v>6</v>
      </c>
      <c r="Y531" s="20" t="s">
        <v>126</v>
      </c>
      <c r="Z531" s="7">
        <v>0.59930555555555554</v>
      </c>
      <c r="AA531" s="20" t="str">
        <f>grafico_sol1[[#This Row],[Value]]&amp;"|"&amp;grafico_sol1[[#This Row],[Numero Voltas]]</f>
        <v>0.599305555555556|2</v>
      </c>
    </row>
    <row r="532" spans="12:27" x14ac:dyDescent="0.25">
      <c r="L532" s="60" t="e">
        <f t="shared" si="16"/>
        <v>#N/A</v>
      </c>
      <c r="M532" s="42" t="e">
        <f t="shared" si="17"/>
        <v>#N/A</v>
      </c>
      <c r="U532">
        <v>2</v>
      </c>
      <c r="V532">
        <v>0</v>
      </c>
      <c r="W532" s="20" t="s">
        <v>300</v>
      </c>
      <c r="X532">
        <v>6</v>
      </c>
      <c r="Y532" s="20" t="s">
        <v>127</v>
      </c>
      <c r="Z532" s="7">
        <v>0.59930555555555554</v>
      </c>
      <c r="AA532" s="20" t="str">
        <f>grafico_sol1[[#This Row],[Value]]&amp;"|"&amp;grafico_sol1[[#This Row],[Numero Voltas]]</f>
        <v>0.599305555555556|2</v>
      </c>
    </row>
    <row r="533" spans="12:27" x14ac:dyDescent="0.25">
      <c r="L533" s="60" t="e">
        <f t="shared" si="16"/>
        <v>#N/A</v>
      </c>
      <c r="M533" s="42" t="e">
        <f t="shared" si="17"/>
        <v>#N/A</v>
      </c>
      <c r="U533">
        <v>2</v>
      </c>
      <c r="V533">
        <v>0</v>
      </c>
      <c r="W533" s="20" t="s">
        <v>300</v>
      </c>
      <c r="X533">
        <v>6</v>
      </c>
      <c r="Y533" s="20" t="s">
        <v>126</v>
      </c>
      <c r="Z533" s="7">
        <v>0.59930555555555554</v>
      </c>
      <c r="AA533" s="20" t="str">
        <f>grafico_sol1[[#This Row],[Value]]&amp;"|"&amp;grafico_sol1[[#This Row],[Numero Voltas]]</f>
        <v>0.599305555555556|2</v>
      </c>
    </row>
    <row r="534" spans="12:27" x14ac:dyDescent="0.25">
      <c r="L534" s="60" t="e">
        <f t="shared" si="16"/>
        <v>#N/A</v>
      </c>
      <c r="M534" s="42" t="e">
        <f t="shared" si="17"/>
        <v>#N/A</v>
      </c>
      <c r="U534">
        <v>2</v>
      </c>
      <c r="V534">
        <v>0</v>
      </c>
      <c r="W534" s="20" t="s">
        <v>300</v>
      </c>
      <c r="X534">
        <v>6</v>
      </c>
      <c r="Y534" s="20" t="s">
        <v>127</v>
      </c>
      <c r="Z534" s="7">
        <v>0.59930555555555554</v>
      </c>
      <c r="AA534" s="20" t="str">
        <f>grafico_sol1[[#This Row],[Value]]&amp;"|"&amp;grafico_sol1[[#This Row],[Numero Voltas]]</f>
        <v>0.599305555555556|2</v>
      </c>
    </row>
    <row r="535" spans="12:27" x14ac:dyDescent="0.25">
      <c r="L535" s="60" t="e">
        <f t="shared" si="16"/>
        <v>#N/A</v>
      </c>
      <c r="M535" s="42" t="e">
        <f t="shared" si="17"/>
        <v>#N/A</v>
      </c>
      <c r="U535">
        <v>2</v>
      </c>
      <c r="V535">
        <v>0</v>
      </c>
      <c r="W535" s="20" t="s">
        <v>215</v>
      </c>
      <c r="X535">
        <v>5</v>
      </c>
      <c r="Y535" s="20" t="s">
        <v>126</v>
      </c>
      <c r="Z535" s="7">
        <v>0.6020833333333333</v>
      </c>
      <c r="AA535" s="20" t="str">
        <f>grafico_sol1[[#This Row],[Value]]&amp;"|"&amp;grafico_sol1[[#This Row],[Numero Voltas]]</f>
        <v>0.602083333333333|2</v>
      </c>
    </row>
    <row r="536" spans="12:27" x14ac:dyDescent="0.25">
      <c r="L536" s="60" t="e">
        <f t="shared" si="16"/>
        <v>#N/A</v>
      </c>
      <c r="M536" s="42" t="e">
        <f t="shared" si="17"/>
        <v>#N/A</v>
      </c>
      <c r="U536">
        <v>2</v>
      </c>
      <c r="V536">
        <v>0</v>
      </c>
      <c r="W536" s="20" t="s">
        <v>215</v>
      </c>
      <c r="X536">
        <v>5</v>
      </c>
      <c r="Y536" s="20" t="s">
        <v>127</v>
      </c>
      <c r="Z536" s="7">
        <v>0.6020833333333333</v>
      </c>
      <c r="AA536" s="20" t="str">
        <f>grafico_sol1[[#This Row],[Value]]&amp;"|"&amp;grafico_sol1[[#This Row],[Numero Voltas]]</f>
        <v>0.602083333333333|2</v>
      </c>
    </row>
    <row r="537" spans="12:27" x14ac:dyDescent="0.25">
      <c r="L537" s="60" t="e">
        <f t="shared" si="16"/>
        <v>#N/A</v>
      </c>
      <c r="M537" s="42" t="e">
        <f t="shared" si="17"/>
        <v>#N/A</v>
      </c>
      <c r="U537">
        <v>2</v>
      </c>
      <c r="V537">
        <v>0</v>
      </c>
      <c r="W537" s="20" t="s">
        <v>215</v>
      </c>
      <c r="X537">
        <v>5</v>
      </c>
      <c r="Y537" s="20" t="s">
        <v>126</v>
      </c>
      <c r="Z537" s="7">
        <v>0.6020833333333333</v>
      </c>
      <c r="AA537" s="20" t="str">
        <f>grafico_sol1[[#This Row],[Value]]&amp;"|"&amp;grafico_sol1[[#This Row],[Numero Voltas]]</f>
        <v>0.602083333333333|2</v>
      </c>
    </row>
    <row r="538" spans="12:27" x14ac:dyDescent="0.25">
      <c r="L538" s="60" t="e">
        <f t="shared" si="16"/>
        <v>#N/A</v>
      </c>
      <c r="M538" s="42" t="e">
        <f t="shared" si="17"/>
        <v>#N/A</v>
      </c>
      <c r="U538">
        <v>2</v>
      </c>
      <c r="V538">
        <v>0</v>
      </c>
      <c r="W538" s="20" t="s">
        <v>215</v>
      </c>
      <c r="X538">
        <v>5</v>
      </c>
      <c r="Y538" s="20" t="s">
        <v>127</v>
      </c>
      <c r="Z538" s="7">
        <v>0.6020833333333333</v>
      </c>
      <c r="AA538" s="20" t="str">
        <f>grafico_sol1[[#This Row],[Value]]&amp;"|"&amp;grafico_sol1[[#This Row],[Numero Voltas]]</f>
        <v>0.602083333333333|2</v>
      </c>
    </row>
    <row r="539" spans="12:27" x14ac:dyDescent="0.25">
      <c r="L539" s="60" t="e">
        <f t="shared" si="16"/>
        <v>#N/A</v>
      </c>
      <c r="M539" s="42" t="e">
        <f t="shared" si="17"/>
        <v>#N/A</v>
      </c>
      <c r="U539">
        <v>3</v>
      </c>
      <c r="V539">
        <v>0</v>
      </c>
      <c r="W539" s="20" t="s">
        <v>303</v>
      </c>
      <c r="X539">
        <v>9</v>
      </c>
      <c r="Y539" s="20" t="s">
        <v>126</v>
      </c>
      <c r="Z539" s="7">
        <v>0.60277777777777775</v>
      </c>
      <c r="AA539" s="20" t="str">
        <f>grafico_sol1[[#This Row],[Value]]&amp;"|"&amp;grafico_sol1[[#This Row],[Numero Voltas]]</f>
        <v>0.602777777777778|3</v>
      </c>
    </row>
    <row r="540" spans="12:27" x14ac:dyDescent="0.25">
      <c r="L540" s="60" t="e">
        <f t="shared" si="16"/>
        <v>#N/A</v>
      </c>
      <c r="M540" s="42" t="e">
        <f t="shared" si="17"/>
        <v>#N/A</v>
      </c>
      <c r="U540">
        <v>3</v>
      </c>
      <c r="V540">
        <v>0</v>
      </c>
      <c r="W540" s="20" t="s">
        <v>303</v>
      </c>
      <c r="X540">
        <v>9</v>
      </c>
      <c r="Y540" s="20" t="s">
        <v>127</v>
      </c>
      <c r="Z540" s="7">
        <v>0.60277777777777775</v>
      </c>
      <c r="AA540" s="20" t="str">
        <f>grafico_sol1[[#This Row],[Value]]&amp;"|"&amp;grafico_sol1[[#This Row],[Numero Voltas]]</f>
        <v>0.602777777777778|3</v>
      </c>
    </row>
    <row r="541" spans="12:27" x14ac:dyDescent="0.25">
      <c r="L541" s="60" t="e">
        <f t="shared" si="16"/>
        <v>#N/A</v>
      </c>
      <c r="M541" s="42" t="e">
        <f t="shared" si="17"/>
        <v>#N/A</v>
      </c>
      <c r="U541">
        <v>3</v>
      </c>
      <c r="V541">
        <v>0</v>
      </c>
      <c r="W541" s="20" t="s">
        <v>303</v>
      </c>
      <c r="X541">
        <v>9</v>
      </c>
      <c r="Y541" s="20" t="s">
        <v>126</v>
      </c>
      <c r="Z541" s="7">
        <v>0.60277777777777775</v>
      </c>
      <c r="AA541" s="20" t="str">
        <f>grafico_sol1[[#This Row],[Value]]&amp;"|"&amp;grafico_sol1[[#This Row],[Numero Voltas]]</f>
        <v>0.602777777777778|3</v>
      </c>
    </row>
    <row r="542" spans="12:27" x14ac:dyDescent="0.25">
      <c r="L542" s="60" t="e">
        <f t="shared" si="16"/>
        <v>#N/A</v>
      </c>
      <c r="M542" s="42" t="e">
        <f t="shared" si="17"/>
        <v>#N/A</v>
      </c>
      <c r="U542">
        <v>3</v>
      </c>
      <c r="V542">
        <v>0</v>
      </c>
      <c r="W542" s="20" t="s">
        <v>303</v>
      </c>
      <c r="X542">
        <v>9</v>
      </c>
      <c r="Y542" s="20" t="s">
        <v>127</v>
      </c>
      <c r="Z542" s="7">
        <v>0.60277777777777775</v>
      </c>
      <c r="AA542" s="20" t="str">
        <f>grafico_sol1[[#This Row],[Value]]&amp;"|"&amp;grafico_sol1[[#This Row],[Numero Voltas]]</f>
        <v>0.602777777777778|3</v>
      </c>
    </row>
    <row r="543" spans="12:27" x14ac:dyDescent="0.25">
      <c r="L543" s="60" t="e">
        <f t="shared" si="16"/>
        <v>#N/A</v>
      </c>
      <c r="M543" s="42" t="e">
        <f t="shared" si="17"/>
        <v>#N/A</v>
      </c>
      <c r="U543">
        <v>3</v>
      </c>
      <c r="V543">
        <v>0</v>
      </c>
      <c r="W543" s="20" t="s">
        <v>303</v>
      </c>
      <c r="X543">
        <v>9</v>
      </c>
      <c r="Y543" s="20" t="s">
        <v>126</v>
      </c>
      <c r="Z543" s="7">
        <v>0.60277777777777775</v>
      </c>
      <c r="AA543" s="20" t="str">
        <f>grafico_sol1[[#This Row],[Value]]&amp;"|"&amp;grafico_sol1[[#This Row],[Numero Voltas]]</f>
        <v>0.602777777777778|3</v>
      </c>
    </row>
    <row r="544" spans="12:27" x14ac:dyDescent="0.25">
      <c r="L544" s="60" t="e">
        <f t="shared" si="16"/>
        <v>#N/A</v>
      </c>
      <c r="M544" s="42" t="e">
        <f t="shared" si="17"/>
        <v>#N/A</v>
      </c>
      <c r="U544">
        <v>2</v>
      </c>
      <c r="V544">
        <v>0</v>
      </c>
      <c r="W544" s="20" t="s">
        <v>2</v>
      </c>
      <c r="X544">
        <v>4</v>
      </c>
      <c r="Y544" s="20" t="s">
        <v>126</v>
      </c>
      <c r="Z544" s="7">
        <v>0.60416666666666663</v>
      </c>
      <c r="AA544" s="20" t="str">
        <f>grafico_sol1[[#This Row],[Value]]&amp;"|"&amp;grafico_sol1[[#This Row],[Numero Voltas]]</f>
        <v>0.604166666666667|2</v>
      </c>
    </row>
    <row r="545" spans="12:27" x14ac:dyDescent="0.25">
      <c r="L545" s="60" t="e">
        <f t="shared" si="16"/>
        <v>#N/A</v>
      </c>
      <c r="M545" s="42" t="e">
        <f t="shared" si="17"/>
        <v>#N/A</v>
      </c>
      <c r="U545">
        <v>2</v>
      </c>
      <c r="V545">
        <v>0</v>
      </c>
      <c r="W545" s="20" t="s">
        <v>2</v>
      </c>
      <c r="X545">
        <v>4</v>
      </c>
      <c r="Y545" s="20" t="s">
        <v>127</v>
      </c>
      <c r="Z545" s="7">
        <v>0.60416666666666663</v>
      </c>
      <c r="AA545" s="20" t="str">
        <f>grafico_sol1[[#This Row],[Value]]&amp;"|"&amp;grafico_sol1[[#This Row],[Numero Voltas]]</f>
        <v>0.604166666666667|2</v>
      </c>
    </row>
    <row r="546" spans="12:27" x14ac:dyDescent="0.25">
      <c r="L546" s="60" t="e">
        <f t="shared" si="16"/>
        <v>#N/A</v>
      </c>
      <c r="M546" s="42" t="e">
        <f t="shared" si="17"/>
        <v>#N/A</v>
      </c>
      <c r="U546">
        <v>2</v>
      </c>
      <c r="V546">
        <v>0</v>
      </c>
      <c r="W546" s="20" t="s">
        <v>2</v>
      </c>
      <c r="X546">
        <v>4</v>
      </c>
      <c r="Y546" s="20" t="s">
        <v>126</v>
      </c>
      <c r="Z546" s="7">
        <v>0.60416666666666663</v>
      </c>
      <c r="AA546" s="20" t="str">
        <f>grafico_sol1[[#This Row],[Value]]&amp;"|"&amp;grafico_sol1[[#This Row],[Numero Voltas]]</f>
        <v>0.604166666666667|2</v>
      </c>
    </row>
    <row r="547" spans="12:27" x14ac:dyDescent="0.25">
      <c r="L547" s="60" t="e">
        <f t="shared" si="16"/>
        <v>#N/A</v>
      </c>
      <c r="M547" s="42" t="e">
        <f t="shared" si="17"/>
        <v>#N/A</v>
      </c>
      <c r="U547">
        <v>3</v>
      </c>
      <c r="V547">
        <v>0</v>
      </c>
      <c r="W547" s="20" t="s">
        <v>303</v>
      </c>
      <c r="X547">
        <v>9</v>
      </c>
      <c r="Y547" s="20" t="s">
        <v>127</v>
      </c>
      <c r="Z547" s="7">
        <v>0.60972222222222228</v>
      </c>
      <c r="AA547" s="20" t="str">
        <f>grafico_sol1[[#This Row],[Value]]&amp;"|"&amp;grafico_sol1[[#This Row],[Numero Voltas]]</f>
        <v>0.609722222222222|3</v>
      </c>
    </row>
    <row r="548" spans="12:27" x14ac:dyDescent="0.25">
      <c r="L548" s="60" t="e">
        <f t="shared" si="16"/>
        <v>#N/A</v>
      </c>
      <c r="M548" s="42" t="e">
        <f t="shared" si="17"/>
        <v>#N/A</v>
      </c>
      <c r="U548">
        <v>3</v>
      </c>
      <c r="V548">
        <v>0</v>
      </c>
      <c r="W548" s="20" t="s">
        <v>302</v>
      </c>
      <c r="X548">
        <v>8</v>
      </c>
      <c r="Y548" s="20" t="s">
        <v>126</v>
      </c>
      <c r="Z548" s="7">
        <v>0.61388888888888893</v>
      </c>
      <c r="AA548" s="20" t="str">
        <f>grafico_sol1[[#This Row],[Value]]&amp;"|"&amp;grafico_sol1[[#This Row],[Numero Voltas]]</f>
        <v>0.613888888888889|3</v>
      </c>
    </row>
    <row r="549" spans="12:27" x14ac:dyDescent="0.25">
      <c r="L549" s="60" t="e">
        <f t="shared" si="16"/>
        <v>#N/A</v>
      </c>
      <c r="M549" s="42" t="e">
        <f t="shared" si="17"/>
        <v>#N/A</v>
      </c>
      <c r="U549">
        <v>3</v>
      </c>
      <c r="V549">
        <v>0</v>
      </c>
      <c r="W549" s="20" t="s">
        <v>302</v>
      </c>
      <c r="X549">
        <v>8</v>
      </c>
      <c r="Y549" s="20" t="s">
        <v>127</v>
      </c>
      <c r="Z549" s="7">
        <v>0.61388888888888893</v>
      </c>
      <c r="AA549" s="20" t="str">
        <f>grafico_sol1[[#This Row],[Value]]&amp;"|"&amp;grafico_sol1[[#This Row],[Numero Voltas]]</f>
        <v>0.613888888888889|3</v>
      </c>
    </row>
    <row r="550" spans="12:27" x14ac:dyDescent="0.25">
      <c r="L550" s="60" t="e">
        <f t="shared" si="16"/>
        <v>#N/A</v>
      </c>
      <c r="M550" s="42" t="e">
        <f t="shared" si="17"/>
        <v>#N/A</v>
      </c>
      <c r="U550">
        <v>3</v>
      </c>
      <c r="V550">
        <v>0</v>
      </c>
      <c r="W550" s="20" t="s">
        <v>301</v>
      </c>
      <c r="X550">
        <v>7</v>
      </c>
      <c r="Y550" s="20" t="s">
        <v>126</v>
      </c>
      <c r="Z550" s="7">
        <v>0.61805555555555558</v>
      </c>
      <c r="AA550" s="20" t="str">
        <f>grafico_sol1[[#This Row],[Value]]&amp;"|"&amp;grafico_sol1[[#This Row],[Numero Voltas]]</f>
        <v>0.618055555555556|3</v>
      </c>
    </row>
    <row r="551" spans="12:27" x14ac:dyDescent="0.25">
      <c r="L551" s="60" t="e">
        <f t="shared" si="16"/>
        <v>#N/A</v>
      </c>
      <c r="M551" s="42" t="e">
        <f t="shared" si="17"/>
        <v>#N/A</v>
      </c>
      <c r="U551">
        <v>3</v>
      </c>
      <c r="V551">
        <v>0</v>
      </c>
      <c r="W551" s="20" t="s">
        <v>301</v>
      </c>
      <c r="X551">
        <v>7</v>
      </c>
      <c r="Y551" s="20" t="s">
        <v>127</v>
      </c>
      <c r="Z551" s="7">
        <v>0.61805555555555558</v>
      </c>
      <c r="AA551" s="20" t="str">
        <f>grafico_sol1[[#This Row],[Value]]&amp;"|"&amp;grafico_sol1[[#This Row],[Numero Voltas]]</f>
        <v>0.618055555555556|3</v>
      </c>
    </row>
    <row r="552" spans="12:27" x14ac:dyDescent="0.25">
      <c r="L552" s="60" t="e">
        <f t="shared" si="16"/>
        <v>#N/A</v>
      </c>
      <c r="M552" s="42" t="e">
        <f t="shared" si="17"/>
        <v>#N/A</v>
      </c>
      <c r="U552">
        <v>3</v>
      </c>
      <c r="V552">
        <v>0</v>
      </c>
      <c r="W552" s="20" t="s">
        <v>300</v>
      </c>
      <c r="X552">
        <v>6</v>
      </c>
      <c r="Y552" s="20" t="s">
        <v>126</v>
      </c>
      <c r="Z552" s="7">
        <v>0.62013888888888891</v>
      </c>
      <c r="AA552" s="20" t="str">
        <f>grafico_sol1[[#This Row],[Value]]&amp;"|"&amp;grafico_sol1[[#This Row],[Numero Voltas]]</f>
        <v>0.620138888888889|3</v>
      </c>
    </row>
    <row r="553" spans="12:27" x14ac:dyDescent="0.25">
      <c r="L553" s="60" t="e">
        <f t="shared" si="16"/>
        <v>#N/A</v>
      </c>
      <c r="M553" s="42" t="e">
        <f t="shared" si="17"/>
        <v>#N/A</v>
      </c>
      <c r="U553">
        <v>3</v>
      </c>
      <c r="V553">
        <v>0</v>
      </c>
      <c r="W553" s="20" t="s">
        <v>300</v>
      </c>
      <c r="X553">
        <v>6</v>
      </c>
      <c r="Y553" s="20" t="s">
        <v>127</v>
      </c>
      <c r="Z553" s="7">
        <v>0.62013888888888891</v>
      </c>
      <c r="AA553" s="20" t="str">
        <f>grafico_sol1[[#This Row],[Value]]&amp;"|"&amp;grafico_sol1[[#This Row],[Numero Voltas]]</f>
        <v>0.620138888888889|3</v>
      </c>
    </row>
    <row r="554" spans="12:27" x14ac:dyDescent="0.25">
      <c r="L554" s="60" t="e">
        <f t="shared" si="16"/>
        <v>#N/A</v>
      </c>
      <c r="M554" s="42" t="e">
        <f t="shared" si="17"/>
        <v>#N/A</v>
      </c>
      <c r="U554">
        <v>3</v>
      </c>
      <c r="V554">
        <v>0</v>
      </c>
      <c r="W554" s="20" t="s">
        <v>300</v>
      </c>
      <c r="X554">
        <v>6</v>
      </c>
      <c r="Y554" s="20" t="s">
        <v>126</v>
      </c>
      <c r="Z554" s="7">
        <v>0.62013888888888891</v>
      </c>
      <c r="AA554" s="20" t="str">
        <f>grafico_sol1[[#This Row],[Value]]&amp;"|"&amp;grafico_sol1[[#This Row],[Numero Voltas]]</f>
        <v>0.620138888888889|3</v>
      </c>
    </row>
    <row r="555" spans="12:27" x14ac:dyDescent="0.25">
      <c r="L555" s="60" t="e">
        <f t="shared" si="16"/>
        <v>#N/A</v>
      </c>
      <c r="M555" s="42" t="e">
        <f t="shared" si="17"/>
        <v>#N/A</v>
      </c>
      <c r="U555">
        <v>3</v>
      </c>
      <c r="V555">
        <v>0</v>
      </c>
      <c r="W555" s="20" t="s">
        <v>300</v>
      </c>
      <c r="X555">
        <v>6</v>
      </c>
      <c r="Y555" s="20" t="s">
        <v>127</v>
      </c>
      <c r="Z555" s="7">
        <v>0.62013888888888891</v>
      </c>
      <c r="AA555" s="20" t="str">
        <f>grafico_sol1[[#This Row],[Value]]&amp;"|"&amp;grafico_sol1[[#This Row],[Numero Voltas]]</f>
        <v>0.620138888888889|3</v>
      </c>
    </row>
    <row r="556" spans="12:27" x14ac:dyDescent="0.25">
      <c r="L556" s="60" t="e">
        <f t="shared" si="16"/>
        <v>#N/A</v>
      </c>
      <c r="M556" s="42" t="e">
        <f t="shared" si="17"/>
        <v>#N/A</v>
      </c>
      <c r="U556">
        <v>3</v>
      </c>
      <c r="V556">
        <v>0</v>
      </c>
      <c r="W556" s="20" t="s">
        <v>215</v>
      </c>
      <c r="X556">
        <v>5</v>
      </c>
      <c r="Y556" s="20" t="s">
        <v>126</v>
      </c>
      <c r="Z556" s="7">
        <v>0.62291666666666667</v>
      </c>
      <c r="AA556" s="20" t="str">
        <f>grafico_sol1[[#This Row],[Value]]&amp;"|"&amp;grafico_sol1[[#This Row],[Numero Voltas]]</f>
        <v>0.622916666666667|3</v>
      </c>
    </row>
    <row r="557" spans="12:27" x14ac:dyDescent="0.25">
      <c r="L557" s="60" t="e">
        <f t="shared" si="16"/>
        <v>#N/A</v>
      </c>
      <c r="M557" s="42" t="e">
        <f t="shared" si="17"/>
        <v>#N/A</v>
      </c>
      <c r="U557">
        <v>3</v>
      </c>
      <c r="V557">
        <v>0</v>
      </c>
      <c r="W557" s="20" t="s">
        <v>215</v>
      </c>
      <c r="X557">
        <v>5</v>
      </c>
      <c r="Y557" s="20" t="s">
        <v>127</v>
      </c>
      <c r="Z557" s="7">
        <v>0.62291666666666667</v>
      </c>
      <c r="AA557" s="20" t="str">
        <f>grafico_sol1[[#This Row],[Value]]&amp;"|"&amp;grafico_sol1[[#This Row],[Numero Voltas]]</f>
        <v>0.622916666666667|3</v>
      </c>
    </row>
    <row r="558" spans="12:27" x14ac:dyDescent="0.25">
      <c r="L558" s="60" t="e">
        <f t="shared" si="16"/>
        <v>#N/A</v>
      </c>
      <c r="M558" s="42" t="e">
        <f t="shared" si="17"/>
        <v>#N/A</v>
      </c>
      <c r="U558">
        <v>3</v>
      </c>
      <c r="V558">
        <v>0</v>
      </c>
      <c r="W558" s="20" t="s">
        <v>215</v>
      </c>
      <c r="X558">
        <v>5</v>
      </c>
      <c r="Y558" s="20" t="s">
        <v>126</v>
      </c>
      <c r="Z558" s="7">
        <v>0.62291666666666667</v>
      </c>
      <c r="AA558" s="20" t="str">
        <f>grafico_sol1[[#This Row],[Value]]&amp;"|"&amp;grafico_sol1[[#This Row],[Numero Voltas]]</f>
        <v>0.622916666666667|3</v>
      </c>
    </row>
    <row r="559" spans="12:27" x14ac:dyDescent="0.25">
      <c r="L559" s="60" t="e">
        <f t="shared" si="16"/>
        <v>#N/A</v>
      </c>
      <c r="M559" s="42" t="e">
        <f t="shared" si="17"/>
        <v>#N/A</v>
      </c>
      <c r="U559">
        <v>3</v>
      </c>
      <c r="V559">
        <v>0</v>
      </c>
      <c r="W559" s="20" t="s">
        <v>215</v>
      </c>
      <c r="X559">
        <v>5</v>
      </c>
      <c r="Y559" s="20" t="s">
        <v>127</v>
      </c>
      <c r="Z559" s="7">
        <v>0.62291666666666667</v>
      </c>
      <c r="AA559" s="20" t="str">
        <f>grafico_sol1[[#This Row],[Value]]&amp;"|"&amp;grafico_sol1[[#This Row],[Numero Voltas]]</f>
        <v>0.622916666666667|3</v>
      </c>
    </row>
    <row r="560" spans="12:27" x14ac:dyDescent="0.25">
      <c r="L560" s="60" t="e">
        <f t="shared" si="16"/>
        <v>#N/A</v>
      </c>
      <c r="M560" s="42" t="e">
        <f t="shared" si="17"/>
        <v>#N/A</v>
      </c>
      <c r="U560">
        <v>2</v>
      </c>
      <c r="V560">
        <v>0</v>
      </c>
      <c r="W560" s="20" t="s">
        <v>2</v>
      </c>
      <c r="X560">
        <v>4</v>
      </c>
      <c r="Y560" s="20" t="s">
        <v>127</v>
      </c>
      <c r="Z560" s="7">
        <v>0.625</v>
      </c>
      <c r="AA560" s="20" t="str">
        <f>grafico_sol1[[#This Row],[Value]]&amp;"|"&amp;grafico_sol1[[#This Row],[Numero Voltas]]</f>
        <v>0.625|2</v>
      </c>
    </row>
    <row r="561" spans="12:27" x14ac:dyDescent="0.25">
      <c r="L561" s="60" t="e">
        <f t="shared" si="16"/>
        <v>#N/A</v>
      </c>
      <c r="M561" s="42" t="e">
        <f t="shared" si="17"/>
        <v>#N/A</v>
      </c>
      <c r="U561">
        <v>2</v>
      </c>
      <c r="V561">
        <v>0</v>
      </c>
      <c r="W561" s="20" t="s">
        <v>2</v>
      </c>
      <c r="X561">
        <v>4</v>
      </c>
      <c r="Y561" s="20" t="s">
        <v>126</v>
      </c>
      <c r="Z561" s="7">
        <v>0.625</v>
      </c>
      <c r="AA561" s="20" t="str">
        <f>grafico_sol1[[#This Row],[Value]]&amp;"|"&amp;grafico_sol1[[#This Row],[Numero Voltas]]</f>
        <v>0.625|2</v>
      </c>
    </row>
    <row r="562" spans="12:27" x14ac:dyDescent="0.25">
      <c r="L562" s="60" t="e">
        <f t="shared" si="16"/>
        <v>#N/A</v>
      </c>
      <c r="M562" s="42" t="e">
        <f t="shared" si="17"/>
        <v>#N/A</v>
      </c>
      <c r="U562">
        <v>2</v>
      </c>
      <c r="V562">
        <v>0</v>
      </c>
      <c r="W562" s="20" t="s">
        <v>2</v>
      </c>
      <c r="X562">
        <v>4</v>
      </c>
      <c r="Y562" s="20" t="s">
        <v>127</v>
      </c>
      <c r="Z562" s="7">
        <v>0.625</v>
      </c>
      <c r="AA562" s="20" t="str">
        <f>grafico_sol1[[#This Row],[Value]]&amp;"|"&amp;grafico_sol1[[#This Row],[Numero Voltas]]</f>
        <v>0.625|2</v>
      </c>
    </row>
    <row r="563" spans="12:27" x14ac:dyDescent="0.25">
      <c r="L563" s="60" t="e">
        <f t="shared" si="16"/>
        <v>#N/A</v>
      </c>
      <c r="M563" s="42" t="e">
        <f t="shared" si="17"/>
        <v>#N/A</v>
      </c>
      <c r="U563">
        <v>2</v>
      </c>
      <c r="V563">
        <v>1</v>
      </c>
      <c r="W563" s="20" t="s">
        <v>2</v>
      </c>
      <c r="X563">
        <v>4</v>
      </c>
      <c r="Y563" s="20" t="s">
        <v>126</v>
      </c>
      <c r="Z563" s="7">
        <v>0.625</v>
      </c>
      <c r="AA563" s="20" t="str">
        <f>grafico_sol1[[#This Row],[Value]]&amp;"|"&amp;grafico_sol1[[#This Row],[Numero Voltas]]</f>
        <v>0.625|2</v>
      </c>
    </row>
    <row r="564" spans="12:27" x14ac:dyDescent="0.25">
      <c r="L564" s="60" t="e">
        <f t="shared" si="16"/>
        <v>#N/A</v>
      </c>
      <c r="M564" s="42" t="e">
        <f t="shared" si="17"/>
        <v>#N/A</v>
      </c>
      <c r="U564">
        <v>2</v>
      </c>
      <c r="V564">
        <v>1</v>
      </c>
      <c r="W564" s="20" t="s">
        <v>2</v>
      </c>
      <c r="X564">
        <v>4</v>
      </c>
      <c r="Y564" s="20" t="s">
        <v>127</v>
      </c>
      <c r="Z564" s="7">
        <v>0.625</v>
      </c>
      <c r="AA564" s="20" t="str">
        <f>grafico_sol1[[#This Row],[Value]]&amp;"|"&amp;grafico_sol1[[#This Row],[Numero Voltas]]</f>
        <v>0.625|2</v>
      </c>
    </row>
    <row r="565" spans="12:27" x14ac:dyDescent="0.25">
      <c r="L565" s="60" t="e">
        <f t="shared" si="16"/>
        <v>#N/A</v>
      </c>
      <c r="M565" s="42" t="e">
        <f t="shared" si="17"/>
        <v>#N/A</v>
      </c>
      <c r="U565">
        <v>2</v>
      </c>
      <c r="V565">
        <v>1</v>
      </c>
      <c r="W565" s="20" t="s">
        <v>2</v>
      </c>
      <c r="X565">
        <v>4</v>
      </c>
      <c r="Y565" s="20" t="s">
        <v>126</v>
      </c>
      <c r="Z565" s="7">
        <v>0.625</v>
      </c>
      <c r="AA565" s="20" t="str">
        <f>grafico_sol1[[#This Row],[Value]]&amp;"|"&amp;grafico_sol1[[#This Row],[Numero Voltas]]</f>
        <v>0.625|2</v>
      </c>
    </row>
    <row r="566" spans="12:27" x14ac:dyDescent="0.25">
      <c r="L566" s="60" t="e">
        <f t="shared" si="16"/>
        <v>#N/A</v>
      </c>
      <c r="M566" s="42" t="e">
        <f t="shared" si="17"/>
        <v>#N/A</v>
      </c>
      <c r="U566">
        <v>2</v>
      </c>
      <c r="V566">
        <v>1</v>
      </c>
      <c r="W566" s="20" t="s">
        <v>2</v>
      </c>
      <c r="X566">
        <v>4</v>
      </c>
      <c r="Y566" s="20" t="s">
        <v>127</v>
      </c>
      <c r="Z566" s="7">
        <v>0.625</v>
      </c>
      <c r="AA566" s="20" t="str">
        <f>grafico_sol1[[#This Row],[Value]]&amp;"|"&amp;grafico_sol1[[#This Row],[Numero Voltas]]</f>
        <v>0.625|2</v>
      </c>
    </row>
    <row r="567" spans="12:27" x14ac:dyDescent="0.25">
      <c r="L567" s="60" t="e">
        <f t="shared" ref="L567:L630" si="18">IF(Q567&lt;&gt;"",Q567,#N/A)</f>
        <v>#N/A</v>
      </c>
      <c r="M567" s="42" t="e">
        <f t="shared" ref="M567:M630" si="19">IF(R567&lt;&gt;"",R567,#N/A)</f>
        <v>#N/A</v>
      </c>
      <c r="U567">
        <v>2</v>
      </c>
      <c r="V567">
        <v>1</v>
      </c>
      <c r="W567" s="20" t="s">
        <v>2</v>
      </c>
      <c r="X567">
        <v>4</v>
      </c>
      <c r="Y567" s="20" t="s">
        <v>126</v>
      </c>
      <c r="Z567" s="7">
        <v>0.625</v>
      </c>
      <c r="AA567" s="20" t="str">
        <f>grafico_sol1[[#This Row],[Value]]&amp;"|"&amp;grafico_sol1[[#This Row],[Numero Voltas]]</f>
        <v>0.625|2</v>
      </c>
    </row>
    <row r="568" spans="12:27" x14ac:dyDescent="0.25">
      <c r="L568" s="60" t="e">
        <f t="shared" si="18"/>
        <v>#N/A</v>
      </c>
      <c r="M568" s="42" t="e">
        <f t="shared" si="19"/>
        <v>#N/A</v>
      </c>
      <c r="U568">
        <v>3</v>
      </c>
      <c r="V568">
        <v>0</v>
      </c>
      <c r="W568" s="20" t="s">
        <v>2</v>
      </c>
      <c r="X568">
        <v>4</v>
      </c>
      <c r="Y568" s="20" t="s">
        <v>126</v>
      </c>
      <c r="Z568" s="7">
        <v>0.625</v>
      </c>
      <c r="AA568" s="20" t="str">
        <f>grafico_sol1[[#This Row],[Value]]&amp;"|"&amp;grafico_sol1[[#This Row],[Numero Voltas]]</f>
        <v>0.625|3</v>
      </c>
    </row>
    <row r="569" spans="12:27" x14ac:dyDescent="0.25">
      <c r="L569" s="60" t="e">
        <f t="shared" si="18"/>
        <v>#N/A</v>
      </c>
      <c r="M569" s="42" t="e">
        <f t="shared" si="19"/>
        <v>#N/A</v>
      </c>
      <c r="U569">
        <v>3</v>
      </c>
      <c r="V569">
        <v>0</v>
      </c>
      <c r="W569" s="20" t="s">
        <v>2</v>
      </c>
      <c r="X569">
        <v>4</v>
      </c>
      <c r="Y569" s="20" t="s">
        <v>127</v>
      </c>
      <c r="Z569" s="7">
        <v>0.625</v>
      </c>
      <c r="AA569" s="20" t="str">
        <f>grafico_sol1[[#This Row],[Value]]&amp;"|"&amp;grafico_sol1[[#This Row],[Numero Voltas]]</f>
        <v>0.625|3</v>
      </c>
    </row>
    <row r="570" spans="12:27" x14ac:dyDescent="0.25">
      <c r="L570" s="60" t="e">
        <f t="shared" si="18"/>
        <v>#N/A</v>
      </c>
      <c r="M570" s="42" t="e">
        <f t="shared" si="19"/>
        <v>#N/A</v>
      </c>
      <c r="U570">
        <v>3</v>
      </c>
      <c r="V570">
        <v>0</v>
      </c>
      <c r="W570" s="20" t="s">
        <v>2</v>
      </c>
      <c r="X570">
        <v>4</v>
      </c>
      <c r="Y570" s="20" t="s">
        <v>126</v>
      </c>
      <c r="Z570" s="7">
        <v>0.625</v>
      </c>
      <c r="AA570" s="20" t="str">
        <f>grafico_sol1[[#This Row],[Value]]&amp;"|"&amp;grafico_sol1[[#This Row],[Numero Voltas]]</f>
        <v>0.625|3</v>
      </c>
    </row>
    <row r="571" spans="12:27" x14ac:dyDescent="0.25">
      <c r="L571" s="60" t="e">
        <f t="shared" si="18"/>
        <v>#N/A</v>
      </c>
      <c r="M571" s="42" t="e">
        <f t="shared" si="19"/>
        <v>#N/A</v>
      </c>
      <c r="U571">
        <v>3</v>
      </c>
      <c r="V571">
        <v>0</v>
      </c>
      <c r="W571" s="20" t="s">
        <v>2</v>
      </c>
      <c r="X571">
        <v>4</v>
      </c>
      <c r="Y571" s="20" t="s">
        <v>127</v>
      </c>
      <c r="Z571" s="7">
        <v>0.625</v>
      </c>
      <c r="AA571" s="20" t="str">
        <f>grafico_sol1[[#This Row],[Value]]&amp;"|"&amp;grafico_sol1[[#This Row],[Numero Voltas]]</f>
        <v>0.625|3</v>
      </c>
    </row>
    <row r="572" spans="12:27" x14ac:dyDescent="0.25">
      <c r="L572" s="60" t="e">
        <f t="shared" si="18"/>
        <v>#N/A</v>
      </c>
      <c r="M572" s="42" t="e">
        <f t="shared" si="19"/>
        <v>#N/A</v>
      </c>
      <c r="U572">
        <v>3</v>
      </c>
      <c r="V572">
        <v>1</v>
      </c>
      <c r="W572" s="20" t="s">
        <v>2</v>
      </c>
      <c r="X572">
        <v>4</v>
      </c>
      <c r="Y572" s="20" t="s">
        <v>126</v>
      </c>
      <c r="Z572" s="7">
        <v>0.625</v>
      </c>
      <c r="AA572" s="20" t="str">
        <f>grafico_sol1[[#This Row],[Value]]&amp;"|"&amp;grafico_sol1[[#This Row],[Numero Voltas]]</f>
        <v>0.625|3</v>
      </c>
    </row>
    <row r="573" spans="12:27" x14ac:dyDescent="0.25">
      <c r="L573" s="60" t="e">
        <f t="shared" si="18"/>
        <v>#N/A</v>
      </c>
      <c r="M573" s="42" t="e">
        <f t="shared" si="19"/>
        <v>#N/A</v>
      </c>
      <c r="U573">
        <v>3</v>
      </c>
      <c r="V573">
        <v>1</v>
      </c>
      <c r="W573" s="20" t="s">
        <v>2</v>
      </c>
      <c r="X573">
        <v>4</v>
      </c>
      <c r="Y573" s="20" t="s">
        <v>127</v>
      </c>
      <c r="Z573" s="7">
        <v>0.625</v>
      </c>
      <c r="AA573" s="20" t="str">
        <f>grafico_sol1[[#This Row],[Value]]&amp;"|"&amp;grafico_sol1[[#This Row],[Numero Voltas]]</f>
        <v>0.625|3</v>
      </c>
    </row>
    <row r="574" spans="12:27" x14ac:dyDescent="0.25">
      <c r="L574" s="60" t="e">
        <f t="shared" si="18"/>
        <v>#N/A</v>
      </c>
      <c r="M574" s="42" t="e">
        <f t="shared" si="19"/>
        <v>#N/A</v>
      </c>
      <c r="U574">
        <v>3</v>
      </c>
      <c r="V574">
        <v>1</v>
      </c>
      <c r="W574" s="20" t="s">
        <v>2</v>
      </c>
      <c r="X574">
        <v>4</v>
      </c>
      <c r="Y574" s="20" t="s">
        <v>126</v>
      </c>
      <c r="Z574" s="7">
        <v>0.625</v>
      </c>
      <c r="AA574" s="20" t="str">
        <f>grafico_sol1[[#This Row],[Value]]&amp;"|"&amp;grafico_sol1[[#This Row],[Numero Voltas]]</f>
        <v>0.625|3</v>
      </c>
    </row>
    <row r="575" spans="12:27" x14ac:dyDescent="0.25">
      <c r="L575" s="60" t="e">
        <f t="shared" si="18"/>
        <v>#N/A</v>
      </c>
      <c r="M575" s="42" t="e">
        <f t="shared" si="19"/>
        <v>#N/A</v>
      </c>
      <c r="U575">
        <v>3</v>
      </c>
      <c r="V575">
        <v>1</v>
      </c>
      <c r="W575" s="20" t="s">
        <v>2</v>
      </c>
      <c r="X575">
        <v>4</v>
      </c>
      <c r="Y575" s="20" t="s">
        <v>127</v>
      </c>
      <c r="Z575" s="7">
        <v>0.625</v>
      </c>
      <c r="AA575" s="20" t="str">
        <f>grafico_sol1[[#This Row],[Value]]&amp;"|"&amp;grafico_sol1[[#This Row],[Numero Voltas]]</f>
        <v>0.625|3</v>
      </c>
    </row>
    <row r="576" spans="12:27" x14ac:dyDescent="0.25">
      <c r="L576" s="60" t="e">
        <f t="shared" si="18"/>
        <v>#N/A</v>
      </c>
      <c r="M576" s="42" t="e">
        <f t="shared" si="19"/>
        <v>#N/A</v>
      </c>
      <c r="U576">
        <v>3</v>
      </c>
      <c r="V576">
        <v>1</v>
      </c>
      <c r="W576" s="20" t="s">
        <v>2</v>
      </c>
      <c r="X576">
        <v>4</v>
      </c>
      <c r="Y576" s="20" t="s">
        <v>126</v>
      </c>
      <c r="Z576" s="7">
        <v>0.625</v>
      </c>
      <c r="AA576" s="20" t="str">
        <f>grafico_sol1[[#This Row],[Value]]&amp;"|"&amp;grafico_sol1[[#This Row],[Numero Voltas]]</f>
        <v>0.625|3</v>
      </c>
    </row>
    <row r="577" spans="12:27" x14ac:dyDescent="0.25">
      <c r="L577" s="60" t="e">
        <f t="shared" si="18"/>
        <v>#N/A</v>
      </c>
      <c r="M577" s="42" t="e">
        <f t="shared" si="19"/>
        <v>#N/A</v>
      </c>
      <c r="U577">
        <v>2</v>
      </c>
      <c r="V577">
        <v>1</v>
      </c>
      <c r="W577" s="20" t="s">
        <v>2</v>
      </c>
      <c r="X577">
        <v>4</v>
      </c>
      <c r="Y577" s="20" t="s">
        <v>127</v>
      </c>
      <c r="Z577" s="7">
        <v>0.63541666666666663</v>
      </c>
      <c r="AA577" s="20" t="str">
        <f>grafico_sol1[[#This Row],[Value]]&amp;"|"&amp;grafico_sol1[[#This Row],[Numero Voltas]]</f>
        <v>0.635416666666667|2</v>
      </c>
    </row>
    <row r="578" spans="12:27" x14ac:dyDescent="0.25">
      <c r="L578" s="60" t="e">
        <f t="shared" si="18"/>
        <v>#N/A</v>
      </c>
      <c r="M578" s="42" t="e">
        <f t="shared" si="19"/>
        <v>#N/A</v>
      </c>
      <c r="U578">
        <v>3</v>
      </c>
      <c r="V578">
        <v>1</v>
      </c>
      <c r="W578" s="20" t="s">
        <v>2</v>
      </c>
      <c r="X578">
        <v>4</v>
      </c>
      <c r="Y578" s="20" t="s">
        <v>127</v>
      </c>
      <c r="Z578" s="7">
        <v>0.63541666666666663</v>
      </c>
      <c r="AA578" s="20" t="str">
        <f>grafico_sol1[[#This Row],[Value]]&amp;"|"&amp;grafico_sol1[[#This Row],[Numero Voltas]]</f>
        <v>0.635416666666667|3</v>
      </c>
    </row>
    <row r="579" spans="12:27" x14ac:dyDescent="0.25">
      <c r="L579" s="60" t="e">
        <f t="shared" si="18"/>
        <v>#N/A</v>
      </c>
      <c r="M579" s="42" t="e">
        <f t="shared" si="19"/>
        <v>#N/A</v>
      </c>
      <c r="U579">
        <v>3</v>
      </c>
      <c r="V579">
        <v>1</v>
      </c>
      <c r="W579" s="20" t="s">
        <v>2</v>
      </c>
      <c r="X579">
        <v>4</v>
      </c>
      <c r="Y579" s="20" t="s">
        <v>126</v>
      </c>
      <c r="Z579" s="7">
        <v>0.63541666666666663</v>
      </c>
      <c r="AA579" s="20" t="str">
        <f>grafico_sol1[[#This Row],[Value]]&amp;"|"&amp;grafico_sol1[[#This Row],[Numero Voltas]]</f>
        <v>0.635416666666667|3</v>
      </c>
    </row>
    <row r="580" spans="12:27" x14ac:dyDescent="0.25">
      <c r="L580" s="60" t="e">
        <f t="shared" si="18"/>
        <v>#N/A</v>
      </c>
      <c r="M580" s="42" t="e">
        <f t="shared" si="19"/>
        <v>#N/A</v>
      </c>
      <c r="U580">
        <v>2</v>
      </c>
      <c r="V580">
        <v>1</v>
      </c>
      <c r="W580" s="20" t="s">
        <v>208</v>
      </c>
      <c r="X580">
        <v>3</v>
      </c>
      <c r="Y580" s="20" t="s">
        <v>126</v>
      </c>
      <c r="Z580" s="7">
        <v>0.63888888888888884</v>
      </c>
      <c r="AA580" s="20" t="str">
        <f>grafico_sol1[[#This Row],[Value]]&amp;"|"&amp;grafico_sol1[[#This Row],[Numero Voltas]]</f>
        <v>0.638888888888889|2</v>
      </c>
    </row>
    <row r="581" spans="12:27" x14ac:dyDescent="0.25">
      <c r="L581" s="60" t="e">
        <f t="shared" si="18"/>
        <v>#N/A</v>
      </c>
      <c r="M581" s="42" t="e">
        <f t="shared" si="19"/>
        <v>#N/A</v>
      </c>
      <c r="U581">
        <v>2</v>
      </c>
      <c r="V581">
        <v>1</v>
      </c>
      <c r="W581" s="20" t="s">
        <v>208</v>
      </c>
      <c r="X581">
        <v>3</v>
      </c>
      <c r="Y581" s="20" t="s">
        <v>127</v>
      </c>
      <c r="Z581" s="7">
        <v>0.63888888888888884</v>
      </c>
      <c r="AA581" s="20" t="str">
        <f>grafico_sol1[[#This Row],[Value]]&amp;"|"&amp;grafico_sol1[[#This Row],[Numero Voltas]]</f>
        <v>0.638888888888889|2</v>
      </c>
    </row>
    <row r="582" spans="12:27" x14ac:dyDescent="0.25">
      <c r="L582" s="60" t="e">
        <f t="shared" si="18"/>
        <v>#N/A</v>
      </c>
      <c r="M582" s="42" t="e">
        <f t="shared" si="19"/>
        <v>#N/A</v>
      </c>
      <c r="U582">
        <v>2</v>
      </c>
      <c r="V582">
        <v>1</v>
      </c>
      <c r="W582" s="20" t="s">
        <v>208</v>
      </c>
      <c r="X582">
        <v>3</v>
      </c>
      <c r="Y582" s="20" t="s">
        <v>126</v>
      </c>
      <c r="Z582" s="7">
        <v>0.63888888888888884</v>
      </c>
      <c r="AA582" s="20" t="str">
        <f>grafico_sol1[[#This Row],[Value]]&amp;"|"&amp;grafico_sol1[[#This Row],[Numero Voltas]]</f>
        <v>0.638888888888889|2</v>
      </c>
    </row>
    <row r="583" spans="12:27" x14ac:dyDescent="0.25">
      <c r="L583" s="60" t="e">
        <f t="shared" si="18"/>
        <v>#N/A</v>
      </c>
      <c r="M583" s="42" t="e">
        <f t="shared" si="19"/>
        <v>#N/A</v>
      </c>
      <c r="U583">
        <v>3</v>
      </c>
      <c r="V583">
        <v>1</v>
      </c>
      <c r="W583" s="20" t="s">
        <v>2</v>
      </c>
      <c r="X583">
        <v>4</v>
      </c>
      <c r="Y583" s="20" t="s">
        <v>127</v>
      </c>
      <c r="Z583" s="7">
        <v>0.64444444444444449</v>
      </c>
      <c r="AA583" s="20" t="str">
        <f>grafico_sol1[[#This Row],[Value]]&amp;"|"&amp;grafico_sol1[[#This Row],[Numero Voltas]]</f>
        <v>0.644444444444444|3</v>
      </c>
    </row>
    <row r="584" spans="12:27" x14ac:dyDescent="0.25">
      <c r="L584" s="60" t="e">
        <f t="shared" si="18"/>
        <v>#N/A</v>
      </c>
      <c r="M584" s="42" t="e">
        <f t="shared" si="19"/>
        <v>#N/A</v>
      </c>
      <c r="U584">
        <v>2</v>
      </c>
      <c r="V584">
        <v>1</v>
      </c>
      <c r="W584" s="20" t="s">
        <v>208</v>
      </c>
      <c r="X584">
        <v>3</v>
      </c>
      <c r="Y584" s="20" t="s">
        <v>127</v>
      </c>
      <c r="Z584" s="7">
        <v>0.6479166666666667</v>
      </c>
      <c r="AA584" s="20" t="str">
        <f>grafico_sol1[[#This Row],[Value]]&amp;"|"&amp;grafico_sol1[[#This Row],[Numero Voltas]]</f>
        <v>0.647916666666667|2</v>
      </c>
    </row>
    <row r="585" spans="12:27" x14ac:dyDescent="0.25">
      <c r="L585" s="60" t="e">
        <f t="shared" si="18"/>
        <v>#N/A</v>
      </c>
      <c r="M585" s="42" t="e">
        <f t="shared" si="19"/>
        <v>#N/A</v>
      </c>
      <c r="U585">
        <v>3</v>
      </c>
      <c r="V585">
        <v>1</v>
      </c>
      <c r="W585" s="20" t="s">
        <v>208</v>
      </c>
      <c r="X585">
        <v>3</v>
      </c>
      <c r="Y585" s="20" t="s">
        <v>126</v>
      </c>
      <c r="Z585" s="7">
        <v>0.6479166666666667</v>
      </c>
      <c r="AA585" s="20" t="str">
        <f>grafico_sol1[[#This Row],[Value]]&amp;"|"&amp;grafico_sol1[[#This Row],[Numero Voltas]]</f>
        <v>0.647916666666667|3</v>
      </c>
    </row>
    <row r="586" spans="12:27" x14ac:dyDescent="0.25">
      <c r="L586" s="60" t="e">
        <f t="shared" si="18"/>
        <v>#N/A</v>
      </c>
      <c r="M586" s="42" t="e">
        <f t="shared" si="19"/>
        <v>#N/A</v>
      </c>
      <c r="U586">
        <v>3</v>
      </c>
      <c r="V586">
        <v>1</v>
      </c>
      <c r="W586" s="20" t="s">
        <v>208</v>
      </c>
      <c r="X586">
        <v>3</v>
      </c>
      <c r="Y586" s="20" t="s">
        <v>127</v>
      </c>
      <c r="Z586" s="7">
        <v>0.6479166666666667</v>
      </c>
      <c r="AA586" s="20" t="str">
        <f>grafico_sol1[[#This Row],[Value]]&amp;"|"&amp;grafico_sol1[[#This Row],[Numero Voltas]]</f>
        <v>0.647916666666667|3</v>
      </c>
    </row>
    <row r="587" spans="12:27" x14ac:dyDescent="0.25">
      <c r="L587" s="60" t="e">
        <f t="shared" si="18"/>
        <v>#N/A</v>
      </c>
      <c r="M587" s="42" t="e">
        <f t="shared" si="19"/>
        <v>#N/A</v>
      </c>
      <c r="U587">
        <v>2</v>
      </c>
      <c r="V587">
        <v>1</v>
      </c>
      <c r="W587" s="20" t="s">
        <v>228</v>
      </c>
      <c r="X587">
        <v>2</v>
      </c>
      <c r="Y587" s="20" t="s">
        <v>126</v>
      </c>
      <c r="Z587" s="7">
        <v>0.65</v>
      </c>
      <c r="AA587" s="20" t="str">
        <f>grafico_sol1[[#This Row],[Value]]&amp;"|"&amp;grafico_sol1[[#This Row],[Numero Voltas]]</f>
        <v>0.65|2</v>
      </c>
    </row>
    <row r="588" spans="12:27" x14ac:dyDescent="0.25">
      <c r="L588" s="60" t="e">
        <f t="shared" si="18"/>
        <v>#N/A</v>
      </c>
      <c r="M588" s="42" t="e">
        <f t="shared" si="19"/>
        <v>#N/A</v>
      </c>
      <c r="U588">
        <v>2</v>
      </c>
      <c r="V588">
        <v>1</v>
      </c>
      <c r="W588" s="20" t="s">
        <v>228</v>
      </c>
      <c r="X588">
        <v>2</v>
      </c>
      <c r="Y588" s="20" t="s">
        <v>127</v>
      </c>
      <c r="Z588" s="7">
        <v>0.65</v>
      </c>
      <c r="AA588" s="20" t="str">
        <f>grafico_sol1[[#This Row],[Value]]&amp;"|"&amp;grafico_sol1[[#This Row],[Numero Voltas]]</f>
        <v>0.65|2</v>
      </c>
    </row>
    <row r="589" spans="12:27" x14ac:dyDescent="0.25">
      <c r="L589" s="60" t="e">
        <f t="shared" si="18"/>
        <v>#N/A</v>
      </c>
      <c r="M589" s="42" t="e">
        <f t="shared" si="19"/>
        <v>#N/A</v>
      </c>
      <c r="U589">
        <v>3</v>
      </c>
      <c r="V589">
        <v>1</v>
      </c>
      <c r="W589" s="20" t="s">
        <v>228</v>
      </c>
      <c r="X589">
        <v>2</v>
      </c>
      <c r="Y589" s="20" t="s">
        <v>126</v>
      </c>
      <c r="Z589" s="7">
        <v>0.65</v>
      </c>
      <c r="AA589" s="20" t="str">
        <f>grafico_sol1[[#This Row],[Value]]&amp;"|"&amp;grafico_sol1[[#This Row],[Numero Voltas]]</f>
        <v>0.65|3</v>
      </c>
    </row>
    <row r="590" spans="12:27" x14ac:dyDescent="0.25">
      <c r="L590" s="60" t="e">
        <f t="shared" si="18"/>
        <v>#N/A</v>
      </c>
      <c r="M590" s="42" t="e">
        <f t="shared" si="19"/>
        <v>#N/A</v>
      </c>
      <c r="U590">
        <v>3</v>
      </c>
      <c r="V590">
        <v>1</v>
      </c>
      <c r="W590" s="20" t="s">
        <v>228</v>
      </c>
      <c r="X590">
        <v>2</v>
      </c>
      <c r="Y590" s="20" t="s">
        <v>127</v>
      </c>
      <c r="Z590" s="7">
        <v>0.65</v>
      </c>
      <c r="AA590" s="20" t="str">
        <f>grafico_sol1[[#This Row],[Value]]&amp;"|"&amp;grafico_sol1[[#This Row],[Numero Voltas]]</f>
        <v>0.65|3</v>
      </c>
    </row>
    <row r="591" spans="12:27" x14ac:dyDescent="0.25">
      <c r="L591" s="60" t="e">
        <f t="shared" si="18"/>
        <v>#N/A</v>
      </c>
      <c r="M591" s="42" t="e">
        <f t="shared" si="19"/>
        <v>#N/A</v>
      </c>
      <c r="U591">
        <v>2</v>
      </c>
      <c r="V591">
        <v>1</v>
      </c>
      <c r="W591" s="20" t="s">
        <v>200</v>
      </c>
      <c r="X591">
        <v>1</v>
      </c>
      <c r="Y591" s="20" t="s">
        <v>126</v>
      </c>
      <c r="Z591" s="7">
        <v>0.65069444444444446</v>
      </c>
      <c r="AA591" s="20" t="str">
        <f>grafico_sol1[[#This Row],[Value]]&amp;"|"&amp;grafico_sol1[[#This Row],[Numero Voltas]]</f>
        <v>0.650694444444444|2</v>
      </c>
    </row>
    <row r="592" spans="12:27" x14ac:dyDescent="0.25">
      <c r="L592" s="60" t="e">
        <f t="shared" si="18"/>
        <v>#N/A</v>
      </c>
      <c r="M592" s="42" t="e">
        <f t="shared" si="19"/>
        <v>#N/A</v>
      </c>
      <c r="U592">
        <v>2</v>
      </c>
      <c r="V592">
        <v>1</v>
      </c>
      <c r="W592" s="20" t="s">
        <v>200</v>
      </c>
      <c r="X592">
        <v>1</v>
      </c>
      <c r="Y592" s="20" t="s">
        <v>127</v>
      </c>
      <c r="Z592" s="7">
        <v>0.65069444444444446</v>
      </c>
      <c r="AA592" s="20" t="str">
        <f>grafico_sol1[[#This Row],[Value]]&amp;"|"&amp;grafico_sol1[[#This Row],[Numero Voltas]]</f>
        <v>0.650694444444444|2</v>
      </c>
    </row>
    <row r="593" spans="12:27" x14ac:dyDescent="0.25">
      <c r="L593" s="60" t="e">
        <f t="shared" si="18"/>
        <v>#N/A</v>
      </c>
      <c r="M593" s="42" t="e">
        <f t="shared" si="19"/>
        <v>#N/A</v>
      </c>
      <c r="U593">
        <v>3</v>
      </c>
      <c r="V593">
        <v>1</v>
      </c>
      <c r="W593" s="20" t="s">
        <v>200</v>
      </c>
      <c r="X593">
        <v>1</v>
      </c>
      <c r="Y593" s="20" t="s">
        <v>126</v>
      </c>
      <c r="Z593" s="7">
        <v>0.65069444444444446</v>
      </c>
      <c r="AA593" s="20" t="str">
        <f>grafico_sol1[[#This Row],[Value]]&amp;"|"&amp;grafico_sol1[[#This Row],[Numero Voltas]]</f>
        <v>0.650694444444444|3</v>
      </c>
    </row>
    <row r="594" spans="12:27" x14ac:dyDescent="0.25">
      <c r="L594" s="60" t="e">
        <f t="shared" si="18"/>
        <v>#N/A</v>
      </c>
      <c r="M594" s="42" t="e">
        <f t="shared" si="19"/>
        <v>#N/A</v>
      </c>
      <c r="U594">
        <v>3</v>
      </c>
      <c r="V594">
        <v>1</v>
      </c>
      <c r="W594" s="20" t="s">
        <v>200</v>
      </c>
      <c r="X594">
        <v>1</v>
      </c>
      <c r="Y594" s="20" t="s">
        <v>127</v>
      </c>
      <c r="Z594" s="7">
        <v>0.65069444444444446</v>
      </c>
      <c r="AA594" s="20" t="str">
        <f>grafico_sol1[[#This Row],[Value]]&amp;"|"&amp;grafico_sol1[[#This Row],[Numero Voltas]]</f>
        <v>0.650694444444444|3</v>
      </c>
    </row>
    <row r="595" spans="12:27" x14ac:dyDescent="0.25">
      <c r="L595" s="60" t="e">
        <f t="shared" si="18"/>
        <v>#N/A</v>
      </c>
      <c r="M595" s="42" t="e">
        <f t="shared" si="19"/>
        <v>#N/A</v>
      </c>
      <c r="U595">
        <v>2</v>
      </c>
      <c r="V595">
        <v>1</v>
      </c>
      <c r="W595" s="20" t="s">
        <v>203</v>
      </c>
      <c r="X595">
        <v>0</v>
      </c>
      <c r="Y595" s="20" t="s">
        <v>126</v>
      </c>
      <c r="Z595" s="7">
        <v>0.65208333333333335</v>
      </c>
      <c r="AA595" s="20" t="str">
        <f>grafico_sol1[[#This Row],[Value]]&amp;"|"&amp;grafico_sol1[[#This Row],[Numero Voltas]]</f>
        <v>0.652083333333333|2</v>
      </c>
    </row>
    <row r="596" spans="12:27" x14ac:dyDescent="0.25">
      <c r="L596" s="60" t="e">
        <f t="shared" si="18"/>
        <v>#N/A</v>
      </c>
      <c r="M596" s="42" t="e">
        <f t="shared" si="19"/>
        <v>#N/A</v>
      </c>
      <c r="U596">
        <v>2</v>
      </c>
      <c r="V596">
        <v>1</v>
      </c>
      <c r="W596" s="20" t="s">
        <v>203</v>
      </c>
      <c r="X596">
        <v>0</v>
      </c>
      <c r="Y596" s="20" t="s">
        <v>127</v>
      </c>
      <c r="Z596" s="7">
        <v>0.65208333333333335</v>
      </c>
      <c r="AA596" s="20" t="str">
        <f>grafico_sol1[[#This Row],[Value]]&amp;"|"&amp;grafico_sol1[[#This Row],[Numero Voltas]]</f>
        <v>0.652083333333333|2</v>
      </c>
    </row>
    <row r="597" spans="12:27" x14ac:dyDescent="0.25">
      <c r="L597" s="60" t="e">
        <f t="shared" si="18"/>
        <v>#N/A</v>
      </c>
      <c r="M597" s="42" t="e">
        <f t="shared" si="19"/>
        <v>#N/A</v>
      </c>
      <c r="U597">
        <v>2</v>
      </c>
      <c r="V597">
        <v>1</v>
      </c>
      <c r="W597" s="20" t="s">
        <v>203</v>
      </c>
      <c r="X597">
        <v>0</v>
      </c>
      <c r="Y597" s="20" t="s">
        <v>126</v>
      </c>
      <c r="Z597" s="7">
        <v>0.65208333333333335</v>
      </c>
      <c r="AA597" s="20" t="str">
        <f>grafico_sol1[[#This Row],[Value]]&amp;"|"&amp;grafico_sol1[[#This Row],[Numero Voltas]]</f>
        <v>0.652083333333333|2</v>
      </c>
    </row>
    <row r="598" spans="12:27" x14ac:dyDescent="0.25">
      <c r="L598" s="60" t="e">
        <f t="shared" si="18"/>
        <v>#N/A</v>
      </c>
      <c r="M598" s="42" t="e">
        <f t="shared" si="19"/>
        <v>#N/A</v>
      </c>
      <c r="U598">
        <v>3</v>
      </c>
      <c r="V598">
        <v>1</v>
      </c>
      <c r="W598" s="20" t="s">
        <v>203</v>
      </c>
      <c r="X598">
        <v>0</v>
      </c>
      <c r="Y598" s="20" t="s">
        <v>126</v>
      </c>
      <c r="Z598" s="7">
        <v>0.65208333333333335</v>
      </c>
      <c r="AA598" s="20" t="str">
        <f>grafico_sol1[[#This Row],[Value]]&amp;"|"&amp;grafico_sol1[[#This Row],[Numero Voltas]]</f>
        <v>0.652083333333333|3</v>
      </c>
    </row>
    <row r="599" spans="12:27" x14ac:dyDescent="0.25">
      <c r="L599" s="60" t="e">
        <f t="shared" si="18"/>
        <v>#N/A</v>
      </c>
      <c r="M599" s="42" t="e">
        <f t="shared" si="19"/>
        <v>#N/A</v>
      </c>
      <c r="U599">
        <v>3</v>
      </c>
      <c r="V599">
        <v>1</v>
      </c>
      <c r="W599" s="20" t="s">
        <v>203</v>
      </c>
      <c r="X599">
        <v>0</v>
      </c>
      <c r="Y599" s="20" t="s">
        <v>127</v>
      </c>
      <c r="Z599" s="7">
        <v>0.65208333333333335</v>
      </c>
      <c r="AA599" s="20" t="str">
        <f>grafico_sol1[[#This Row],[Value]]&amp;"|"&amp;grafico_sol1[[#This Row],[Numero Voltas]]</f>
        <v>0.652083333333333|3</v>
      </c>
    </row>
    <row r="600" spans="12:27" x14ac:dyDescent="0.25">
      <c r="L600" s="60" t="e">
        <f t="shared" si="18"/>
        <v>#N/A</v>
      </c>
      <c r="M600" s="42" t="e">
        <f t="shared" si="19"/>
        <v>#N/A</v>
      </c>
      <c r="U600">
        <v>3</v>
      </c>
      <c r="V600">
        <v>1</v>
      </c>
      <c r="W600" s="20" t="s">
        <v>203</v>
      </c>
      <c r="X600">
        <v>0</v>
      </c>
      <c r="Y600" s="20" t="s">
        <v>126</v>
      </c>
      <c r="Z600" s="7">
        <v>0.65208333333333335</v>
      </c>
      <c r="AA600" s="20" t="str">
        <f>grafico_sol1[[#This Row],[Value]]&amp;"|"&amp;grafico_sol1[[#This Row],[Numero Voltas]]</f>
        <v>0.652083333333333|3</v>
      </c>
    </row>
    <row r="601" spans="12:27" x14ac:dyDescent="0.25">
      <c r="L601" s="60" t="e">
        <f t="shared" si="18"/>
        <v>#N/A</v>
      </c>
      <c r="M601" s="42" t="e">
        <f t="shared" si="19"/>
        <v>#N/A</v>
      </c>
      <c r="U601">
        <v>3</v>
      </c>
      <c r="V601">
        <v>1</v>
      </c>
      <c r="W601" s="20" t="s">
        <v>203</v>
      </c>
      <c r="X601">
        <v>0</v>
      </c>
      <c r="Y601" s="20" t="s">
        <v>127</v>
      </c>
      <c r="Z601" s="7">
        <v>0.65208333333333335</v>
      </c>
      <c r="AA601" s="20" t="str">
        <f>grafico_sol1[[#This Row],[Value]]&amp;"|"&amp;grafico_sol1[[#This Row],[Numero Voltas]]</f>
        <v>0.652083333333333|3</v>
      </c>
    </row>
    <row r="602" spans="12:27" x14ac:dyDescent="0.25">
      <c r="L602" s="60" t="e">
        <f t="shared" si="18"/>
        <v>#N/A</v>
      </c>
      <c r="M602" s="42" t="e">
        <f t="shared" si="19"/>
        <v>#N/A</v>
      </c>
      <c r="U602">
        <v>3</v>
      </c>
      <c r="V602">
        <v>1</v>
      </c>
      <c r="W602" s="20" t="s">
        <v>200</v>
      </c>
      <c r="X602">
        <v>1</v>
      </c>
      <c r="Y602" s="20" t="s">
        <v>126</v>
      </c>
      <c r="Z602" s="7">
        <v>0.65347222222222223</v>
      </c>
      <c r="AA602" s="20" t="str">
        <f>grafico_sol1[[#This Row],[Value]]&amp;"|"&amp;grafico_sol1[[#This Row],[Numero Voltas]]</f>
        <v>0.653472222222222|3</v>
      </c>
    </row>
    <row r="603" spans="12:27" x14ac:dyDescent="0.25">
      <c r="L603" s="60" t="e">
        <f t="shared" si="18"/>
        <v>#N/A</v>
      </c>
      <c r="M603" s="42" t="e">
        <f t="shared" si="19"/>
        <v>#N/A</v>
      </c>
      <c r="U603">
        <v>3</v>
      </c>
      <c r="V603">
        <v>1</v>
      </c>
      <c r="W603" s="20" t="s">
        <v>200</v>
      </c>
      <c r="X603">
        <v>1</v>
      </c>
      <c r="Y603" s="20" t="s">
        <v>127</v>
      </c>
      <c r="Z603" s="7">
        <v>0.65347222222222223</v>
      </c>
      <c r="AA603" s="20" t="str">
        <f>grafico_sol1[[#This Row],[Value]]&amp;"|"&amp;grafico_sol1[[#This Row],[Numero Voltas]]</f>
        <v>0.653472222222222|3</v>
      </c>
    </row>
    <row r="604" spans="12:27" x14ac:dyDescent="0.25">
      <c r="L604" s="60" t="e">
        <f t="shared" si="18"/>
        <v>#N/A</v>
      </c>
      <c r="M604" s="42" t="e">
        <f t="shared" si="19"/>
        <v>#N/A</v>
      </c>
      <c r="U604">
        <v>3</v>
      </c>
      <c r="V604">
        <v>1</v>
      </c>
      <c r="W604" s="20" t="s">
        <v>228</v>
      </c>
      <c r="X604">
        <v>2</v>
      </c>
      <c r="Y604" s="20" t="s">
        <v>126</v>
      </c>
      <c r="Z604" s="7">
        <v>0.65416666666666667</v>
      </c>
      <c r="AA604" s="20" t="str">
        <f>grafico_sol1[[#This Row],[Value]]&amp;"|"&amp;grafico_sol1[[#This Row],[Numero Voltas]]</f>
        <v>0.654166666666667|3</v>
      </c>
    </row>
    <row r="605" spans="12:27" x14ac:dyDescent="0.25">
      <c r="L605" s="60" t="e">
        <f t="shared" si="18"/>
        <v>#N/A</v>
      </c>
      <c r="M605" s="42" t="e">
        <f t="shared" si="19"/>
        <v>#N/A</v>
      </c>
      <c r="U605">
        <v>3</v>
      </c>
      <c r="V605">
        <v>1</v>
      </c>
      <c r="W605" s="20" t="s">
        <v>228</v>
      </c>
      <c r="X605">
        <v>2</v>
      </c>
      <c r="Y605" s="20" t="s">
        <v>127</v>
      </c>
      <c r="Z605" s="7">
        <v>0.65416666666666667</v>
      </c>
      <c r="AA605" s="20" t="str">
        <f>grafico_sol1[[#This Row],[Value]]&amp;"|"&amp;grafico_sol1[[#This Row],[Numero Voltas]]</f>
        <v>0.654166666666667|3</v>
      </c>
    </row>
    <row r="606" spans="12:27" x14ac:dyDescent="0.25">
      <c r="L606" s="60" t="e">
        <f t="shared" si="18"/>
        <v>#N/A</v>
      </c>
      <c r="M606" s="42" t="e">
        <f t="shared" si="19"/>
        <v>#N/A</v>
      </c>
      <c r="U606">
        <v>3</v>
      </c>
      <c r="V606">
        <v>1</v>
      </c>
      <c r="W606" s="20" t="s">
        <v>208</v>
      </c>
      <c r="X606">
        <v>3</v>
      </c>
      <c r="Y606" s="20" t="s">
        <v>126</v>
      </c>
      <c r="Z606" s="7">
        <v>0.65625</v>
      </c>
      <c r="AA606" s="20" t="str">
        <f>grafico_sol1[[#This Row],[Value]]&amp;"|"&amp;grafico_sol1[[#This Row],[Numero Voltas]]</f>
        <v>0.65625|3</v>
      </c>
    </row>
    <row r="607" spans="12:27" x14ac:dyDescent="0.25">
      <c r="L607" s="60" t="e">
        <f t="shared" si="18"/>
        <v>#N/A</v>
      </c>
      <c r="M607" s="42" t="e">
        <f t="shared" si="19"/>
        <v>#N/A</v>
      </c>
      <c r="U607">
        <v>3</v>
      </c>
      <c r="V607">
        <v>1</v>
      </c>
      <c r="W607" s="20" t="s">
        <v>208</v>
      </c>
      <c r="X607">
        <v>3</v>
      </c>
      <c r="Y607" s="20" t="s">
        <v>127</v>
      </c>
      <c r="Z607" s="7">
        <v>0.65625</v>
      </c>
      <c r="AA607" s="20" t="str">
        <f>grafico_sol1[[#This Row],[Value]]&amp;"|"&amp;grafico_sol1[[#This Row],[Numero Voltas]]</f>
        <v>0.65625|3</v>
      </c>
    </row>
    <row r="608" spans="12:27" x14ac:dyDescent="0.25">
      <c r="L608" s="60" t="e">
        <f t="shared" si="18"/>
        <v>#N/A</v>
      </c>
      <c r="M608" s="42" t="e">
        <f t="shared" si="19"/>
        <v>#N/A</v>
      </c>
      <c r="U608">
        <v>3</v>
      </c>
      <c r="V608">
        <v>1</v>
      </c>
      <c r="W608" s="20" t="s">
        <v>2</v>
      </c>
      <c r="X608">
        <v>4</v>
      </c>
      <c r="Y608" s="20" t="s">
        <v>126</v>
      </c>
      <c r="Z608" s="7">
        <v>0.65972222222222221</v>
      </c>
      <c r="AA608" s="20" t="str">
        <f>grafico_sol1[[#This Row],[Value]]&amp;"|"&amp;grafico_sol1[[#This Row],[Numero Voltas]]</f>
        <v>0.659722222222222|3</v>
      </c>
    </row>
    <row r="609" spans="12:27" x14ac:dyDescent="0.25">
      <c r="L609" s="60" t="e">
        <f t="shared" si="18"/>
        <v>#N/A</v>
      </c>
      <c r="M609" s="42" t="e">
        <f t="shared" si="19"/>
        <v>#N/A</v>
      </c>
      <c r="U609">
        <v>3</v>
      </c>
      <c r="V609">
        <v>1</v>
      </c>
      <c r="W609" s="20" t="s">
        <v>2</v>
      </c>
      <c r="X609">
        <v>4</v>
      </c>
      <c r="Y609" s="20" t="s">
        <v>127</v>
      </c>
      <c r="Z609" s="7">
        <v>0.65972222222222221</v>
      </c>
      <c r="AA609" s="20" t="str">
        <f>grafico_sol1[[#This Row],[Value]]&amp;"|"&amp;grafico_sol1[[#This Row],[Numero Voltas]]</f>
        <v>0.659722222222222|3</v>
      </c>
    </row>
    <row r="610" spans="12:27" x14ac:dyDescent="0.25">
      <c r="L610" s="60" t="e">
        <f t="shared" si="18"/>
        <v>#N/A</v>
      </c>
      <c r="M610" s="42" t="e">
        <f t="shared" si="19"/>
        <v>#N/A</v>
      </c>
      <c r="U610">
        <v>3</v>
      </c>
      <c r="V610">
        <v>1</v>
      </c>
      <c r="W610" s="20" t="s">
        <v>2</v>
      </c>
      <c r="X610">
        <v>4</v>
      </c>
      <c r="Y610" s="20" t="s">
        <v>126</v>
      </c>
      <c r="Z610" s="7">
        <v>0.65972222222222221</v>
      </c>
      <c r="AA610" s="20" t="str">
        <f>grafico_sol1[[#This Row],[Value]]&amp;"|"&amp;grafico_sol1[[#This Row],[Numero Voltas]]</f>
        <v>0.659722222222222|3</v>
      </c>
    </row>
    <row r="611" spans="12:27" x14ac:dyDescent="0.25">
      <c r="L611" s="60" t="e">
        <f t="shared" si="18"/>
        <v>#N/A</v>
      </c>
      <c r="M611" s="42" t="e">
        <f t="shared" si="19"/>
        <v>#N/A</v>
      </c>
      <c r="U611">
        <v>2</v>
      </c>
      <c r="V611">
        <v>1</v>
      </c>
      <c r="W611" s="20" t="s">
        <v>203</v>
      </c>
      <c r="X611">
        <v>0</v>
      </c>
      <c r="Y611" s="20" t="s">
        <v>127</v>
      </c>
      <c r="Z611" s="7">
        <v>0.67291666666666672</v>
      </c>
      <c r="AA611" s="20" t="str">
        <f>grafico_sol1[[#This Row],[Value]]&amp;"|"&amp;grafico_sol1[[#This Row],[Numero Voltas]]</f>
        <v>0.672916666666667|2</v>
      </c>
    </row>
    <row r="612" spans="12:27" x14ac:dyDescent="0.25">
      <c r="L612" s="60" t="e">
        <f t="shared" si="18"/>
        <v>#N/A</v>
      </c>
      <c r="M612" s="42" t="e">
        <f t="shared" si="19"/>
        <v>#N/A</v>
      </c>
      <c r="U612">
        <v>2</v>
      </c>
      <c r="V612">
        <v>1</v>
      </c>
      <c r="W612" s="20" t="s">
        <v>203</v>
      </c>
      <c r="X612">
        <v>0</v>
      </c>
      <c r="Y612" s="20" t="s">
        <v>126</v>
      </c>
      <c r="Z612" s="7">
        <v>0.67291666666666672</v>
      </c>
      <c r="AA612" s="20" t="str">
        <f>grafico_sol1[[#This Row],[Value]]&amp;"|"&amp;grafico_sol1[[#This Row],[Numero Voltas]]</f>
        <v>0.672916666666667|2</v>
      </c>
    </row>
    <row r="613" spans="12:27" x14ac:dyDescent="0.25">
      <c r="L613" s="60" t="e">
        <f t="shared" si="18"/>
        <v>#N/A</v>
      </c>
      <c r="M613" s="42" t="e">
        <f t="shared" si="19"/>
        <v>#N/A</v>
      </c>
      <c r="U613">
        <v>2</v>
      </c>
      <c r="V613">
        <v>1</v>
      </c>
      <c r="W613" s="20" t="s">
        <v>203</v>
      </c>
      <c r="X613">
        <v>0</v>
      </c>
      <c r="Y613" s="20" t="s">
        <v>127</v>
      </c>
      <c r="Z613" s="7">
        <v>0.67291666666666672</v>
      </c>
      <c r="AA613" s="20" t="str">
        <f>grafico_sol1[[#This Row],[Value]]&amp;"|"&amp;grafico_sol1[[#This Row],[Numero Voltas]]</f>
        <v>0.672916666666667|2</v>
      </c>
    </row>
    <row r="614" spans="12:27" x14ac:dyDescent="0.25">
      <c r="L614" s="60" t="e">
        <f t="shared" si="18"/>
        <v>#N/A</v>
      </c>
      <c r="M614" s="42" t="e">
        <f t="shared" si="19"/>
        <v>#N/A</v>
      </c>
      <c r="U614">
        <v>2</v>
      </c>
      <c r="V614">
        <v>1</v>
      </c>
      <c r="W614" s="20" t="s">
        <v>200</v>
      </c>
      <c r="X614">
        <v>1</v>
      </c>
      <c r="Y614" s="20" t="s">
        <v>126</v>
      </c>
      <c r="Z614" s="7">
        <v>0.6743055555555556</v>
      </c>
      <c r="AA614" s="20" t="str">
        <f>grafico_sol1[[#This Row],[Value]]&amp;"|"&amp;grafico_sol1[[#This Row],[Numero Voltas]]</f>
        <v>0.674305555555556|2</v>
      </c>
    </row>
    <row r="615" spans="12:27" x14ac:dyDescent="0.25">
      <c r="L615" s="60" t="e">
        <f t="shared" si="18"/>
        <v>#N/A</v>
      </c>
      <c r="M615" s="42" t="e">
        <f t="shared" si="19"/>
        <v>#N/A</v>
      </c>
      <c r="U615">
        <v>2</v>
      </c>
      <c r="V615">
        <v>1</v>
      </c>
      <c r="W615" s="20" t="s">
        <v>200</v>
      </c>
      <c r="X615">
        <v>1</v>
      </c>
      <c r="Y615" s="20" t="s">
        <v>127</v>
      </c>
      <c r="Z615" s="7">
        <v>0.6743055555555556</v>
      </c>
      <c r="AA615" s="20" t="str">
        <f>grafico_sol1[[#This Row],[Value]]&amp;"|"&amp;grafico_sol1[[#This Row],[Numero Voltas]]</f>
        <v>0.674305555555556|2</v>
      </c>
    </row>
    <row r="616" spans="12:27" x14ac:dyDescent="0.25">
      <c r="L616" s="60" t="e">
        <f t="shared" si="18"/>
        <v>#N/A</v>
      </c>
      <c r="M616" s="42" t="e">
        <f t="shared" si="19"/>
        <v>#N/A</v>
      </c>
      <c r="U616">
        <v>2</v>
      </c>
      <c r="V616">
        <v>1</v>
      </c>
      <c r="W616" s="20" t="s">
        <v>200</v>
      </c>
      <c r="X616">
        <v>1</v>
      </c>
      <c r="Y616" s="20" t="s">
        <v>126</v>
      </c>
      <c r="Z616" s="7">
        <v>0.6743055555555556</v>
      </c>
      <c r="AA616" s="20" t="str">
        <f>grafico_sol1[[#This Row],[Value]]&amp;"|"&amp;grafico_sol1[[#This Row],[Numero Voltas]]</f>
        <v>0.674305555555556|2</v>
      </c>
    </row>
    <row r="617" spans="12:27" x14ac:dyDescent="0.25">
      <c r="L617" s="60" t="e">
        <f t="shared" si="18"/>
        <v>#N/A</v>
      </c>
      <c r="M617" s="42" t="e">
        <f t="shared" si="19"/>
        <v>#N/A</v>
      </c>
      <c r="U617">
        <v>2</v>
      </c>
      <c r="V617">
        <v>1</v>
      </c>
      <c r="W617" s="20" t="s">
        <v>200</v>
      </c>
      <c r="X617">
        <v>1</v>
      </c>
      <c r="Y617" s="20" t="s">
        <v>127</v>
      </c>
      <c r="Z617" s="7">
        <v>0.67708333333333337</v>
      </c>
      <c r="AA617" s="20" t="str">
        <f>grafico_sol1[[#This Row],[Value]]&amp;"|"&amp;grafico_sol1[[#This Row],[Numero Voltas]]</f>
        <v>0.677083333333333|2</v>
      </c>
    </row>
    <row r="618" spans="12:27" x14ac:dyDescent="0.25">
      <c r="L618" s="60" t="e">
        <f t="shared" si="18"/>
        <v>#N/A</v>
      </c>
      <c r="M618" s="42" t="e">
        <f t="shared" si="19"/>
        <v>#N/A</v>
      </c>
      <c r="U618">
        <v>2</v>
      </c>
      <c r="V618">
        <v>1</v>
      </c>
      <c r="W618" s="20" t="s">
        <v>228</v>
      </c>
      <c r="X618">
        <v>2</v>
      </c>
      <c r="Y618" s="20" t="s">
        <v>126</v>
      </c>
      <c r="Z618" s="7">
        <v>0.67777777777777781</v>
      </c>
      <c r="AA618" s="20" t="str">
        <f>grafico_sol1[[#This Row],[Value]]&amp;"|"&amp;grafico_sol1[[#This Row],[Numero Voltas]]</f>
        <v>0.677777777777778|2</v>
      </c>
    </row>
    <row r="619" spans="12:27" x14ac:dyDescent="0.25">
      <c r="L619" s="60" t="e">
        <f t="shared" si="18"/>
        <v>#N/A</v>
      </c>
      <c r="M619" s="42" t="e">
        <f t="shared" si="19"/>
        <v>#N/A</v>
      </c>
      <c r="U619">
        <v>2</v>
      </c>
      <c r="V619">
        <v>1</v>
      </c>
      <c r="W619" s="20" t="s">
        <v>228</v>
      </c>
      <c r="X619">
        <v>2</v>
      </c>
      <c r="Y619" s="20" t="s">
        <v>127</v>
      </c>
      <c r="Z619" s="7">
        <v>0.67777777777777781</v>
      </c>
      <c r="AA619" s="20" t="str">
        <f>grafico_sol1[[#This Row],[Value]]&amp;"|"&amp;grafico_sol1[[#This Row],[Numero Voltas]]</f>
        <v>0.677777777777778|2</v>
      </c>
    </row>
    <row r="620" spans="12:27" x14ac:dyDescent="0.25">
      <c r="L620" s="60" t="e">
        <f t="shared" si="18"/>
        <v>#N/A</v>
      </c>
      <c r="M620" s="42" t="e">
        <f t="shared" si="19"/>
        <v>#N/A</v>
      </c>
      <c r="U620">
        <v>2</v>
      </c>
      <c r="V620">
        <v>1</v>
      </c>
      <c r="W620" s="20" t="s">
        <v>228</v>
      </c>
      <c r="X620">
        <v>2</v>
      </c>
      <c r="Y620" s="20" t="s">
        <v>126</v>
      </c>
      <c r="Z620" s="7">
        <v>0.67777777777777781</v>
      </c>
      <c r="AA620" s="20" t="str">
        <f>grafico_sol1[[#This Row],[Value]]&amp;"|"&amp;grafico_sol1[[#This Row],[Numero Voltas]]</f>
        <v>0.677777777777778|2</v>
      </c>
    </row>
    <row r="621" spans="12:27" x14ac:dyDescent="0.25">
      <c r="L621" s="60" t="e">
        <f t="shared" si="18"/>
        <v>#N/A</v>
      </c>
      <c r="M621" s="42" t="e">
        <f t="shared" si="19"/>
        <v>#N/A</v>
      </c>
      <c r="U621">
        <v>3</v>
      </c>
      <c r="V621">
        <v>1</v>
      </c>
      <c r="W621" s="20" t="s">
        <v>2</v>
      </c>
      <c r="X621">
        <v>4</v>
      </c>
      <c r="Y621" s="20" t="s">
        <v>127</v>
      </c>
      <c r="Z621" s="7">
        <v>0.67777777777777781</v>
      </c>
      <c r="AA621" s="20" t="str">
        <f>grafico_sol1[[#This Row],[Value]]&amp;"|"&amp;grafico_sol1[[#This Row],[Numero Voltas]]</f>
        <v>0.677777777777778|3</v>
      </c>
    </row>
    <row r="622" spans="12:27" x14ac:dyDescent="0.25">
      <c r="L622" s="60" t="e">
        <f t="shared" si="18"/>
        <v>#N/A</v>
      </c>
      <c r="M622" s="42" t="e">
        <f t="shared" si="19"/>
        <v>#N/A</v>
      </c>
      <c r="U622">
        <v>3</v>
      </c>
      <c r="V622">
        <v>1</v>
      </c>
      <c r="W622" s="20" t="s">
        <v>2</v>
      </c>
      <c r="X622">
        <v>4</v>
      </c>
      <c r="Y622" s="20" t="s">
        <v>126</v>
      </c>
      <c r="Z622" s="7">
        <v>0.67777777777777781</v>
      </c>
      <c r="AA622" s="20" t="str">
        <f>grafico_sol1[[#This Row],[Value]]&amp;"|"&amp;grafico_sol1[[#This Row],[Numero Voltas]]</f>
        <v>0.677777777777778|3</v>
      </c>
    </row>
    <row r="623" spans="12:27" x14ac:dyDescent="0.25">
      <c r="L623" s="60" t="e">
        <f t="shared" si="18"/>
        <v>#N/A</v>
      </c>
      <c r="M623" s="42" t="e">
        <f t="shared" si="19"/>
        <v>#N/A</v>
      </c>
      <c r="U623">
        <v>2</v>
      </c>
      <c r="V623">
        <v>1</v>
      </c>
      <c r="W623" s="20" t="s">
        <v>228</v>
      </c>
      <c r="X623">
        <v>2</v>
      </c>
      <c r="Y623" s="20" t="s">
        <v>127</v>
      </c>
      <c r="Z623" s="7">
        <v>0.69027777777777777</v>
      </c>
      <c r="AA623" s="20" t="str">
        <f>grafico_sol1[[#This Row],[Value]]&amp;"|"&amp;grafico_sol1[[#This Row],[Numero Voltas]]</f>
        <v>0.690277777777778|2</v>
      </c>
    </row>
    <row r="624" spans="12:27" x14ac:dyDescent="0.25">
      <c r="L624" s="60" t="e">
        <f t="shared" si="18"/>
        <v>#N/A</v>
      </c>
      <c r="M624" s="42" t="e">
        <f t="shared" si="19"/>
        <v>#N/A</v>
      </c>
      <c r="U624">
        <v>2</v>
      </c>
      <c r="V624">
        <v>1</v>
      </c>
      <c r="W624" s="20" t="s">
        <v>208</v>
      </c>
      <c r="X624">
        <v>3</v>
      </c>
      <c r="Y624" s="20" t="s">
        <v>126</v>
      </c>
      <c r="Z624" s="7">
        <v>0.69236111111111109</v>
      </c>
      <c r="AA624" s="20" t="str">
        <f>grafico_sol1[[#This Row],[Value]]&amp;"|"&amp;grafico_sol1[[#This Row],[Numero Voltas]]</f>
        <v>0.692361111111111|2</v>
      </c>
    </row>
    <row r="625" spans="12:27" x14ac:dyDescent="0.25">
      <c r="L625" s="60" t="e">
        <f t="shared" si="18"/>
        <v>#N/A</v>
      </c>
      <c r="M625" s="42" t="e">
        <f t="shared" si="19"/>
        <v>#N/A</v>
      </c>
      <c r="U625">
        <v>2</v>
      </c>
      <c r="V625">
        <v>1</v>
      </c>
      <c r="W625" s="20" t="s">
        <v>208</v>
      </c>
      <c r="X625">
        <v>3</v>
      </c>
      <c r="Y625" s="20" t="s">
        <v>127</v>
      </c>
      <c r="Z625" s="7">
        <v>0.69236111111111109</v>
      </c>
      <c r="AA625" s="20" t="str">
        <f>grafico_sol1[[#This Row],[Value]]&amp;"|"&amp;grafico_sol1[[#This Row],[Numero Voltas]]</f>
        <v>0.692361111111111|2</v>
      </c>
    </row>
    <row r="626" spans="12:27" x14ac:dyDescent="0.25">
      <c r="L626" s="60" t="e">
        <f t="shared" si="18"/>
        <v>#N/A</v>
      </c>
      <c r="M626" s="42" t="e">
        <f t="shared" si="19"/>
        <v>#N/A</v>
      </c>
      <c r="U626">
        <v>2</v>
      </c>
      <c r="V626">
        <v>1</v>
      </c>
      <c r="W626" s="20" t="s">
        <v>208</v>
      </c>
      <c r="X626">
        <v>3</v>
      </c>
      <c r="Y626" s="20" t="s">
        <v>126</v>
      </c>
      <c r="Z626" s="7">
        <v>0.69236111111111109</v>
      </c>
      <c r="AA626" s="20" t="str">
        <f>grafico_sol1[[#This Row],[Value]]&amp;"|"&amp;grafico_sol1[[#This Row],[Numero Voltas]]</f>
        <v>0.692361111111111|2</v>
      </c>
    </row>
    <row r="627" spans="12:27" x14ac:dyDescent="0.25">
      <c r="L627" s="60" t="e">
        <f t="shared" si="18"/>
        <v>#N/A</v>
      </c>
      <c r="M627" s="42" t="e">
        <f t="shared" si="19"/>
        <v>#N/A</v>
      </c>
      <c r="U627">
        <v>3</v>
      </c>
      <c r="V627">
        <v>1</v>
      </c>
      <c r="W627" s="20" t="s">
        <v>2</v>
      </c>
      <c r="X627">
        <v>4</v>
      </c>
      <c r="Y627" s="20" t="s">
        <v>127</v>
      </c>
      <c r="Z627" s="7">
        <v>0.69652777777777775</v>
      </c>
      <c r="AA627" s="20" t="str">
        <f>grafico_sol1[[#This Row],[Value]]&amp;"|"&amp;grafico_sol1[[#This Row],[Numero Voltas]]</f>
        <v>0.696527777777778|3</v>
      </c>
    </row>
    <row r="628" spans="12:27" x14ac:dyDescent="0.25">
      <c r="L628" s="60" t="e">
        <f t="shared" si="18"/>
        <v>#N/A</v>
      </c>
      <c r="M628" s="42" t="e">
        <f t="shared" si="19"/>
        <v>#N/A</v>
      </c>
      <c r="U628">
        <v>3</v>
      </c>
      <c r="V628">
        <v>1</v>
      </c>
      <c r="W628" s="20" t="s">
        <v>215</v>
      </c>
      <c r="X628">
        <v>5</v>
      </c>
      <c r="Y628" s="20" t="s">
        <v>126</v>
      </c>
      <c r="Z628" s="7">
        <v>0.69861111111111107</v>
      </c>
      <c r="AA628" s="20" t="str">
        <f>grafico_sol1[[#This Row],[Value]]&amp;"|"&amp;grafico_sol1[[#This Row],[Numero Voltas]]</f>
        <v>0.698611111111111|3</v>
      </c>
    </row>
    <row r="629" spans="12:27" x14ac:dyDescent="0.25">
      <c r="L629" s="60" t="e">
        <f t="shared" si="18"/>
        <v>#N/A</v>
      </c>
      <c r="M629" s="42" t="e">
        <f t="shared" si="19"/>
        <v>#N/A</v>
      </c>
      <c r="U629">
        <v>3</v>
      </c>
      <c r="V629">
        <v>1</v>
      </c>
      <c r="W629" s="20" t="s">
        <v>215</v>
      </c>
      <c r="X629">
        <v>5</v>
      </c>
      <c r="Y629" s="20" t="s">
        <v>127</v>
      </c>
      <c r="Z629" s="7">
        <v>0.69861111111111107</v>
      </c>
      <c r="AA629" s="20" t="str">
        <f>grafico_sol1[[#This Row],[Value]]&amp;"|"&amp;grafico_sol1[[#This Row],[Numero Voltas]]</f>
        <v>0.698611111111111|3</v>
      </c>
    </row>
    <row r="630" spans="12:27" x14ac:dyDescent="0.25">
      <c r="L630" s="60" t="e">
        <f t="shared" si="18"/>
        <v>#N/A</v>
      </c>
      <c r="M630" s="42" t="e">
        <f t="shared" si="19"/>
        <v>#N/A</v>
      </c>
      <c r="U630">
        <v>2</v>
      </c>
      <c r="V630">
        <v>1</v>
      </c>
      <c r="W630" s="20" t="s">
        <v>208</v>
      </c>
      <c r="X630">
        <v>3</v>
      </c>
      <c r="Y630" s="20" t="s">
        <v>127</v>
      </c>
      <c r="Z630" s="7">
        <v>0.70138888888888884</v>
      </c>
      <c r="AA630" s="20" t="str">
        <f>grafico_sol1[[#This Row],[Value]]&amp;"|"&amp;grafico_sol1[[#This Row],[Numero Voltas]]</f>
        <v>0.701388888888889|2</v>
      </c>
    </row>
    <row r="631" spans="12:27" x14ac:dyDescent="0.25">
      <c r="L631" s="60" t="e">
        <f t="shared" ref="L631:L694" si="20">IF(Q631&lt;&gt;"",Q631,#N/A)</f>
        <v>#N/A</v>
      </c>
      <c r="M631" s="42" t="e">
        <f t="shared" ref="M631:M694" si="21">IF(R631&lt;&gt;"",R631,#N/A)</f>
        <v>#N/A</v>
      </c>
      <c r="U631">
        <v>3</v>
      </c>
      <c r="V631">
        <v>1</v>
      </c>
      <c r="W631" s="20" t="s">
        <v>300</v>
      </c>
      <c r="X631">
        <v>6</v>
      </c>
      <c r="Y631" s="20" t="s">
        <v>126</v>
      </c>
      <c r="Z631" s="7">
        <v>0.70138888888888884</v>
      </c>
      <c r="AA631" s="20" t="str">
        <f>grafico_sol1[[#This Row],[Value]]&amp;"|"&amp;grafico_sol1[[#This Row],[Numero Voltas]]</f>
        <v>0.701388888888889|3</v>
      </c>
    </row>
    <row r="632" spans="12:27" x14ac:dyDescent="0.25">
      <c r="L632" s="60" t="e">
        <f t="shared" si="20"/>
        <v>#N/A</v>
      </c>
      <c r="M632" s="42" t="e">
        <f t="shared" si="21"/>
        <v>#N/A</v>
      </c>
      <c r="U632">
        <v>3</v>
      </c>
      <c r="V632">
        <v>1</v>
      </c>
      <c r="W632" s="20" t="s">
        <v>300</v>
      </c>
      <c r="X632">
        <v>6</v>
      </c>
      <c r="Y632" s="20" t="s">
        <v>127</v>
      </c>
      <c r="Z632" s="7">
        <v>0.70138888888888884</v>
      </c>
      <c r="AA632" s="20" t="str">
        <f>grafico_sol1[[#This Row],[Value]]&amp;"|"&amp;grafico_sol1[[#This Row],[Numero Voltas]]</f>
        <v>0.701388888888889|3</v>
      </c>
    </row>
    <row r="633" spans="12:27" x14ac:dyDescent="0.25">
      <c r="L633" s="60" t="e">
        <f t="shared" si="20"/>
        <v>#N/A</v>
      </c>
      <c r="M633" s="42" t="e">
        <f t="shared" si="21"/>
        <v>#N/A</v>
      </c>
      <c r="U633">
        <v>3</v>
      </c>
      <c r="V633">
        <v>1</v>
      </c>
      <c r="W633" s="20" t="s">
        <v>301</v>
      </c>
      <c r="X633">
        <v>7</v>
      </c>
      <c r="Y633" s="20" t="s">
        <v>126</v>
      </c>
      <c r="Z633" s="7">
        <v>0.70347222222222228</v>
      </c>
      <c r="AA633" s="20" t="str">
        <f>grafico_sol1[[#This Row],[Value]]&amp;"|"&amp;grafico_sol1[[#This Row],[Numero Voltas]]</f>
        <v>0.703472222222222|3</v>
      </c>
    </row>
    <row r="634" spans="12:27" x14ac:dyDescent="0.25">
      <c r="L634" s="60" t="e">
        <f t="shared" si="20"/>
        <v>#N/A</v>
      </c>
      <c r="M634" s="42" t="e">
        <f t="shared" si="21"/>
        <v>#N/A</v>
      </c>
      <c r="U634">
        <v>3</v>
      </c>
      <c r="V634">
        <v>1</v>
      </c>
      <c r="W634" s="20" t="s">
        <v>301</v>
      </c>
      <c r="X634">
        <v>7</v>
      </c>
      <c r="Y634" s="20" t="s">
        <v>127</v>
      </c>
      <c r="Z634" s="7">
        <v>0.70347222222222228</v>
      </c>
      <c r="AA634" s="20" t="str">
        <f>grafico_sol1[[#This Row],[Value]]&amp;"|"&amp;grafico_sol1[[#This Row],[Numero Voltas]]</f>
        <v>0.703472222222222|3</v>
      </c>
    </row>
    <row r="635" spans="12:27" x14ac:dyDescent="0.25">
      <c r="L635" s="60" t="e">
        <f t="shared" si="20"/>
        <v>#N/A</v>
      </c>
      <c r="M635" s="42" t="e">
        <f t="shared" si="21"/>
        <v>#N/A</v>
      </c>
      <c r="U635">
        <v>2</v>
      </c>
      <c r="V635">
        <v>1</v>
      </c>
      <c r="W635" s="20" t="s">
        <v>2</v>
      </c>
      <c r="X635">
        <v>4</v>
      </c>
      <c r="Y635" s="20" t="s">
        <v>126</v>
      </c>
      <c r="Z635" s="7">
        <v>0.70486111111111116</v>
      </c>
      <c r="AA635" s="20" t="str">
        <f>grafico_sol1[[#This Row],[Value]]&amp;"|"&amp;grafico_sol1[[#This Row],[Numero Voltas]]</f>
        <v>0.704861111111111|2</v>
      </c>
    </row>
    <row r="636" spans="12:27" x14ac:dyDescent="0.25">
      <c r="L636" s="60" t="e">
        <f t="shared" si="20"/>
        <v>#N/A</v>
      </c>
      <c r="M636" s="42" t="e">
        <f t="shared" si="21"/>
        <v>#N/A</v>
      </c>
      <c r="U636">
        <v>2</v>
      </c>
      <c r="V636">
        <v>1</v>
      </c>
      <c r="W636" s="20" t="s">
        <v>2</v>
      </c>
      <c r="X636">
        <v>4</v>
      </c>
      <c r="Y636" s="20" t="s">
        <v>127</v>
      </c>
      <c r="Z636" s="7">
        <v>0.70486111111111116</v>
      </c>
      <c r="AA636" s="20" t="str">
        <f>grafico_sol1[[#This Row],[Value]]&amp;"|"&amp;grafico_sol1[[#This Row],[Numero Voltas]]</f>
        <v>0.704861111111111|2</v>
      </c>
    </row>
    <row r="637" spans="12:27" x14ac:dyDescent="0.25">
      <c r="L637" s="60" t="e">
        <f t="shared" si="20"/>
        <v>#N/A</v>
      </c>
      <c r="M637" s="42" t="e">
        <f t="shared" si="21"/>
        <v>#N/A</v>
      </c>
      <c r="U637">
        <v>2</v>
      </c>
      <c r="V637">
        <v>1</v>
      </c>
      <c r="W637" s="20" t="s">
        <v>2</v>
      </c>
      <c r="X637">
        <v>4</v>
      </c>
      <c r="Y637" s="20" t="s">
        <v>126</v>
      </c>
      <c r="Z637" s="7">
        <v>0.70486111111111116</v>
      </c>
      <c r="AA637" s="20" t="str">
        <f>grafico_sol1[[#This Row],[Value]]&amp;"|"&amp;grafico_sol1[[#This Row],[Numero Voltas]]</f>
        <v>0.704861111111111|2</v>
      </c>
    </row>
    <row r="638" spans="12:27" x14ac:dyDescent="0.25">
      <c r="L638" s="60" t="e">
        <f t="shared" si="20"/>
        <v>#N/A</v>
      </c>
      <c r="M638" s="42" t="e">
        <f t="shared" si="21"/>
        <v>#N/A</v>
      </c>
      <c r="U638">
        <v>3</v>
      </c>
      <c r="V638">
        <v>1</v>
      </c>
      <c r="W638" s="20" t="s">
        <v>302</v>
      </c>
      <c r="X638">
        <v>8</v>
      </c>
      <c r="Y638" s="20" t="s">
        <v>126</v>
      </c>
      <c r="Z638" s="7">
        <v>0.70763888888888893</v>
      </c>
      <c r="AA638" s="20" t="str">
        <f>grafico_sol1[[#This Row],[Value]]&amp;"|"&amp;grafico_sol1[[#This Row],[Numero Voltas]]</f>
        <v>0.707638888888889|3</v>
      </c>
    </row>
    <row r="639" spans="12:27" x14ac:dyDescent="0.25">
      <c r="L639" s="60" t="e">
        <f t="shared" si="20"/>
        <v>#N/A</v>
      </c>
      <c r="M639" s="42" t="e">
        <f t="shared" si="21"/>
        <v>#N/A</v>
      </c>
      <c r="U639">
        <v>3</v>
      </c>
      <c r="V639">
        <v>1</v>
      </c>
      <c r="W639" s="20" t="s">
        <v>302</v>
      </c>
      <c r="X639">
        <v>8</v>
      </c>
      <c r="Y639" s="20" t="s">
        <v>127</v>
      </c>
      <c r="Z639" s="7">
        <v>0.70763888888888893</v>
      </c>
      <c r="AA639" s="20" t="str">
        <f>grafico_sol1[[#This Row],[Value]]&amp;"|"&amp;grafico_sol1[[#This Row],[Numero Voltas]]</f>
        <v>0.707638888888889|3</v>
      </c>
    </row>
    <row r="640" spans="12:27" x14ac:dyDescent="0.25">
      <c r="L640" s="60" t="e">
        <f t="shared" si="20"/>
        <v>#N/A</v>
      </c>
      <c r="M640" s="42" t="e">
        <f t="shared" si="21"/>
        <v>#N/A</v>
      </c>
      <c r="U640">
        <v>3</v>
      </c>
      <c r="V640">
        <v>1</v>
      </c>
      <c r="W640" s="20" t="s">
        <v>303</v>
      </c>
      <c r="X640">
        <v>9</v>
      </c>
      <c r="Y640" s="20" t="s">
        <v>126</v>
      </c>
      <c r="Z640" s="7">
        <v>0.71180555555555558</v>
      </c>
      <c r="AA640" s="20" t="str">
        <f>grafico_sol1[[#This Row],[Value]]&amp;"|"&amp;grafico_sol1[[#This Row],[Numero Voltas]]</f>
        <v>0.711805555555556|3</v>
      </c>
    </row>
    <row r="641" spans="12:27" x14ac:dyDescent="0.25">
      <c r="L641" s="60" t="e">
        <f t="shared" si="20"/>
        <v>#N/A</v>
      </c>
      <c r="M641" s="42" t="e">
        <f t="shared" si="21"/>
        <v>#N/A</v>
      </c>
      <c r="U641">
        <v>3</v>
      </c>
      <c r="V641">
        <v>1</v>
      </c>
      <c r="W641" s="20" t="s">
        <v>303</v>
      </c>
      <c r="X641">
        <v>9</v>
      </c>
      <c r="Y641" s="20" t="s">
        <v>127</v>
      </c>
      <c r="Z641" s="7">
        <v>0.71180555555555558</v>
      </c>
      <c r="AA641" s="20" t="str">
        <f>grafico_sol1[[#This Row],[Value]]&amp;"|"&amp;grafico_sol1[[#This Row],[Numero Voltas]]</f>
        <v>0.711805555555556|3</v>
      </c>
    </row>
    <row r="642" spans="12:27" x14ac:dyDescent="0.25">
      <c r="L642" s="60" t="e">
        <f t="shared" si="20"/>
        <v>#N/A</v>
      </c>
      <c r="M642" s="42" t="e">
        <f t="shared" si="21"/>
        <v>#N/A</v>
      </c>
      <c r="U642">
        <v>3</v>
      </c>
      <c r="V642">
        <v>1</v>
      </c>
      <c r="W642" s="20" t="s">
        <v>303</v>
      </c>
      <c r="X642">
        <v>9</v>
      </c>
      <c r="Y642" s="20" t="s">
        <v>126</v>
      </c>
      <c r="Z642" s="7">
        <v>0.71180555555555558</v>
      </c>
      <c r="AA642" s="20" t="str">
        <f>grafico_sol1[[#This Row],[Value]]&amp;"|"&amp;grafico_sol1[[#This Row],[Numero Voltas]]</f>
        <v>0.711805555555556|3</v>
      </c>
    </row>
    <row r="643" spans="12:27" x14ac:dyDescent="0.25">
      <c r="L643" s="60" t="e">
        <f t="shared" si="20"/>
        <v>#N/A</v>
      </c>
      <c r="M643" s="42" t="e">
        <f t="shared" si="21"/>
        <v>#N/A</v>
      </c>
      <c r="U643">
        <v>3</v>
      </c>
      <c r="V643">
        <v>1</v>
      </c>
      <c r="W643" s="20" t="s">
        <v>303</v>
      </c>
      <c r="X643">
        <v>9</v>
      </c>
      <c r="Y643" s="20" t="s">
        <v>127</v>
      </c>
      <c r="Z643" s="7">
        <v>0.71180555555555558</v>
      </c>
      <c r="AA643" s="20" t="str">
        <f>grafico_sol1[[#This Row],[Value]]&amp;"|"&amp;grafico_sol1[[#This Row],[Numero Voltas]]</f>
        <v>0.711805555555556|3</v>
      </c>
    </row>
    <row r="644" spans="12:27" x14ac:dyDescent="0.25">
      <c r="L644" s="60" t="e">
        <f t="shared" si="20"/>
        <v>#N/A</v>
      </c>
      <c r="M644" s="42" t="e">
        <f t="shared" si="21"/>
        <v>#N/A</v>
      </c>
      <c r="U644">
        <v>3</v>
      </c>
      <c r="V644">
        <v>1</v>
      </c>
      <c r="W644" s="20" t="s">
        <v>303</v>
      </c>
      <c r="X644">
        <v>9</v>
      </c>
      <c r="Y644" s="20" t="s">
        <v>126</v>
      </c>
      <c r="Z644" s="7">
        <v>0.71180555555555558</v>
      </c>
      <c r="AA644" s="20" t="str">
        <f>grafico_sol1[[#This Row],[Value]]&amp;"|"&amp;grafico_sol1[[#This Row],[Numero Voltas]]</f>
        <v>0.711805555555556|3</v>
      </c>
    </row>
    <row r="645" spans="12:27" x14ac:dyDescent="0.25">
      <c r="L645" s="60" t="e">
        <f t="shared" si="20"/>
        <v>#N/A</v>
      </c>
      <c r="M645" s="42" t="e">
        <f t="shared" si="21"/>
        <v>#N/A</v>
      </c>
      <c r="U645">
        <v>2</v>
      </c>
      <c r="V645">
        <v>1</v>
      </c>
      <c r="W645" s="20" t="s">
        <v>2</v>
      </c>
      <c r="X645">
        <v>4</v>
      </c>
      <c r="Y645" s="20" t="s">
        <v>127</v>
      </c>
      <c r="Z645" s="7">
        <v>0.71388888888888891</v>
      </c>
      <c r="AA645" s="20" t="str">
        <f>grafico_sol1[[#This Row],[Value]]&amp;"|"&amp;grafico_sol1[[#This Row],[Numero Voltas]]</f>
        <v>0.713888888888889|2</v>
      </c>
    </row>
    <row r="646" spans="12:27" x14ac:dyDescent="0.25">
      <c r="L646" s="60" t="e">
        <f t="shared" si="20"/>
        <v>#N/A</v>
      </c>
      <c r="M646" s="42" t="e">
        <f t="shared" si="21"/>
        <v>#N/A</v>
      </c>
      <c r="U646">
        <v>2</v>
      </c>
      <c r="V646">
        <v>1</v>
      </c>
      <c r="W646" s="20" t="s">
        <v>215</v>
      </c>
      <c r="X646">
        <v>5</v>
      </c>
      <c r="Y646" s="20" t="s">
        <v>126</v>
      </c>
      <c r="Z646" s="7">
        <v>0.71597222222222223</v>
      </c>
      <c r="AA646" s="20" t="str">
        <f>grafico_sol1[[#This Row],[Value]]&amp;"|"&amp;grafico_sol1[[#This Row],[Numero Voltas]]</f>
        <v>0.715972222222222|2</v>
      </c>
    </row>
    <row r="647" spans="12:27" x14ac:dyDescent="0.25">
      <c r="L647" s="60" t="e">
        <f t="shared" si="20"/>
        <v>#N/A</v>
      </c>
      <c r="M647" s="42" t="e">
        <f t="shared" si="21"/>
        <v>#N/A</v>
      </c>
      <c r="U647">
        <v>2</v>
      </c>
      <c r="V647">
        <v>1</v>
      </c>
      <c r="W647" s="20" t="s">
        <v>215</v>
      </c>
      <c r="X647">
        <v>5</v>
      </c>
      <c r="Y647" s="20" t="s">
        <v>127</v>
      </c>
      <c r="Z647" s="7">
        <v>0.71597222222222223</v>
      </c>
      <c r="AA647" s="20" t="str">
        <f>grafico_sol1[[#This Row],[Value]]&amp;"|"&amp;grafico_sol1[[#This Row],[Numero Voltas]]</f>
        <v>0.715972222222222|2</v>
      </c>
    </row>
    <row r="648" spans="12:27" x14ac:dyDescent="0.25">
      <c r="L648" s="60" t="e">
        <f t="shared" si="20"/>
        <v>#N/A</v>
      </c>
      <c r="M648" s="42" t="e">
        <f t="shared" si="21"/>
        <v>#N/A</v>
      </c>
      <c r="U648">
        <v>2</v>
      </c>
      <c r="V648">
        <v>1</v>
      </c>
      <c r="W648" s="20" t="s">
        <v>300</v>
      </c>
      <c r="X648">
        <v>6</v>
      </c>
      <c r="Y648" s="20" t="s">
        <v>126</v>
      </c>
      <c r="Z648" s="7">
        <v>0.71875</v>
      </c>
      <c r="AA648" s="20" t="str">
        <f>grafico_sol1[[#This Row],[Value]]&amp;"|"&amp;grafico_sol1[[#This Row],[Numero Voltas]]</f>
        <v>0.71875|2</v>
      </c>
    </row>
    <row r="649" spans="12:27" x14ac:dyDescent="0.25">
      <c r="L649" s="60" t="e">
        <f t="shared" si="20"/>
        <v>#N/A</v>
      </c>
      <c r="M649" s="42" t="e">
        <f t="shared" si="21"/>
        <v>#N/A</v>
      </c>
      <c r="U649">
        <v>2</v>
      </c>
      <c r="V649">
        <v>1</v>
      </c>
      <c r="W649" s="20" t="s">
        <v>300</v>
      </c>
      <c r="X649">
        <v>6</v>
      </c>
      <c r="Y649" s="20" t="s">
        <v>127</v>
      </c>
      <c r="Z649" s="7">
        <v>0.71875</v>
      </c>
      <c r="AA649" s="20" t="str">
        <f>grafico_sol1[[#This Row],[Value]]&amp;"|"&amp;grafico_sol1[[#This Row],[Numero Voltas]]</f>
        <v>0.71875|2</v>
      </c>
    </row>
    <row r="650" spans="12:27" x14ac:dyDescent="0.25">
      <c r="L650" s="60" t="e">
        <f t="shared" si="20"/>
        <v>#N/A</v>
      </c>
      <c r="M650" s="42" t="e">
        <f t="shared" si="21"/>
        <v>#N/A</v>
      </c>
      <c r="U650">
        <v>3</v>
      </c>
      <c r="V650">
        <v>1</v>
      </c>
      <c r="W650" s="20" t="s">
        <v>303</v>
      </c>
      <c r="X650">
        <v>9</v>
      </c>
      <c r="Y650" s="20" t="s">
        <v>127</v>
      </c>
      <c r="Z650" s="7">
        <v>0.71875</v>
      </c>
      <c r="AA650" s="20" t="str">
        <f>grafico_sol1[[#This Row],[Value]]&amp;"|"&amp;grafico_sol1[[#This Row],[Numero Voltas]]</f>
        <v>0.71875|3</v>
      </c>
    </row>
    <row r="651" spans="12:27" x14ac:dyDescent="0.25">
      <c r="L651" s="60" t="e">
        <f t="shared" si="20"/>
        <v>#N/A</v>
      </c>
      <c r="M651" s="42" t="e">
        <f t="shared" si="21"/>
        <v>#N/A</v>
      </c>
      <c r="U651">
        <v>2</v>
      </c>
      <c r="V651">
        <v>1</v>
      </c>
      <c r="W651" s="20" t="s">
        <v>301</v>
      </c>
      <c r="X651">
        <v>7</v>
      </c>
      <c r="Y651" s="20" t="s">
        <v>126</v>
      </c>
      <c r="Z651" s="7">
        <v>0.72083333333333333</v>
      </c>
      <c r="AA651" s="20" t="str">
        <f>grafico_sol1[[#This Row],[Value]]&amp;"|"&amp;grafico_sol1[[#This Row],[Numero Voltas]]</f>
        <v>0.720833333333333|2</v>
      </c>
    </row>
    <row r="652" spans="12:27" x14ac:dyDescent="0.25">
      <c r="L652" s="60" t="e">
        <f t="shared" si="20"/>
        <v>#N/A</v>
      </c>
      <c r="M652" s="42" t="e">
        <f t="shared" si="21"/>
        <v>#N/A</v>
      </c>
      <c r="U652">
        <v>2</v>
      </c>
      <c r="V652">
        <v>1</v>
      </c>
      <c r="W652" s="20" t="s">
        <v>301</v>
      </c>
      <c r="X652">
        <v>7</v>
      </c>
      <c r="Y652" s="20" t="s">
        <v>127</v>
      </c>
      <c r="Z652" s="7">
        <v>0.72083333333333333</v>
      </c>
      <c r="AA652" s="20" t="str">
        <f>grafico_sol1[[#This Row],[Value]]&amp;"|"&amp;grafico_sol1[[#This Row],[Numero Voltas]]</f>
        <v>0.720833333333333|2</v>
      </c>
    </row>
    <row r="653" spans="12:27" x14ac:dyDescent="0.25">
      <c r="L653" s="60" t="e">
        <f t="shared" si="20"/>
        <v>#N/A</v>
      </c>
      <c r="M653" s="42" t="e">
        <f t="shared" si="21"/>
        <v>#N/A</v>
      </c>
      <c r="U653">
        <v>2</v>
      </c>
      <c r="V653">
        <v>1</v>
      </c>
      <c r="W653" s="20" t="s">
        <v>301</v>
      </c>
      <c r="X653">
        <v>7</v>
      </c>
      <c r="Y653" s="20" t="s">
        <v>126</v>
      </c>
      <c r="Z653" s="7">
        <v>0.72083333333333333</v>
      </c>
      <c r="AA653" s="20" t="str">
        <f>grafico_sol1[[#This Row],[Value]]&amp;"|"&amp;grafico_sol1[[#This Row],[Numero Voltas]]</f>
        <v>0.720833333333333|2</v>
      </c>
    </row>
    <row r="654" spans="12:27" x14ac:dyDescent="0.25">
      <c r="L654" s="60" t="e">
        <f t="shared" si="20"/>
        <v>#N/A</v>
      </c>
      <c r="M654" s="42" t="e">
        <f t="shared" si="21"/>
        <v>#N/A</v>
      </c>
      <c r="U654">
        <v>3</v>
      </c>
      <c r="V654">
        <v>1</v>
      </c>
      <c r="W654" s="20" t="s">
        <v>302</v>
      </c>
      <c r="X654">
        <v>8</v>
      </c>
      <c r="Y654" s="20" t="s">
        <v>126</v>
      </c>
      <c r="Z654" s="7">
        <v>0.72291666666666665</v>
      </c>
      <c r="AA654" s="20" t="str">
        <f>grafico_sol1[[#This Row],[Value]]&amp;"|"&amp;grafico_sol1[[#This Row],[Numero Voltas]]</f>
        <v>0.722916666666667|3</v>
      </c>
    </row>
    <row r="655" spans="12:27" x14ac:dyDescent="0.25">
      <c r="L655" s="60" t="e">
        <f t="shared" si="20"/>
        <v>#N/A</v>
      </c>
      <c r="M655" s="42" t="e">
        <f t="shared" si="21"/>
        <v>#N/A</v>
      </c>
      <c r="U655">
        <v>3</v>
      </c>
      <c r="V655">
        <v>1</v>
      </c>
      <c r="W655" s="20" t="s">
        <v>302</v>
      </c>
      <c r="X655">
        <v>8</v>
      </c>
      <c r="Y655" s="20" t="s">
        <v>127</v>
      </c>
      <c r="Z655" s="7">
        <v>0.72291666666666665</v>
      </c>
      <c r="AA655" s="20" t="str">
        <f>grafico_sol1[[#This Row],[Value]]&amp;"|"&amp;grafico_sol1[[#This Row],[Numero Voltas]]</f>
        <v>0.722916666666667|3</v>
      </c>
    </row>
    <row r="656" spans="12:27" x14ac:dyDescent="0.25">
      <c r="L656" s="60" t="e">
        <f t="shared" si="20"/>
        <v>#N/A</v>
      </c>
      <c r="M656" s="42" t="e">
        <f t="shared" si="21"/>
        <v>#N/A</v>
      </c>
      <c r="U656">
        <v>3</v>
      </c>
      <c r="V656">
        <v>1</v>
      </c>
      <c r="W656" s="20" t="s">
        <v>302</v>
      </c>
      <c r="X656">
        <v>8</v>
      </c>
      <c r="Y656" s="20" t="s">
        <v>126</v>
      </c>
      <c r="Z656" s="7">
        <v>0.72291666666666665</v>
      </c>
      <c r="AA656" s="20" t="str">
        <f>grafico_sol1[[#This Row],[Value]]&amp;"|"&amp;grafico_sol1[[#This Row],[Numero Voltas]]</f>
        <v>0.722916666666667|3</v>
      </c>
    </row>
    <row r="657" spans="12:27" x14ac:dyDescent="0.25">
      <c r="L657" s="60" t="e">
        <f t="shared" si="20"/>
        <v>#N/A</v>
      </c>
      <c r="M657" s="42" t="e">
        <f t="shared" si="21"/>
        <v>#N/A</v>
      </c>
      <c r="U657">
        <v>2</v>
      </c>
      <c r="V657">
        <v>1</v>
      </c>
      <c r="W657" s="20" t="s">
        <v>301</v>
      </c>
      <c r="X657">
        <v>7</v>
      </c>
      <c r="Y657" s="20" t="s">
        <v>127</v>
      </c>
      <c r="Z657" s="7">
        <v>0.72777777777777775</v>
      </c>
      <c r="AA657" s="20" t="str">
        <f>grafico_sol1[[#This Row],[Value]]&amp;"|"&amp;grafico_sol1[[#This Row],[Numero Voltas]]</f>
        <v>0.727777777777778|2</v>
      </c>
    </row>
    <row r="658" spans="12:27" x14ac:dyDescent="0.25">
      <c r="L658" s="60" t="e">
        <f t="shared" si="20"/>
        <v>#N/A</v>
      </c>
      <c r="M658" s="42" t="e">
        <f t="shared" si="21"/>
        <v>#N/A</v>
      </c>
      <c r="U658">
        <v>2</v>
      </c>
      <c r="V658">
        <v>1</v>
      </c>
      <c r="W658" s="20" t="s">
        <v>302</v>
      </c>
      <c r="X658">
        <v>8</v>
      </c>
      <c r="Y658" s="20" t="s">
        <v>126</v>
      </c>
      <c r="Z658" s="7">
        <v>0.7319444444444444</v>
      </c>
      <c r="AA658" s="20" t="str">
        <f>grafico_sol1[[#This Row],[Value]]&amp;"|"&amp;grafico_sol1[[#This Row],[Numero Voltas]]</f>
        <v>0.731944444444444|2</v>
      </c>
    </row>
    <row r="659" spans="12:27" x14ac:dyDescent="0.25">
      <c r="L659" s="60" t="e">
        <f t="shared" si="20"/>
        <v>#N/A</v>
      </c>
      <c r="M659" s="42" t="e">
        <f t="shared" si="21"/>
        <v>#N/A</v>
      </c>
      <c r="U659">
        <v>2</v>
      </c>
      <c r="V659">
        <v>1</v>
      </c>
      <c r="W659" s="20" t="s">
        <v>302</v>
      </c>
      <c r="X659">
        <v>8</v>
      </c>
      <c r="Y659" s="20" t="s">
        <v>127</v>
      </c>
      <c r="Z659" s="7">
        <v>0.7319444444444444</v>
      </c>
      <c r="AA659" s="20" t="str">
        <f>grafico_sol1[[#This Row],[Value]]&amp;"|"&amp;grafico_sol1[[#This Row],[Numero Voltas]]</f>
        <v>0.731944444444444|2</v>
      </c>
    </row>
    <row r="660" spans="12:27" x14ac:dyDescent="0.25">
      <c r="L660" s="60" t="e">
        <f t="shared" si="20"/>
        <v>#N/A</v>
      </c>
      <c r="M660" s="42" t="e">
        <f t="shared" si="21"/>
        <v>#N/A</v>
      </c>
      <c r="U660">
        <v>2</v>
      </c>
      <c r="V660">
        <v>1</v>
      </c>
      <c r="W660" s="20" t="s">
        <v>302</v>
      </c>
      <c r="X660">
        <v>8</v>
      </c>
      <c r="Y660" s="20" t="s">
        <v>126</v>
      </c>
      <c r="Z660" s="7">
        <v>0.7319444444444444</v>
      </c>
      <c r="AA660" s="20" t="str">
        <f>grafico_sol1[[#This Row],[Value]]&amp;"|"&amp;grafico_sol1[[#This Row],[Numero Voltas]]</f>
        <v>0.731944444444444|2</v>
      </c>
    </row>
    <row r="661" spans="12:27" x14ac:dyDescent="0.25">
      <c r="L661" s="60" t="e">
        <f t="shared" si="20"/>
        <v>#N/A</v>
      </c>
      <c r="M661" s="42" t="e">
        <f t="shared" si="21"/>
        <v>#N/A</v>
      </c>
      <c r="U661">
        <v>3</v>
      </c>
      <c r="V661">
        <v>1</v>
      </c>
      <c r="W661" s="20" t="s">
        <v>302</v>
      </c>
      <c r="X661">
        <v>8</v>
      </c>
      <c r="Y661" s="20" t="s">
        <v>127</v>
      </c>
      <c r="Z661" s="7">
        <v>0.76458333333333328</v>
      </c>
      <c r="AA661" s="20" t="str">
        <f>grafico_sol1[[#This Row],[Value]]&amp;"|"&amp;grafico_sol1[[#This Row],[Numero Voltas]]</f>
        <v>0.764583333333333|3</v>
      </c>
    </row>
    <row r="662" spans="12:27" x14ac:dyDescent="0.25">
      <c r="L662" s="60" t="e">
        <f t="shared" si="20"/>
        <v>#N/A</v>
      </c>
      <c r="M662" s="42" t="e">
        <f t="shared" si="21"/>
        <v>#N/A</v>
      </c>
      <c r="U662">
        <v>3</v>
      </c>
      <c r="V662">
        <v>1</v>
      </c>
      <c r="W662" s="20" t="s">
        <v>301</v>
      </c>
      <c r="X662">
        <v>7</v>
      </c>
      <c r="Y662" s="20" t="s">
        <v>126</v>
      </c>
      <c r="Z662" s="7">
        <v>0.76875000000000004</v>
      </c>
      <c r="AA662" s="20" t="str">
        <f>grafico_sol1[[#This Row],[Value]]&amp;"|"&amp;grafico_sol1[[#This Row],[Numero Voltas]]</f>
        <v>0.76875|3</v>
      </c>
    </row>
    <row r="663" spans="12:27" x14ac:dyDescent="0.25">
      <c r="L663" s="60" t="e">
        <f t="shared" si="20"/>
        <v>#N/A</v>
      </c>
      <c r="M663" s="42" t="e">
        <f t="shared" si="21"/>
        <v>#N/A</v>
      </c>
      <c r="U663">
        <v>3</v>
      </c>
      <c r="V663">
        <v>1</v>
      </c>
      <c r="W663" s="20" t="s">
        <v>301</v>
      </c>
      <c r="X663">
        <v>7</v>
      </c>
      <c r="Y663" s="20" t="s">
        <v>127</v>
      </c>
      <c r="Z663" s="7">
        <v>0.76875000000000004</v>
      </c>
      <c r="AA663" s="20" t="str">
        <f>grafico_sol1[[#This Row],[Value]]&amp;"|"&amp;grafico_sol1[[#This Row],[Numero Voltas]]</f>
        <v>0.76875|3</v>
      </c>
    </row>
    <row r="664" spans="12:27" x14ac:dyDescent="0.25">
      <c r="L664" s="60" t="e">
        <f t="shared" si="20"/>
        <v>#N/A</v>
      </c>
      <c r="M664" s="42" t="e">
        <f t="shared" si="21"/>
        <v>#N/A</v>
      </c>
      <c r="U664">
        <v>3</v>
      </c>
      <c r="V664">
        <v>1</v>
      </c>
      <c r="W664" s="20" t="s">
        <v>301</v>
      </c>
      <c r="X664">
        <v>7</v>
      </c>
      <c r="Y664" s="20" t="s">
        <v>126</v>
      </c>
      <c r="Z664" s="7">
        <v>0.76875000000000004</v>
      </c>
      <c r="AA664" s="20" t="str">
        <f>grafico_sol1[[#This Row],[Value]]&amp;"|"&amp;grafico_sol1[[#This Row],[Numero Voltas]]</f>
        <v>0.76875|3</v>
      </c>
    </row>
    <row r="665" spans="12:27" x14ac:dyDescent="0.25">
      <c r="L665" s="60" t="e">
        <f t="shared" si="20"/>
        <v>#N/A</v>
      </c>
      <c r="M665" s="42" t="e">
        <f t="shared" si="21"/>
        <v>#N/A</v>
      </c>
      <c r="U665">
        <v>2</v>
      </c>
      <c r="V665">
        <v>1</v>
      </c>
      <c r="W665" s="20" t="s">
        <v>302</v>
      </c>
      <c r="X665">
        <v>8</v>
      </c>
      <c r="Y665" s="20" t="s">
        <v>127</v>
      </c>
      <c r="Z665" s="7">
        <v>0.77361111111111114</v>
      </c>
      <c r="AA665" s="20" t="str">
        <f>grafico_sol1[[#This Row],[Value]]&amp;"|"&amp;grafico_sol1[[#This Row],[Numero Voltas]]</f>
        <v>0.773611111111111|2</v>
      </c>
    </row>
    <row r="666" spans="12:27" x14ac:dyDescent="0.25">
      <c r="L666" s="60" t="e">
        <f t="shared" si="20"/>
        <v>#N/A</v>
      </c>
      <c r="M666" s="42" t="e">
        <f t="shared" si="21"/>
        <v>#N/A</v>
      </c>
      <c r="U666">
        <v>2</v>
      </c>
      <c r="V666">
        <v>1</v>
      </c>
      <c r="W666" s="20" t="s">
        <v>302</v>
      </c>
      <c r="X666">
        <v>8</v>
      </c>
      <c r="Y666" s="20" t="s">
        <v>126</v>
      </c>
      <c r="Z666" s="7">
        <v>0.77361111111111114</v>
      </c>
      <c r="AA666" s="20" t="str">
        <f>grafico_sol1[[#This Row],[Value]]&amp;"|"&amp;grafico_sol1[[#This Row],[Numero Voltas]]</f>
        <v>0.773611111111111|2</v>
      </c>
    </row>
    <row r="667" spans="12:27" x14ac:dyDescent="0.25">
      <c r="L667" s="60" t="e">
        <f t="shared" si="20"/>
        <v>#N/A</v>
      </c>
      <c r="M667" s="42" t="e">
        <f t="shared" si="21"/>
        <v>#N/A</v>
      </c>
      <c r="U667">
        <v>3</v>
      </c>
      <c r="V667">
        <v>1</v>
      </c>
      <c r="W667" s="20" t="s">
        <v>301</v>
      </c>
      <c r="X667">
        <v>7</v>
      </c>
      <c r="Y667" s="20" t="s">
        <v>127</v>
      </c>
      <c r="Z667" s="7">
        <v>0.77569444444444446</v>
      </c>
      <c r="AA667" s="20" t="str">
        <f>grafico_sol1[[#This Row],[Value]]&amp;"|"&amp;grafico_sol1[[#This Row],[Numero Voltas]]</f>
        <v>0.775694444444444|3</v>
      </c>
    </row>
    <row r="668" spans="12:27" x14ac:dyDescent="0.25">
      <c r="L668" s="60" t="e">
        <f t="shared" si="20"/>
        <v>#N/A</v>
      </c>
      <c r="M668" s="42" t="e">
        <f t="shared" si="21"/>
        <v>#N/A</v>
      </c>
      <c r="U668">
        <v>3</v>
      </c>
      <c r="V668">
        <v>1</v>
      </c>
      <c r="W668" s="20" t="s">
        <v>300</v>
      </c>
      <c r="X668">
        <v>6</v>
      </c>
      <c r="Y668" s="20" t="s">
        <v>126</v>
      </c>
      <c r="Z668" s="7">
        <v>0.77777777777777779</v>
      </c>
      <c r="AA668" s="20" t="str">
        <f>grafico_sol1[[#This Row],[Value]]&amp;"|"&amp;grafico_sol1[[#This Row],[Numero Voltas]]</f>
        <v>0.777777777777778|3</v>
      </c>
    </row>
    <row r="669" spans="12:27" x14ac:dyDescent="0.25">
      <c r="L669" s="60" t="e">
        <f t="shared" si="20"/>
        <v>#N/A</v>
      </c>
      <c r="M669" s="42" t="e">
        <f t="shared" si="21"/>
        <v>#N/A</v>
      </c>
      <c r="U669">
        <v>3</v>
      </c>
      <c r="V669">
        <v>1</v>
      </c>
      <c r="W669" s="20" t="s">
        <v>300</v>
      </c>
      <c r="X669">
        <v>6</v>
      </c>
      <c r="Y669" s="20" t="s">
        <v>127</v>
      </c>
      <c r="Z669" s="7">
        <v>0.77777777777777779</v>
      </c>
      <c r="AA669" s="20" t="str">
        <f>grafico_sol1[[#This Row],[Value]]&amp;"|"&amp;grafico_sol1[[#This Row],[Numero Voltas]]</f>
        <v>0.777777777777778|3</v>
      </c>
    </row>
    <row r="670" spans="12:27" x14ac:dyDescent="0.25">
      <c r="L670" s="60" t="e">
        <f t="shared" si="20"/>
        <v>#N/A</v>
      </c>
      <c r="M670" s="42" t="e">
        <f t="shared" si="21"/>
        <v>#N/A</v>
      </c>
      <c r="U670">
        <v>2</v>
      </c>
      <c r="V670">
        <v>1</v>
      </c>
      <c r="W670" s="20" t="s">
        <v>302</v>
      </c>
      <c r="X670">
        <v>8</v>
      </c>
      <c r="Y670" s="20" t="s">
        <v>127</v>
      </c>
      <c r="Z670" s="7">
        <v>0.78055555555555556</v>
      </c>
      <c r="AA670" s="20" t="str">
        <f>grafico_sol1[[#This Row],[Value]]&amp;"|"&amp;grafico_sol1[[#This Row],[Numero Voltas]]</f>
        <v>0.780555555555556|2</v>
      </c>
    </row>
    <row r="671" spans="12:27" x14ac:dyDescent="0.25">
      <c r="L671" s="60" t="e">
        <f t="shared" si="20"/>
        <v>#N/A</v>
      </c>
      <c r="M671" s="42" t="e">
        <f t="shared" si="21"/>
        <v>#N/A</v>
      </c>
      <c r="U671">
        <v>3</v>
      </c>
      <c r="V671">
        <v>1</v>
      </c>
      <c r="W671" s="20" t="s">
        <v>215</v>
      </c>
      <c r="X671">
        <v>5</v>
      </c>
      <c r="Y671" s="20" t="s">
        <v>126</v>
      </c>
      <c r="Z671" s="7">
        <v>0.78055555555555556</v>
      </c>
      <c r="AA671" s="20" t="str">
        <f>grafico_sol1[[#This Row],[Value]]&amp;"|"&amp;grafico_sol1[[#This Row],[Numero Voltas]]</f>
        <v>0.780555555555556|3</v>
      </c>
    </row>
    <row r="672" spans="12:27" x14ac:dyDescent="0.25">
      <c r="L672" s="60" t="e">
        <f t="shared" si="20"/>
        <v>#N/A</v>
      </c>
      <c r="M672" s="42" t="e">
        <f t="shared" si="21"/>
        <v>#N/A</v>
      </c>
      <c r="U672">
        <v>3</v>
      </c>
      <c r="V672">
        <v>1</v>
      </c>
      <c r="W672" s="20" t="s">
        <v>215</v>
      </c>
      <c r="X672">
        <v>5</v>
      </c>
      <c r="Y672" s="20" t="s">
        <v>127</v>
      </c>
      <c r="Z672" s="7">
        <v>0.78055555555555556</v>
      </c>
      <c r="AA672" s="20" t="str">
        <f>grafico_sol1[[#This Row],[Value]]&amp;"|"&amp;grafico_sol1[[#This Row],[Numero Voltas]]</f>
        <v>0.780555555555556|3</v>
      </c>
    </row>
    <row r="673" spans="12:27" x14ac:dyDescent="0.25">
      <c r="L673" s="60" t="e">
        <f t="shared" si="20"/>
        <v>#N/A</v>
      </c>
      <c r="M673" s="42" t="e">
        <f t="shared" si="21"/>
        <v>#N/A</v>
      </c>
      <c r="U673">
        <v>3</v>
      </c>
      <c r="V673">
        <v>1</v>
      </c>
      <c r="W673" s="20" t="s">
        <v>2</v>
      </c>
      <c r="X673">
        <v>4</v>
      </c>
      <c r="Y673" s="20" t="s">
        <v>126</v>
      </c>
      <c r="Z673" s="7">
        <v>0.78263888888888888</v>
      </c>
      <c r="AA673" s="20" t="str">
        <f>grafico_sol1[[#This Row],[Value]]&amp;"|"&amp;grafico_sol1[[#This Row],[Numero Voltas]]</f>
        <v>0.782638888888889|3</v>
      </c>
    </row>
    <row r="674" spans="12:27" x14ac:dyDescent="0.25">
      <c r="L674" s="60" t="e">
        <f t="shared" si="20"/>
        <v>#N/A</v>
      </c>
      <c r="M674" s="42" t="e">
        <f t="shared" si="21"/>
        <v>#N/A</v>
      </c>
      <c r="U674">
        <v>3</v>
      </c>
      <c r="V674">
        <v>1</v>
      </c>
      <c r="W674" s="20" t="s">
        <v>2</v>
      </c>
      <c r="X674">
        <v>4</v>
      </c>
      <c r="Y674" s="20" t="s">
        <v>127</v>
      </c>
      <c r="Z674" s="7">
        <v>0.78263888888888888</v>
      </c>
      <c r="AA674" s="20" t="str">
        <f>grafico_sol1[[#This Row],[Value]]&amp;"|"&amp;grafico_sol1[[#This Row],[Numero Voltas]]</f>
        <v>0.782638888888889|3</v>
      </c>
    </row>
    <row r="675" spans="12:27" x14ac:dyDescent="0.25">
      <c r="L675" s="60" t="e">
        <f t="shared" si="20"/>
        <v>#N/A</v>
      </c>
      <c r="M675" s="42" t="e">
        <f t="shared" si="21"/>
        <v>#N/A</v>
      </c>
      <c r="U675">
        <v>2</v>
      </c>
      <c r="V675">
        <v>1</v>
      </c>
      <c r="W675" s="20" t="s">
        <v>303</v>
      </c>
      <c r="X675">
        <v>9</v>
      </c>
      <c r="Y675" s="20" t="s">
        <v>126</v>
      </c>
      <c r="Z675" s="7">
        <v>0.78472222222222221</v>
      </c>
      <c r="AA675" s="20" t="str">
        <f>grafico_sol1[[#This Row],[Value]]&amp;"|"&amp;grafico_sol1[[#This Row],[Numero Voltas]]</f>
        <v>0.784722222222222|2</v>
      </c>
    </row>
    <row r="676" spans="12:27" x14ac:dyDescent="0.25">
      <c r="L676" s="60" t="e">
        <f t="shared" si="20"/>
        <v>#N/A</v>
      </c>
      <c r="M676" s="42" t="e">
        <f t="shared" si="21"/>
        <v>#N/A</v>
      </c>
      <c r="U676">
        <v>2</v>
      </c>
      <c r="V676">
        <v>1</v>
      </c>
      <c r="W676" s="20" t="s">
        <v>303</v>
      </c>
      <c r="X676">
        <v>9</v>
      </c>
      <c r="Y676" s="20" t="s">
        <v>127</v>
      </c>
      <c r="Z676" s="7">
        <v>0.78472222222222221</v>
      </c>
      <c r="AA676" s="20" t="str">
        <f>grafico_sol1[[#This Row],[Value]]&amp;"|"&amp;grafico_sol1[[#This Row],[Numero Voltas]]</f>
        <v>0.784722222222222|2</v>
      </c>
    </row>
    <row r="677" spans="12:27" x14ac:dyDescent="0.25">
      <c r="L677" s="60" t="e">
        <f t="shared" si="20"/>
        <v>#N/A</v>
      </c>
      <c r="M677" s="42" t="e">
        <f t="shared" si="21"/>
        <v>#N/A</v>
      </c>
      <c r="U677">
        <v>2</v>
      </c>
      <c r="V677">
        <v>1</v>
      </c>
      <c r="W677" s="20" t="s">
        <v>303</v>
      </c>
      <c r="X677">
        <v>9</v>
      </c>
      <c r="Y677" s="20" t="s">
        <v>126</v>
      </c>
      <c r="Z677" s="7">
        <v>0.78472222222222221</v>
      </c>
      <c r="AA677" s="20" t="str">
        <f>grafico_sol1[[#This Row],[Value]]&amp;"|"&amp;grafico_sol1[[#This Row],[Numero Voltas]]</f>
        <v>0.784722222222222|2</v>
      </c>
    </row>
    <row r="678" spans="12:27" x14ac:dyDescent="0.25">
      <c r="L678" s="60" t="e">
        <f t="shared" si="20"/>
        <v>#N/A</v>
      </c>
      <c r="M678" s="42" t="e">
        <f t="shared" si="21"/>
        <v>#N/A</v>
      </c>
      <c r="U678">
        <v>2</v>
      </c>
      <c r="V678">
        <v>1</v>
      </c>
      <c r="W678" s="20" t="s">
        <v>303</v>
      </c>
      <c r="X678">
        <v>9</v>
      </c>
      <c r="Y678" s="20" t="s">
        <v>127</v>
      </c>
      <c r="Z678" s="7">
        <v>0.78472222222222221</v>
      </c>
      <c r="AA678" s="20" t="str">
        <f>grafico_sol1[[#This Row],[Value]]&amp;"|"&amp;grafico_sol1[[#This Row],[Numero Voltas]]</f>
        <v>0.784722222222222|2</v>
      </c>
    </row>
    <row r="679" spans="12:27" x14ac:dyDescent="0.25">
      <c r="L679" s="60" t="e">
        <f t="shared" si="20"/>
        <v>#N/A</v>
      </c>
      <c r="M679" s="42" t="e">
        <f t="shared" si="21"/>
        <v>#N/A</v>
      </c>
      <c r="U679">
        <v>2</v>
      </c>
      <c r="V679">
        <v>1</v>
      </c>
      <c r="W679" s="20" t="s">
        <v>303</v>
      </c>
      <c r="X679">
        <v>9</v>
      </c>
      <c r="Y679" s="20" t="s">
        <v>126</v>
      </c>
      <c r="Z679" s="7">
        <v>0.78472222222222221</v>
      </c>
      <c r="AA679" s="20" t="str">
        <f>grafico_sol1[[#This Row],[Value]]&amp;"|"&amp;grafico_sol1[[#This Row],[Numero Voltas]]</f>
        <v>0.784722222222222|2</v>
      </c>
    </row>
    <row r="680" spans="12:27" x14ac:dyDescent="0.25">
      <c r="L680" s="60" t="e">
        <f t="shared" si="20"/>
        <v>#N/A</v>
      </c>
      <c r="M680" s="42" t="e">
        <f t="shared" si="21"/>
        <v>#N/A</v>
      </c>
      <c r="U680">
        <v>3</v>
      </c>
      <c r="V680">
        <v>1</v>
      </c>
      <c r="W680" s="20" t="s">
        <v>208</v>
      </c>
      <c r="X680">
        <v>3</v>
      </c>
      <c r="Y680" s="20" t="s">
        <v>126</v>
      </c>
      <c r="Z680" s="7">
        <v>0.78611111111111109</v>
      </c>
      <c r="AA680" s="20" t="str">
        <f>grafico_sol1[[#This Row],[Value]]&amp;"|"&amp;grafico_sol1[[#This Row],[Numero Voltas]]</f>
        <v>0.786111111111111|3</v>
      </c>
    </row>
    <row r="681" spans="12:27" x14ac:dyDescent="0.25">
      <c r="L681" s="60" t="e">
        <f t="shared" si="20"/>
        <v>#N/A</v>
      </c>
      <c r="M681" s="42" t="e">
        <f t="shared" si="21"/>
        <v>#N/A</v>
      </c>
      <c r="U681">
        <v>3</v>
      </c>
      <c r="V681">
        <v>1</v>
      </c>
      <c r="W681" s="20" t="s">
        <v>208</v>
      </c>
      <c r="X681">
        <v>3</v>
      </c>
      <c r="Y681" s="20" t="s">
        <v>127</v>
      </c>
      <c r="Z681" s="7">
        <v>0.78611111111111109</v>
      </c>
      <c r="AA681" s="20" t="str">
        <f>grafico_sol1[[#This Row],[Value]]&amp;"|"&amp;grafico_sol1[[#This Row],[Numero Voltas]]</f>
        <v>0.786111111111111|3</v>
      </c>
    </row>
    <row r="682" spans="12:27" x14ac:dyDescent="0.25">
      <c r="L682" s="60" t="e">
        <f t="shared" si="20"/>
        <v>#N/A</v>
      </c>
      <c r="M682" s="42" t="e">
        <f t="shared" si="21"/>
        <v>#N/A</v>
      </c>
      <c r="U682">
        <v>3</v>
      </c>
      <c r="V682">
        <v>1</v>
      </c>
      <c r="W682" s="20" t="s">
        <v>228</v>
      </c>
      <c r="X682">
        <v>2</v>
      </c>
      <c r="Y682" s="20" t="s">
        <v>126</v>
      </c>
      <c r="Z682" s="7">
        <v>0.78819444444444442</v>
      </c>
      <c r="AA682" s="20" t="str">
        <f>grafico_sol1[[#This Row],[Value]]&amp;"|"&amp;grafico_sol1[[#This Row],[Numero Voltas]]</f>
        <v>0.788194444444444|3</v>
      </c>
    </row>
    <row r="683" spans="12:27" x14ac:dyDescent="0.25">
      <c r="L683" s="60" t="e">
        <f t="shared" si="20"/>
        <v>#N/A</v>
      </c>
      <c r="M683" s="42" t="e">
        <f t="shared" si="21"/>
        <v>#N/A</v>
      </c>
      <c r="U683">
        <v>3</v>
      </c>
      <c r="V683">
        <v>1</v>
      </c>
      <c r="W683" s="20" t="s">
        <v>228</v>
      </c>
      <c r="X683">
        <v>2</v>
      </c>
      <c r="Y683" s="20" t="s">
        <v>127</v>
      </c>
      <c r="Z683" s="7">
        <v>0.78819444444444442</v>
      </c>
      <c r="AA683" s="20" t="str">
        <f>grafico_sol1[[#This Row],[Value]]&amp;"|"&amp;grafico_sol1[[#This Row],[Numero Voltas]]</f>
        <v>0.788194444444444|3</v>
      </c>
    </row>
    <row r="684" spans="12:27" x14ac:dyDescent="0.25">
      <c r="L684" s="60" t="e">
        <f t="shared" si="20"/>
        <v>#N/A</v>
      </c>
      <c r="M684" s="42" t="e">
        <f t="shared" si="21"/>
        <v>#N/A</v>
      </c>
      <c r="U684">
        <v>3</v>
      </c>
      <c r="V684">
        <v>1</v>
      </c>
      <c r="W684" s="20" t="s">
        <v>228</v>
      </c>
      <c r="X684">
        <v>2</v>
      </c>
      <c r="Y684" s="20" t="s">
        <v>126</v>
      </c>
      <c r="Z684" s="7">
        <v>0.78819444444444442</v>
      </c>
      <c r="AA684" s="20" t="str">
        <f>grafico_sol1[[#This Row],[Value]]&amp;"|"&amp;grafico_sol1[[#This Row],[Numero Voltas]]</f>
        <v>0.788194444444444|3</v>
      </c>
    </row>
    <row r="685" spans="12:27" x14ac:dyDescent="0.25">
      <c r="L685" s="60" t="e">
        <f t="shared" si="20"/>
        <v>#N/A</v>
      </c>
      <c r="M685" s="42" t="e">
        <f t="shared" si="21"/>
        <v>#N/A</v>
      </c>
      <c r="U685">
        <v>2</v>
      </c>
      <c r="V685">
        <v>1</v>
      </c>
      <c r="W685" s="20" t="s">
        <v>303</v>
      </c>
      <c r="X685">
        <v>9</v>
      </c>
      <c r="Y685" s="20" t="s">
        <v>127</v>
      </c>
      <c r="Z685" s="7">
        <v>0.79166666666666663</v>
      </c>
      <c r="AA685" s="20" t="str">
        <f>grafico_sol1[[#This Row],[Value]]&amp;"|"&amp;grafico_sol1[[#This Row],[Numero Voltas]]</f>
        <v>0.791666666666667|2</v>
      </c>
    </row>
    <row r="686" spans="12:27" x14ac:dyDescent="0.25">
      <c r="L686" s="60" t="e">
        <f t="shared" si="20"/>
        <v>#N/A</v>
      </c>
      <c r="M686" s="42" t="e">
        <f t="shared" si="21"/>
        <v>#N/A</v>
      </c>
      <c r="U686">
        <v>2</v>
      </c>
      <c r="V686">
        <v>1</v>
      </c>
      <c r="W686" s="20" t="s">
        <v>302</v>
      </c>
      <c r="X686">
        <v>8</v>
      </c>
      <c r="Y686" s="20" t="s">
        <v>126</v>
      </c>
      <c r="Z686" s="7">
        <v>0.79583333333333328</v>
      </c>
      <c r="AA686" s="20" t="str">
        <f>grafico_sol1[[#This Row],[Value]]&amp;"|"&amp;grafico_sol1[[#This Row],[Numero Voltas]]</f>
        <v>0.795833333333333|2</v>
      </c>
    </row>
    <row r="687" spans="12:27" x14ac:dyDescent="0.25">
      <c r="L687" s="60" t="e">
        <f t="shared" si="20"/>
        <v>#N/A</v>
      </c>
      <c r="M687" s="42" t="e">
        <f t="shared" si="21"/>
        <v>#N/A</v>
      </c>
      <c r="U687">
        <v>2</v>
      </c>
      <c r="V687">
        <v>1</v>
      </c>
      <c r="W687" s="20" t="s">
        <v>302</v>
      </c>
      <c r="X687">
        <v>8</v>
      </c>
      <c r="Y687" s="20" t="s">
        <v>127</v>
      </c>
      <c r="Z687" s="7">
        <v>0.79583333333333328</v>
      </c>
      <c r="AA687" s="20" t="str">
        <f>grafico_sol1[[#This Row],[Value]]&amp;"|"&amp;grafico_sol1[[#This Row],[Numero Voltas]]</f>
        <v>0.795833333333333|2</v>
      </c>
    </row>
    <row r="688" spans="12:27" x14ac:dyDescent="0.25">
      <c r="L688" s="60" t="e">
        <f t="shared" si="20"/>
        <v>#N/A</v>
      </c>
      <c r="M688" s="42" t="e">
        <f t="shared" si="21"/>
        <v>#N/A</v>
      </c>
      <c r="U688">
        <v>2</v>
      </c>
      <c r="V688">
        <v>1</v>
      </c>
      <c r="W688" s="20" t="s">
        <v>301</v>
      </c>
      <c r="X688">
        <v>7</v>
      </c>
      <c r="Y688" s="20" t="s">
        <v>126</v>
      </c>
      <c r="Z688" s="7">
        <v>0.8</v>
      </c>
      <c r="AA688" s="20" t="str">
        <f>grafico_sol1[[#This Row],[Value]]&amp;"|"&amp;grafico_sol1[[#This Row],[Numero Voltas]]</f>
        <v>0.8|2</v>
      </c>
    </row>
    <row r="689" spans="12:27" x14ac:dyDescent="0.25">
      <c r="L689" s="60" t="e">
        <f t="shared" si="20"/>
        <v>#N/A</v>
      </c>
      <c r="M689" s="42" t="e">
        <f t="shared" si="21"/>
        <v>#N/A</v>
      </c>
      <c r="U689">
        <v>2</v>
      </c>
      <c r="V689">
        <v>1</v>
      </c>
      <c r="W689" s="20" t="s">
        <v>301</v>
      </c>
      <c r="X689">
        <v>7</v>
      </c>
      <c r="Y689" s="20" t="s">
        <v>127</v>
      </c>
      <c r="Z689" s="7">
        <v>0.8</v>
      </c>
      <c r="AA689" s="20" t="str">
        <f>grafico_sol1[[#This Row],[Value]]&amp;"|"&amp;grafico_sol1[[#This Row],[Numero Voltas]]</f>
        <v>0.8|2</v>
      </c>
    </row>
    <row r="690" spans="12:27" x14ac:dyDescent="0.25">
      <c r="L690" s="60" t="e">
        <f t="shared" si="20"/>
        <v>#N/A</v>
      </c>
      <c r="M690" s="42" t="e">
        <f t="shared" si="21"/>
        <v>#N/A</v>
      </c>
      <c r="U690">
        <v>3</v>
      </c>
      <c r="V690">
        <v>1</v>
      </c>
      <c r="W690" s="20" t="s">
        <v>228</v>
      </c>
      <c r="X690">
        <v>2</v>
      </c>
      <c r="Y690" s="20" t="s">
        <v>127</v>
      </c>
      <c r="Z690" s="7">
        <v>0.80069444444444449</v>
      </c>
      <c r="AA690" s="20" t="str">
        <f>grafico_sol1[[#This Row],[Value]]&amp;"|"&amp;grafico_sol1[[#This Row],[Numero Voltas]]</f>
        <v>0.800694444444444|3</v>
      </c>
    </row>
    <row r="691" spans="12:27" x14ac:dyDescent="0.25">
      <c r="L691" s="60" t="e">
        <f t="shared" si="20"/>
        <v>#N/A</v>
      </c>
      <c r="M691" s="42" t="e">
        <f t="shared" si="21"/>
        <v>#N/A</v>
      </c>
      <c r="U691">
        <v>3</v>
      </c>
      <c r="V691">
        <v>1</v>
      </c>
      <c r="W691" s="20" t="s">
        <v>200</v>
      </c>
      <c r="X691">
        <v>1</v>
      </c>
      <c r="Y691" s="20" t="s">
        <v>126</v>
      </c>
      <c r="Z691" s="7">
        <v>0.80138888888888893</v>
      </c>
      <c r="AA691" s="20" t="str">
        <f>grafico_sol1[[#This Row],[Value]]&amp;"|"&amp;grafico_sol1[[#This Row],[Numero Voltas]]</f>
        <v>0.801388888888889|3</v>
      </c>
    </row>
    <row r="692" spans="12:27" x14ac:dyDescent="0.25">
      <c r="L692" s="60" t="e">
        <f t="shared" si="20"/>
        <v>#N/A</v>
      </c>
      <c r="M692" s="42" t="e">
        <f t="shared" si="21"/>
        <v>#N/A</v>
      </c>
      <c r="U692">
        <v>3</v>
      </c>
      <c r="V692">
        <v>1</v>
      </c>
      <c r="W692" s="20" t="s">
        <v>200</v>
      </c>
      <c r="X692">
        <v>1</v>
      </c>
      <c r="Y692" s="20" t="s">
        <v>127</v>
      </c>
      <c r="Z692" s="7">
        <v>0.80138888888888893</v>
      </c>
      <c r="AA692" s="20" t="str">
        <f>grafico_sol1[[#This Row],[Value]]&amp;"|"&amp;grafico_sol1[[#This Row],[Numero Voltas]]</f>
        <v>0.801388888888889|3</v>
      </c>
    </row>
    <row r="693" spans="12:27" x14ac:dyDescent="0.25">
      <c r="L693" s="60" t="e">
        <f t="shared" si="20"/>
        <v>#N/A</v>
      </c>
      <c r="M693" s="42" t="e">
        <f t="shared" si="21"/>
        <v>#N/A</v>
      </c>
      <c r="U693">
        <v>2</v>
      </c>
      <c r="V693">
        <v>1</v>
      </c>
      <c r="W693" s="20" t="s">
        <v>300</v>
      </c>
      <c r="X693">
        <v>6</v>
      </c>
      <c r="Y693" s="20" t="s">
        <v>126</v>
      </c>
      <c r="Z693" s="7">
        <v>0.80208333333333337</v>
      </c>
      <c r="AA693" s="20" t="str">
        <f>grafico_sol1[[#This Row],[Value]]&amp;"|"&amp;grafico_sol1[[#This Row],[Numero Voltas]]</f>
        <v>0.802083333333333|2</v>
      </c>
    </row>
    <row r="694" spans="12:27" x14ac:dyDescent="0.25">
      <c r="L694" s="60" t="e">
        <f t="shared" si="20"/>
        <v>#N/A</v>
      </c>
      <c r="M694" s="42" t="e">
        <f t="shared" si="21"/>
        <v>#N/A</v>
      </c>
      <c r="U694">
        <v>2</v>
      </c>
      <c r="V694">
        <v>1</v>
      </c>
      <c r="W694" s="20" t="s">
        <v>300</v>
      </c>
      <c r="X694">
        <v>6</v>
      </c>
      <c r="Y694" s="20" t="s">
        <v>127</v>
      </c>
      <c r="Z694" s="7">
        <v>0.80208333333333337</v>
      </c>
      <c r="AA694" s="20" t="str">
        <f>grafico_sol1[[#This Row],[Value]]&amp;"|"&amp;grafico_sol1[[#This Row],[Numero Voltas]]</f>
        <v>0.802083333333333|2</v>
      </c>
    </row>
    <row r="695" spans="12:27" x14ac:dyDescent="0.25">
      <c r="L695" s="60" t="e">
        <f t="shared" ref="L695:L758" si="22">IF(Q695&lt;&gt;"",Q695,#N/A)</f>
        <v>#N/A</v>
      </c>
      <c r="M695" s="42" t="e">
        <f t="shared" ref="M695:M758" si="23">IF(R695&lt;&gt;"",R695,#N/A)</f>
        <v>#N/A</v>
      </c>
      <c r="U695">
        <v>3</v>
      </c>
      <c r="V695">
        <v>1</v>
      </c>
      <c r="W695" s="20" t="s">
        <v>203</v>
      </c>
      <c r="X695">
        <v>0</v>
      </c>
      <c r="Y695" s="20" t="s">
        <v>126</v>
      </c>
      <c r="Z695" s="7">
        <v>0.80277777777777781</v>
      </c>
      <c r="AA695" s="20" t="str">
        <f>grafico_sol1[[#This Row],[Value]]&amp;"|"&amp;grafico_sol1[[#This Row],[Numero Voltas]]</f>
        <v>0.802777777777778|3</v>
      </c>
    </row>
    <row r="696" spans="12:27" x14ac:dyDescent="0.25">
      <c r="L696" s="60" t="e">
        <f t="shared" si="22"/>
        <v>#N/A</v>
      </c>
      <c r="M696" s="42" t="e">
        <f t="shared" si="23"/>
        <v>#N/A</v>
      </c>
      <c r="U696">
        <v>3</v>
      </c>
      <c r="V696">
        <v>1</v>
      </c>
      <c r="W696" s="20" t="s">
        <v>203</v>
      </c>
      <c r="X696">
        <v>0</v>
      </c>
      <c r="Y696" s="20" t="s">
        <v>127</v>
      </c>
      <c r="Z696" s="7">
        <v>0.80277777777777781</v>
      </c>
      <c r="AA696" s="20" t="str">
        <f>grafico_sol1[[#This Row],[Value]]&amp;"|"&amp;grafico_sol1[[#This Row],[Numero Voltas]]</f>
        <v>0.802777777777778|3</v>
      </c>
    </row>
    <row r="697" spans="12:27" x14ac:dyDescent="0.25">
      <c r="L697" s="60" t="e">
        <f t="shared" si="22"/>
        <v>#N/A</v>
      </c>
      <c r="M697" s="42" t="e">
        <f t="shared" si="23"/>
        <v>#N/A</v>
      </c>
      <c r="U697">
        <v>3</v>
      </c>
      <c r="V697">
        <v>1</v>
      </c>
      <c r="W697" s="20" t="s">
        <v>203</v>
      </c>
      <c r="X697">
        <v>0</v>
      </c>
      <c r="Y697" s="20" t="s">
        <v>126</v>
      </c>
      <c r="Z697" s="7">
        <v>0.80277777777777781</v>
      </c>
      <c r="AA697" s="20" t="str">
        <f>grafico_sol1[[#This Row],[Value]]&amp;"|"&amp;grafico_sol1[[#This Row],[Numero Voltas]]</f>
        <v>0.802777777777778|3</v>
      </c>
    </row>
    <row r="698" spans="12:27" x14ac:dyDescent="0.25">
      <c r="L698" s="60" t="e">
        <f t="shared" si="22"/>
        <v>#N/A</v>
      </c>
      <c r="M698" s="42" t="e">
        <f t="shared" si="23"/>
        <v>#N/A</v>
      </c>
      <c r="U698">
        <v>3</v>
      </c>
      <c r="V698">
        <v>1</v>
      </c>
      <c r="W698" s="20" t="s">
        <v>203</v>
      </c>
      <c r="X698">
        <v>0</v>
      </c>
      <c r="Y698" s="20" t="s">
        <v>127</v>
      </c>
      <c r="Z698" s="7">
        <v>0.80277777777777781</v>
      </c>
      <c r="AA698" s="20" t="str">
        <f>grafico_sol1[[#This Row],[Value]]&amp;"|"&amp;grafico_sol1[[#This Row],[Numero Voltas]]</f>
        <v>0.802777777777778|3</v>
      </c>
    </row>
    <row r="699" spans="12:27" x14ac:dyDescent="0.25">
      <c r="L699" s="60" t="e">
        <f t="shared" si="22"/>
        <v>#N/A</v>
      </c>
      <c r="M699" s="42" t="e">
        <f t="shared" si="23"/>
        <v>#N/A</v>
      </c>
      <c r="U699">
        <v>3</v>
      </c>
      <c r="V699">
        <v>1</v>
      </c>
      <c r="W699" s="20" t="s">
        <v>200</v>
      </c>
      <c r="X699">
        <v>1</v>
      </c>
      <c r="Y699" s="20" t="s">
        <v>126</v>
      </c>
      <c r="Z699" s="7">
        <v>0.8041666666666667</v>
      </c>
      <c r="AA699" s="20" t="str">
        <f>grafico_sol1[[#This Row],[Value]]&amp;"|"&amp;grafico_sol1[[#This Row],[Numero Voltas]]</f>
        <v>0.804166666666667|3</v>
      </c>
    </row>
    <row r="700" spans="12:27" x14ac:dyDescent="0.25">
      <c r="L700" s="60" t="e">
        <f t="shared" si="22"/>
        <v>#N/A</v>
      </c>
      <c r="M700" s="42" t="e">
        <f t="shared" si="23"/>
        <v>#N/A</v>
      </c>
      <c r="U700">
        <v>3</v>
      </c>
      <c r="V700">
        <v>1</v>
      </c>
      <c r="W700" s="20" t="s">
        <v>200</v>
      </c>
      <c r="X700">
        <v>1</v>
      </c>
      <c r="Y700" s="20" t="s">
        <v>127</v>
      </c>
      <c r="Z700" s="7">
        <v>0.8041666666666667</v>
      </c>
      <c r="AA700" s="20" t="str">
        <f>grafico_sol1[[#This Row],[Value]]&amp;"|"&amp;grafico_sol1[[#This Row],[Numero Voltas]]</f>
        <v>0.804166666666667|3</v>
      </c>
    </row>
    <row r="701" spans="12:27" x14ac:dyDescent="0.25">
      <c r="L701" s="60" t="e">
        <f t="shared" si="22"/>
        <v>#N/A</v>
      </c>
      <c r="M701" s="42" t="e">
        <f t="shared" si="23"/>
        <v>#N/A</v>
      </c>
      <c r="U701">
        <v>3</v>
      </c>
      <c r="V701">
        <v>1</v>
      </c>
      <c r="W701" s="20" t="s">
        <v>200</v>
      </c>
      <c r="X701">
        <v>1</v>
      </c>
      <c r="Y701" s="20" t="s">
        <v>126</v>
      </c>
      <c r="Z701" s="7">
        <v>0.8041666666666667</v>
      </c>
      <c r="AA701" s="20" t="str">
        <f>grafico_sol1[[#This Row],[Value]]&amp;"|"&amp;grafico_sol1[[#This Row],[Numero Voltas]]</f>
        <v>0.804166666666667|3</v>
      </c>
    </row>
    <row r="702" spans="12:27" x14ac:dyDescent="0.25">
      <c r="L702" s="60" t="e">
        <f t="shared" si="22"/>
        <v>#N/A</v>
      </c>
      <c r="M702" s="42" t="e">
        <f t="shared" si="23"/>
        <v>#N/A</v>
      </c>
      <c r="U702">
        <v>2</v>
      </c>
      <c r="V702">
        <v>1</v>
      </c>
      <c r="W702" s="20" t="s">
        <v>215</v>
      </c>
      <c r="X702">
        <v>5</v>
      </c>
      <c r="Y702" s="20" t="s">
        <v>126</v>
      </c>
      <c r="Z702" s="7">
        <v>0.80486111111111114</v>
      </c>
      <c r="AA702" s="20" t="str">
        <f>grafico_sol1[[#This Row],[Value]]&amp;"|"&amp;grafico_sol1[[#This Row],[Numero Voltas]]</f>
        <v>0.804861111111111|2</v>
      </c>
    </row>
    <row r="703" spans="12:27" x14ac:dyDescent="0.25">
      <c r="L703" s="60" t="e">
        <f t="shared" si="22"/>
        <v>#N/A</v>
      </c>
      <c r="M703" s="42" t="e">
        <f t="shared" si="23"/>
        <v>#N/A</v>
      </c>
      <c r="U703">
        <v>2</v>
      </c>
      <c r="V703">
        <v>1</v>
      </c>
      <c r="W703" s="20" t="s">
        <v>215</v>
      </c>
      <c r="X703">
        <v>5</v>
      </c>
      <c r="Y703" s="20" t="s">
        <v>127</v>
      </c>
      <c r="Z703" s="7">
        <v>0.80486111111111114</v>
      </c>
      <c r="AA703" s="20" t="str">
        <f>grafico_sol1[[#This Row],[Value]]&amp;"|"&amp;grafico_sol1[[#This Row],[Numero Voltas]]</f>
        <v>0.804861111111111|2</v>
      </c>
    </row>
    <row r="704" spans="12:27" x14ac:dyDescent="0.25">
      <c r="L704" s="60" t="e">
        <f t="shared" si="22"/>
        <v>#N/A</v>
      </c>
      <c r="M704" s="42" t="e">
        <f t="shared" si="23"/>
        <v>#N/A</v>
      </c>
      <c r="U704">
        <v>2</v>
      </c>
      <c r="V704">
        <v>1</v>
      </c>
      <c r="W704" s="20" t="s">
        <v>2</v>
      </c>
      <c r="X704">
        <v>4</v>
      </c>
      <c r="Y704" s="20" t="s">
        <v>126</v>
      </c>
      <c r="Z704" s="7">
        <v>0.80694444444444446</v>
      </c>
      <c r="AA704" s="20" t="str">
        <f>grafico_sol1[[#This Row],[Value]]&amp;"|"&amp;grafico_sol1[[#This Row],[Numero Voltas]]</f>
        <v>0.806944444444444|2</v>
      </c>
    </row>
    <row r="705" spans="12:27" x14ac:dyDescent="0.25">
      <c r="L705" s="60" t="e">
        <f t="shared" si="22"/>
        <v>#N/A</v>
      </c>
      <c r="M705" s="42" t="e">
        <f t="shared" si="23"/>
        <v>#N/A</v>
      </c>
      <c r="U705">
        <v>2</v>
      </c>
      <c r="V705">
        <v>1</v>
      </c>
      <c r="W705" s="20" t="s">
        <v>2</v>
      </c>
      <c r="X705">
        <v>4</v>
      </c>
      <c r="Y705" s="20" t="s">
        <v>127</v>
      </c>
      <c r="Z705" s="7">
        <v>0.80694444444444446</v>
      </c>
      <c r="AA705" s="20" t="str">
        <f>grafico_sol1[[#This Row],[Value]]&amp;"|"&amp;grafico_sol1[[#This Row],[Numero Voltas]]</f>
        <v>0.806944444444444|2</v>
      </c>
    </row>
    <row r="706" spans="12:27" x14ac:dyDescent="0.25">
      <c r="L706" s="60" t="e">
        <f t="shared" si="22"/>
        <v>#N/A</v>
      </c>
      <c r="M706" s="42" t="e">
        <f t="shared" si="23"/>
        <v>#N/A</v>
      </c>
      <c r="U706">
        <v>2</v>
      </c>
      <c r="V706">
        <v>1</v>
      </c>
      <c r="W706" s="20" t="s">
        <v>2</v>
      </c>
      <c r="X706">
        <v>4</v>
      </c>
      <c r="Y706" s="20" t="s">
        <v>126</v>
      </c>
      <c r="Z706" s="7">
        <v>0.80694444444444446</v>
      </c>
      <c r="AA706" s="20" t="str">
        <f>grafico_sol1[[#This Row],[Value]]&amp;"|"&amp;grafico_sol1[[#This Row],[Numero Voltas]]</f>
        <v>0.806944444444444|2</v>
      </c>
    </row>
    <row r="707" spans="12:27" x14ac:dyDescent="0.25">
      <c r="L707" s="60" t="e">
        <f t="shared" si="22"/>
        <v>#N/A</v>
      </c>
      <c r="M707" s="42" t="e">
        <f t="shared" si="23"/>
        <v>#N/A</v>
      </c>
      <c r="U707">
        <v>3</v>
      </c>
      <c r="V707">
        <v>1</v>
      </c>
      <c r="W707" s="20" t="s">
        <v>200</v>
      </c>
      <c r="X707">
        <v>1</v>
      </c>
      <c r="Y707" s="20" t="s">
        <v>127</v>
      </c>
      <c r="Z707" s="7">
        <v>0.80694444444444446</v>
      </c>
      <c r="AA707" s="20" t="str">
        <f>grafico_sol1[[#This Row],[Value]]&amp;"|"&amp;grafico_sol1[[#This Row],[Numero Voltas]]</f>
        <v>0.806944444444444|3</v>
      </c>
    </row>
    <row r="708" spans="12:27" x14ac:dyDescent="0.25">
      <c r="L708" s="60" t="e">
        <f t="shared" si="22"/>
        <v>#N/A</v>
      </c>
      <c r="M708" s="42" t="e">
        <f t="shared" si="23"/>
        <v>#N/A</v>
      </c>
      <c r="U708">
        <v>3</v>
      </c>
      <c r="V708">
        <v>1</v>
      </c>
      <c r="W708" s="20" t="s">
        <v>228</v>
      </c>
      <c r="X708">
        <v>2</v>
      </c>
      <c r="Y708" s="20" t="s">
        <v>126</v>
      </c>
      <c r="Z708" s="7">
        <v>0.80763888888888891</v>
      </c>
      <c r="AA708" s="20" t="str">
        <f>grafico_sol1[[#This Row],[Value]]&amp;"|"&amp;grafico_sol1[[#This Row],[Numero Voltas]]</f>
        <v>0.807638888888889|3</v>
      </c>
    </row>
    <row r="709" spans="12:27" x14ac:dyDescent="0.25">
      <c r="L709" s="60" t="e">
        <f t="shared" si="22"/>
        <v>#N/A</v>
      </c>
      <c r="M709" s="42" t="e">
        <f t="shared" si="23"/>
        <v>#N/A</v>
      </c>
      <c r="U709">
        <v>3</v>
      </c>
      <c r="V709">
        <v>1</v>
      </c>
      <c r="W709" s="20" t="s">
        <v>228</v>
      </c>
      <c r="X709">
        <v>2</v>
      </c>
      <c r="Y709" s="20" t="s">
        <v>127</v>
      </c>
      <c r="Z709" s="7">
        <v>0.80763888888888891</v>
      </c>
      <c r="AA709" s="20" t="str">
        <f>grafico_sol1[[#This Row],[Value]]&amp;"|"&amp;grafico_sol1[[#This Row],[Numero Voltas]]</f>
        <v>0.807638888888889|3</v>
      </c>
    </row>
    <row r="710" spans="12:27" x14ac:dyDescent="0.25">
      <c r="L710" s="60" t="e">
        <f t="shared" si="22"/>
        <v>#N/A</v>
      </c>
      <c r="M710" s="42" t="e">
        <f t="shared" si="23"/>
        <v>#N/A</v>
      </c>
      <c r="U710">
        <v>3</v>
      </c>
      <c r="V710">
        <v>1</v>
      </c>
      <c r="W710" s="20" t="s">
        <v>228</v>
      </c>
      <c r="X710">
        <v>2</v>
      </c>
      <c r="Y710" s="20" t="s">
        <v>126</v>
      </c>
      <c r="Z710" s="7">
        <v>0.80763888888888891</v>
      </c>
      <c r="AA710" s="20" t="str">
        <f>grafico_sol1[[#This Row],[Value]]&amp;"|"&amp;grafico_sol1[[#This Row],[Numero Voltas]]</f>
        <v>0.807638888888889|3</v>
      </c>
    </row>
    <row r="711" spans="12:27" x14ac:dyDescent="0.25">
      <c r="L711" s="60" t="e">
        <f t="shared" si="22"/>
        <v>#N/A</v>
      </c>
      <c r="M711" s="42" t="e">
        <f t="shared" si="23"/>
        <v>#N/A</v>
      </c>
      <c r="U711">
        <v>2</v>
      </c>
      <c r="V711">
        <v>1</v>
      </c>
      <c r="W711" s="20" t="s">
        <v>2</v>
      </c>
      <c r="X711">
        <v>4</v>
      </c>
      <c r="Y711" s="20" t="s">
        <v>127</v>
      </c>
      <c r="Z711" s="7">
        <v>0.81597222222222221</v>
      </c>
      <c r="AA711" s="20" t="str">
        <f>grafico_sol1[[#This Row],[Value]]&amp;"|"&amp;grafico_sol1[[#This Row],[Numero Voltas]]</f>
        <v>0.815972222222222|2</v>
      </c>
    </row>
    <row r="712" spans="12:27" x14ac:dyDescent="0.25">
      <c r="L712" s="60" t="e">
        <f t="shared" si="22"/>
        <v>#N/A</v>
      </c>
      <c r="M712" s="42" t="e">
        <f t="shared" si="23"/>
        <v>#N/A</v>
      </c>
      <c r="U712">
        <v>2</v>
      </c>
      <c r="V712">
        <v>1</v>
      </c>
      <c r="W712" s="20" t="s">
        <v>208</v>
      </c>
      <c r="X712">
        <v>3</v>
      </c>
      <c r="Y712" s="20" t="s">
        <v>126</v>
      </c>
      <c r="Z712" s="7">
        <v>0.81944444444444442</v>
      </c>
      <c r="AA712" s="20" t="str">
        <f>grafico_sol1[[#This Row],[Value]]&amp;"|"&amp;grafico_sol1[[#This Row],[Numero Voltas]]</f>
        <v>0.819444444444444|2</v>
      </c>
    </row>
    <row r="713" spans="12:27" x14ac:dyDescent="0.25">
      <c r="L713" s="60" t="e">
        <f t="shared" si="22"/>
        <v>#N/A</v>
      </c>
      <c r="M713" s="42" t="e">
        <f t="shared" si="23"/>
        <v>#N/A</v>
      </c>
      <c r="U713">
        <v>2</v>
      </c>
      <c r="V713">
        <v>1</v>
      </c>
      <c r="W713" s="20" t="s">
        <v>208</v>
      </c>
      <c r="X713">
        <v>3</v>
      </c>
      <c r="Y713" s="20" t="s">
        <v>127</v>
      </c>
      <c r="Z713" s="7">
        <v>0.81944444444444442</v>
      </c>
      <c r="AA713" s="20" t="str">
        <f>grafico_sol1[[#This Row],[Value]]&amp;"|"&amp;grafico_sol1[[#This Row],[Numero Voltas]]</f>
        <v>0.819444444444444|2</v>
      </c>
    </row>
    <row r="714" spans="12:27" x14ac:dyDescent="0.25">
      <c r="L714" s="60" t="e">
        <f t="shared" si="22"/>
        <v>#N/A</v>
      </c>
      <c r="M714" s="42" t="e">
        <f t="shared" si="23"/>
        <v>#N/A</v>
      </c>
      <c r="U714">
        <v>3</v>
      </c>
      <c r="V714">
        <v>1</v>
      </c>
      <c r="W714" s="20" t="s">
        <v>228</v>
      </c>
      <c r="X714">
        <v>2</v>
      </c>
      <c r="Y714" s="20" t="s">
        <v>127</v>
      </c>
      <c r="Z714" s="7">
        <v>0.82013888888888886</v>
      </c>
      <c r="AA714" s="20" t="str">
        <f>grafico_sol1[[#This Row],[Value]]&amp;"|"&amp;grafico_sol1[[#This Row],[Numero Voltas]]</f>
        <v>0.820138888888889|3</v>
      </c>
    </row>
    <row r="715" spans="12:27" x14ac:dyDescent="0.25">
      <c r="L715" s="60" t="e">
        <f t="shared" si="22"/>
        <v>#N/A</v>
      </c>
      <c r="M715" s="42" t="e">
        <f t="shared" si="23"/>
        <v>#N/A</v>
      </c>
      <c r="U715">
        <v>2</v>
      </c>
      <c r="V715">
        <v>1</v>
      </c>
      <c r="W715" s="20" t="s">
        <v>228</v>
      </c>
      <c r="X715">
        <v>2</v>
      </c>
      <c r="Y715" s="20" t="s">
        <v>126</v>
      </c>
      <c r="Z715" s="7">
        <v>0.82152777777777775</v>
      </c>
      <c r="AA715" s="20" t="str">
        <f>grafico_sol1[[#This Row],[Value]]&amp;"|"&amp;grafico_sol1[[#This Row],[Numero Voltas]]</f>
        <v>0.821527777777778|2</v>
      </c>
    </row>
    <row r="716" spans="12:27" x14ac:dyDescent="0.25">
      <c r="L716" s="60" t="e">
        <f t="shared" si="22"/>
        <v>#N/A</v>
      </c>
      <c r="M716" s="42" t="e">
        <f t="shared" si="23"/>
        <v>#N/A</v>
      </c>
      <c r="U716">
        <v>2</v>
      </c>
      <c r="V716">
        <v>1</v>
      </c>
      <c r="W716" s="20" t="s">
        <v>228</v>
      </c>
      <c r="X716">
        <v>2</v>
      </c>
      <c r="Y716" s="20" t="s">
        <v>127</v>
      </c>
      <c r="Z716" s="7">
        <v>0.82152777777777775</v>
      </c>
      <c r="AA716" s="20" t="str">
        <f>grafico_sol1[[#This Row],[Value]]&amp;"|"&amp;grafico_sol1[[#This Row],[Numero Voltas]]</f>
        <v>0.821527777777778|2</v>
      </c>
    </row>
    <row r="717" spans="12:27" x14ac:dyDescent="0.25">
      <c r="L717" s="60" t="e">
        <f t="shared" si="22"/>
        <v>#N/A</v>
      </c>
      <c r="M717" s="42" t="e">
        <f t="shared" si="23"/>
        <v>#N/A</v>
      </c>
      <c r="U717">
        <v>2</v>
      </c>
      <c r="V717">
        <v>1</v>
      </c>
      <c r="W717" s="20" t="s">
        <v>228</v>
      </c>
      <c r="X717">
        <v>2</v>
      </c>
      <c r="Y717" s="20" t="s">
        <v>126</v>
      </c>
      <c r="Z717" s="7">
        <v>0.82152777777777775</v>
      </c>
      <c r="AA717" s="20" t="str">
        <f>grafico_sol1[[#This Row],[Value]]&amp;"|"&amp;grafico_sol1[[#This Row],[Numero Voltas]]</f>
        <v>0.821527777777778|2</v>
      </c>
    </row>
    <row r="718" spans="12:27" x14ac:dyDescent="0.25">
      <c r="L718" s="60" t="e">
        <f t="shared" si="22"/>
        <v>#N/A</v>
      </c>
      <c r="M718" s="42" t="e">
        <f t="shared" si="23"/>
        <v>#N/A</v>
      </c>
      <c r="U718">
        <v>3</v>
      </c>
      <c r="V718">
        <v>1</v>
      </c>
      <c r="W718" s="20" t="s">
        <v>208</v>
      </c>
      <c r="X718">
        <v>3</v>
      </c>
      <c r="Y718" s="20" t="s">
        <v>126</v>
      </c>
      <c r="Z718" s="7">
        <v>0.82222222222222219</v>
      </c>
      <c r="AA718" s="20" t="str">
        <f>grafico_sol1[[#This Row],[Value]]&amp;"|"&amp;grafico_sol1[[#This Row],[Numero Voltas]]</f>
        <v>0.822222222222222|3</v>
      </c>
    </row>
    <row r="719" spans="12:27" x14ac:dyDescent="0.25">
      <c r="L719" s="60" t="e">
        <f t="shared" si="22"/>
        <v>#N/A</v>
      </c>
      <c r="M719" s="42" t="e">
        <f t="shared" si="23"/>
        <v>#N/A</v>
      </c>
      <c r="U719">
        <v>3</v>
      </c>
      <c r="V719">
        <v>1</v>
      </c>
      <c r="W719" s="20" t="s">
        <v>208</v>
      </c>
      <c r="X719">
        <v>3</v>
      </c>
      <c r="Y719" s="20" t="s">
        <v>127</v>
      </c>
      <c r="Z719" s="7">
        <v>0.82222222222222219</v>
      </c>
      <c r="AA719" s="20" t="str">
        <f>grafico_sol1[[#This Row],[Value]]&amp;"|"&amp;grafico_sol1[[#This Row],[Numero Voltas]]</f>
        <v>0.822222222222222|3</v>
      </c>
    </row>
    <row r="720" spans="12:27" x14ac:dyDescent="0.25">
      <c r="L720" s="60" t="e">
        <f t="shared" si="22"/>
        <v>#N/A</v>
      </c>
      <c r="M720" s="42" t="e">
        <f t="shared" si="23"/>
        <v>#N/A</v>
      </c>
      <c r="U720">
        <v>3</v>
      </c>
      <c r="V720">
        <v>1</v>
      </c>
      <c r="W720" s="20" t="s">
        <v>208</v>
      </c>
      <c r="X720">
        <v>3</v>
      </c>
      <c r="Y720" s="20" t="s">
        <v>126</v>
      </c>
      <c r="Z720" s="7">
        <v>0.82222222222222219</v>
      </c>
      <c r="AA720" s="20" t="str">
        <f>grafico_sol1[[#This Row],[Value]]&amp;"|"&amp;grafico_sol1[[#This Row],[Numero Voltas]]</f>
        <v>0.822222222222222|3</v>
      </c>
    </row>
    <row r="721" spans="12:27" x14ac:dyDescent="0.25">
      <c r="L721" s="60" t="e">
        <f t="shared" si="22"/>
        <v>#N/A</v>
      </c>
      <c r="M721" s="42" t="e">
        <f t="shared" si="23"/>
        <v>#N/A</v>
      </c>
      <c r="U721">
        <v>3</v>
      </c>
      <c r="V721">
        <v>1</v>
      </c>
      <c r="W721" s="20" t="s">
        <v>208</v>
      </c>
      <c r="X721">
        <v>3</v>
      </c>
      <c r="Y721" s="20" t="s">
        <v>127</v>
      </c>
      <c r="Z721" s="7">
        <v>0.83125000000000004</v>
      </c>
      <c r="AA721" s="20" t="str">
        <f>grafico_sol1[[#This Row],[Value]]&amp;"|"&amp;grafico_sol1[[#This Row],[Numero Voltas]]</f>
        <v>0.83125|3</v>
      </c>
    </row>
    <row r="722" spans="12:27" x14ac:dyDescent="0.25">
      <c r="L722" s="60" t="e">
        <f t="shared" si="22"/>
        <v>#N/A</v>
      </c>
      <c r="M722" s="42" t="e">
        <f t="shared" si="23"/>
        <v>#N/A</v>
      </c>
      <c r="U722">
        <v>2</v>
      </c>
      <c r="V722">
        <v>1</v>
      </c>
      <c r="W722" s="20" t="s">
        <v>228</v>
      </c>
      <c r="X722">
        <v>2</v>
      </c>
      <c r="Y722" s="20" t="s">
        <v>127</v>
      </c>
      <c r="Z722" s="7">
        <v>0.83402777777777781</v>
      </c>
      <c r="AA722" s="20" t="str">
        <f>grafico_sol1[[#This Row],[Value]]&amp;"|"&amp;grafico_sol1[[#This Row],[Numero Voltas]]</f>
        <v>0.834027777777778|2</v>
      </c>
    </row>
    <row r="723" spans="12:27" x14ac:dyDescent="0.25">
      <c r="L723" s="60" t="e">
        <f t="shared" si="22"/>
        <v>#N/A</v>
      </c>
      <c r="M723" s="42" t="e">
        <f t="shared" si="23"/>
        <v>#N/A</v>
      </c>
      <c r="U723">
        <v>2</v>
      </c>
      <c r="V723">
        <v>1</v>
      </c>
      <c r="W723" s="20" t="s">
        <v>200</v>
      </c>
      <c r="X723">
        <v>1</v>
      </c>
      <c r="Y723" s="20" t="s">
        <v>126</v>
      </c>
      <c r="Z723" s="7">
        <v>0.83472222222222225</v>
      </c>
      <c r="AA723" s="20" t="str">
        <f>grafico_sol1[[#This Row],[Value]]&amp;"|"&amp;grafico_sol1[[#This Row],[Numero Voltas]]</f>
        <v>0.834722222222222|2</v>
      </c>
    </row>
    <row r="724" spans="12:27" x14ac:dyDescent="0.25">
      <c r="L724" s="60" t="e">
        <f t="shared" si="22"/>
        <v>#N/A</v>
      </c>
      <c r="M724" s="42" t="e">
        <f t="shared" si="23"/>
        <v>#N/A</v>
      </c>
      <c r="U724">
        <v>2</v>
      </c>
      <c r="V724">
        <v>1</v>
      </c>
      <c r="W724" s="20" t="s">
        <v>200</v>
      </c>
      <c r="X724">
        <v>1</v>
      </c>
      <c r="Y724" s="20" t="s">
        <v>127</v>
      </c>
      <c r="Z724" s="7">
        <v>0.83472222222222225</v>
      </c>
      <c r="AA724" s="20" t="str">
        <f>grafico_sol1[[#This Row],[Value]]&amp;"|"&amp;grafico_sol1[[#This Row],[Numero Voltas]]</f>
        <v>0.834722222222222|2</v>
      </c>
    </row>
    <row r="725" spans="12:27" x14ac:dyDescent="0.25">
      <c r="L725" s="60" t="e">
        <f t="shared" si="22"/>
        <v>#N/A</v>
      </c>
      <c r="M725" s="42" t="e">
        <f t="shared" si="23"/>
        <v>#N/A</v>
      </c>
      <c r="U725">
        <v>2</v>
      </c>
      <c r="V725">
        <v>1</v>
      </c>
      <c r="W725" s="20" t="s">
        <v>200</v>
      </c>
      <c r="X725">
        <v>1</v>
      </c>
      <c r="Y725" s="20" t="s">
        <v>126</v>
      </c>
      <c r="Z725" s="7">
        <v>0.83472222222222225</v>
      </c>
      <c r="AA725" s="20" t="str">
        <f>grafico_sol1[[#This Row],[Value]]&amp;"|"&amp;grafico_sol1[[#This Row],[Numero Voltas]]</f>
        <v>0.834722222222222|2</v>
      </c>
    </row>
    <row r="726" spans="12:27" x14ac:dyDescent="0.25">
      <c r="L726" s="60" t="e">
        <f t="shared" si="22"/>
        <v>#N/A</v>
      </c>
      <c r="M726" s="42" t="e">
        <f t="shared" si="23"/>
        <v>#N/A</v>
      </c>
      <c r="U726">
        <v>3</v>
      </c>
      <c r="V726">
        <v>1</v>
      </c>
      <c r="W726" s="20" t="s">
        <v>2</v>
      </c>
      <c r="X726">
        <v>4</v>
      </c>
      <c r="Y726" s="20" t="s">
        <v>126</v>
      </c>
      <c r="Z726" s="7">
        <v>0.83472222222222225</v>
      </c>
      <c r="AA726" s="20" t="str">
        <f>grafico_sol1[[#This Row],[Value]]&amp;"|"&amp;grafico_sol1[[#This Row],[Numero Voltas]]</f>
        <v>0.834722222222222|3</v>
      </c>
    </row>
    <row r="727" spans="12:27" x14ac:dyDescent="0.25">
      <c r="L727" s="60" t="e">
        <f t="shared" si="22"/>
        <v>#N/A</v>
      </c>
      <c r="M727" s="42" t="e">
        <f t="shared" si="23"/>
        <v>#N/A</v>
      </c>
      <c r="U727">
        <v>3</v>
      </c>
      <c r="V727">
        <v>1</v>
      </c>
      <c r="W727" s="20" t="s">
        <v>2</v>
      </c>
      <c r="X727">
        <v>4</v>
      </c>
      <c r="Y727" s="20" t="s">
        <v>127</v>
      </c>
      <c r="Z727" s="7">
        <v>0.83472222222222225</v>
      </c>
      <c r="AA727" s="20" t="str">
        <f>grafico_sol1[[#This Row],[Value]]&amp;"|"&amp;grafico_sol1[[#This Row],[Numero Voltas]]</f>
        <v>0.834722222222222|3</v>
      </c>
    </row>
    <row r="728" spans="12:27" x14ac:dyDescent="0.25">
      <c r="L728" s="60" t="e">
        <f t="shared" si="22"/>
        <v>#N/A</v>
      </c>
      <c r="M728" s="42" t="e">
        <f t="shared" si="23"/>
        <v>#N/A</v>
      </c>
      <c r="U728">
        <v>3</v>
      </c>
      <c r="V728">
        <v>1</v>
      </c>
      <c r="W728" s="20" t="s">
        <v>2</v>
      </c>
      <c r="X728">
        <v>4</v>
      </c>
      <c r="Y728" s="20" t="s">
        <v>126</v>
      </c>
      <c r="Z728" s="7">
        <v>0.83472222222222225</v>
      </c>
      <c r="AA728" s="20" t="str">
        <f>grafico_sol1[[#This Row],[Value]]&amp;"|"&amp;grafico_sol1[[#This Row],[Numero Voltas]]</f>
        <v>0.834722222222222|3</v>
      </c>
    </row>
    <row r="729" spans="12:27" x14ac:dyDescent="0.25">
      <c r="L729" s="60" t="e">
        <f t="shared" si="22"/>
        <v>#N/A</v>
      </c>
      <c r="M729" s="42" t="e">
        <f t="shared" si="23"/>
        <v>#N/A</v>
      </c>
      <c r="U729">
        <v>2</v>
      </c>
      <c r="V729">
        <v>1</v>
      </c>
      <c r="W729" s="20" t="s">
        <v>200</v>
      </c>
      <c r="X729">
        <v>1</v>
      </c>
      <c r="Y729" s="20" t="s">
        <v>127</v>
      </c>
      <c r="Z729" s="7">
        <v>0.83750000000000002</v>
      </c>
      <c r="AA729" s="20" t="str">
        <f>grafico_sol1[[#This Row],[Value]]&amp;"|"&amp;grafico_sol1[[#This Row],[Numero Voltas]]</f>
        <v>0.8375|2</v>
      </c>
    </row>
    <row r="730" spans="12:27" x14ac:dyDescent="0.25">
      <c r="L730" s="60" t="e">
        <f t="shared" si="22"/>
        <v>#N/A</v>
      </c>
      <c r="M730" s="42" t="e">
        <f t="shared" si="23"/>
        <v>#N/A</v>
      </c>
      <c r="U730">
        <v>2</v>
      </c>
      <c r="V730">
        <v>1</v>
      </c>
      <c r="W730" s="20" t="s">
        <v>203</v>
      </c>
      <c r="X730">
        <v>0</v>
      </c>
      <c r="Y730" s="20" t="s">
        <v>126</v>
      </c>
      <c r="Z730" s="7">
        <v>0.83888888888888891</v>
      </c>
      <c r="AA730" s="20" t="str">
        <f>grafico_sol1[[#This Row],[Value]]&amp;"|"&amp;grafico_sol1[[#This Row],[Numero Voltas]]</f>
        <v>0.838888888888889|2</v>
      </c>
    </row>
    <row r="731" spans="12:27" x14ac:dyDescent="0.25">
      <c r="L731" s="60" t="e">
        <f t="shared" si="22"/>
        <v>#N/A</v>
      </c>
      <c r="M731" s="42" t="e">
        <f t="shared" si="23"/>
        <v>#N/A</v>
      </c>
      <c r="U731">
        <v>2</v>
      </c>
      <c r="V731">
        <v>1</v>
      </c>
      <c r="W731" s="20" t="s">
        <v>203</v>
      </c>
      <c r="X731">
        <v>0</v>
      </c>
      <c r="Y731" s="20" t="s">
        <v>127</v>
      </c>
      <c r="Z731" s="7">
        <v>0.83888888888888891</v>
      </c>
      <c r="AA731" s="20" t="str">
        <f>grafico_sol1[[#This Row],[Value]]&amp;"|"&amp;grafico_sol1[[#This Row],[Numero Voltas]]</f>
        <v>0.838888888888889|2</v>
      </c>
    </row>
    <row r="732" spans="12:27" x14ac:dyDescent="0.25">
      <c r="L732" s="60" t="e">
        <f t="shared" si="22"/>
        <v>#N/A</v>
      </c>
      <c r="M732" s="42" t="e">
        <f t="shared" si="23"/>
        <v>#N/A</v>
      </c>
      <c r="U732">
        <v>2</v>
      </c>
      <c r="V732">
        <v>1</v>
      </c>
      <c r="W732" s="20" t="s">
        <v>203</v>
      </c>
      <c r="X732">
        <v>0</v>
      </c>
      <c r="Y732" s="20" t="s">
        <v>126</v>
      </c>
      <c r="Z732" s="7">
        <v>0.83888888888888891</v>
      </c>
      <c r="AA732" s="20" t="str">
        <f>grafico_sol1[[#This Row],[Value]]&amp;"|"&amp;grafico_sol1[[#This Row],[Numero Voltas]]</f>
        <v>0.838888888888889|2</v>
      </c>
    </row>
    <row r="733" spans="12:27" x14ac:dyDescent="0.25">
      <c r="L733" s="60" t="e">
        <f t="shared" si="22"/>
        <v>#N/A</v>
      </c>
      <c r="M733" s="42" t="e">
        <f t="shared" si="23"/>
        <v>#N/A</v>
      </c>
      <c r="U733">
        <v>3</v>
      </c>
      <c r="V733">
        <v>1</v>
      </c>
      <c r="W733" s="20" t="s">
        <v>2</v>
      </c>
      <c r="X733">
        <v>4</v>
      </c>
      <c r="Y733" s="20" t="s">
        <v>127</v>
      </c>
      <c r="Z733" s="7">
        <v>0.84375</v>
      </c>
      <c r="AA733" s="20" t="str">
        <f>grafico_sol1[[#This Row],[Value]]&amp;"|"&amp;grafico_sol1[[#This Row],[Numero Voltas]]</f>
        <v>0.84375|3</v>
      </c>
    </row>
    <row r="734" spans="12:27" x14ac:dyDescent="0.25">
      <c r="L734" s="60" t="e">
        <f t="shared" si="22"/>
        <v>#N/A</v>
      </c>
      <c r="M734" s="42" t="e">
        <f t="shared" si="23"/>
        <v>#N/A</v>
      </c>
      <c r="U734">
        <v>3</v>
      </c>
      <c r="V734">
        <v>1</v>
      </c>
      <c r="W734" s="20" t="s">
        <v>215</v>
      </c>
      <c r="X734">
        <v>5</v>
      </c>
      <c r="Y734" s="20" t="s">
        <v>126</v>
      </c>
      <c r="Z734" s="7">
        <v>0.84583333333333333</v>
      </c>
      <c r="AA734" s="20" t="str">
        <f>grafico_sol1[[#This Row],[Value]]&amp;"|"&amp;grafico_sol1[[#This Row],[Numero Voltas]]</f>
        <v>0.845833333333333|3</v>
      </c>
    </row>
    <row r="735" spans="12:27" x14ac:dyDescent="0.25">
      <c r="L735" s="60" t="e">
        <f t="shared" si="22"/>
        <v>#N/A</v>
      </c>
      <c r="M735" s="42" t="e">
        <f t="shared" si="23"/>
        <v>#N/A</v>
      </c>
      <c r="U735">
        <v>3</v>
      </c>
      <c r="V735">
        <v>1</v>
      </c>
      <c r="W735" s="20" t="s">
        <v>215</v>
      </c>
      <c r="X735">
        <v>5</v>
      </c>
      <c r="Y735" s="20" t="s">
        <v>127</v>
      </c>
      <c r="Z735" s="7">
        <v>0.84583333333333333</v>
      </c>
      <c r="AA735" s="20" t="str">
        <f>grafico_sol1[[#This Row],[Value]]&amp;"|"&amp;grafico_sol1[[#This Row],[Numero Voltas]]</f>
        <v>0.845833333333333|3</v>
      </c>
    </row>
    <row r="736" spans="12:27" x14ac:dyDescent="0.25">
      <c r="L736" s="60" t="e">
        <f t="shared" si="22"/>
        <v>#N/A</v>
      </c>
      <c r="M736" s="42" t="e">
        <f t="shared" si="23"/>
        <v>#N/A</v>
      </c>
      <c r="U736">
        <v>3</v>
      </c>
      <c r="V736">
        <v>1</v>
      </c>
      <c r="W736" s="20" t="s">
        <v>300</v>
      </c>
      <c r="X736">
        <v>6</v>
      </c>
      <c r="Y736" s="20" t="s">
        <v>126</v>
      </c>
      <c r="Z736" s="7">
        <v>0.84861111111111109</v>
      </c>
      <c r="AA736" s="20" t="str">
        <f>grafico_sol1[[#This Row],[Value]]&amp;"|"&amp;grafico_sol1[[#This Row],[Numero Voltas]]</f>
        <v>0.848611111111111|3</v>
      </c>
    </row>
    <row r="737" spans="12:27" x14ac:dyDescent="0.25">
      <c r="L737" s="60" t="e">
        <f t="shared" si="22"/>
        <v>#N/A</v>
      </c>
      <c r="M737" s="42" t="e">
        <f t="shared" si="23"/>
        <v>#N/A</v>
      </c>
      <c r="U737">
        <v>3</v>
      </c>
      <c r="V737">
        <v>1</v>
      </c>
      <c r="W737" s="20" t="s">
        <v>300</v>
      </c>
      <c r="X737">
        <v>6</v>
      </c>
      <c r="Y737" s="20" t="s">
        <v>127</v>
      </c>
      <c r="Z737" s="7">
        <v>0.84861111111111109</v>
      </c>
      <c r="AA737" s="20" t="str">
        <f>grafico_sol1[[#This Row],[Value]]&amp;"|"&amp;grafico_sol1[[#This Row],[Numero Voltas]]</f>
        <v>0.848611111111111|3</v>
      </c>
    </row>
    <row r="738" spans="12:27" x14ac:dyDescent="0.25">
      <c r="L738" s="60" t="e">
        <f t="shared" si="22"/>
        <v>#N/A</v>
      </c>
      <c r="M738" s="42" t="e">
        <f t="shared" si="23"/>
        <v>#N/A</v>
      </c>
      <c r="U738">
        <v>3</v>
      </c>
      <c r="V738">
        <v>1</v>
      </c>
      <c r="W738" s="20" t="s">
        <v>301</v>
      </c>
      <c r="X738">
        <v>7</v>
      </c>
      <c r="Y738" s="20" t="s">
        <v>126</v>
      </c>
      <c r="Z738" s="7">
        <v>0.85069444444444442</v>
      </c>
      <c r="AA738" s="20" t="str">
        <f>grafico_sol1[[#This Row],[Value]]&amp;"|"&amp;grafico_sol1[[#This Row],[Numero Voltas]]</f>
        <v>0.850694444444444|3</v>
      </c>
    </row>
    <row r="739" spans="12:27" x14ac:dyDescent="0.25">
      <c r="L739" s="60" t="e">
        <f t="shared" si="22"/>
        <v>#N/A</v>
      </c>
      <c r="M739" s="42" t="e">
        <f t="shared" si="23"/>
        <v>#N/A</v>
      </c>
      <c r="U739">
        <v>3</v>
      </c>
      <c r="V739">
        <v>1</v>
      </c>
      <c r="W739" s="20" t="s">
        <v>301</v>
      </c>
      <c r="X739">
        <v>7</v>
      </c>
      <c r="Y739" s="20" t="s">
        <v>127</v>
      </c>
      <c r="Z739" s="7">
        <v>0.85069444444444442</v>
      </c>
      <c r="AA739" s="20" t="str">
        <f>grafico_sol1[[#This Row],[Value]]&amp;"|"&amp;grafico_sol1[[#This Row],[Numero Voltas]]</f>
        <v>0.850694444444444|3</v>
      </c>
    </row>
    <row r="740" spans="12:27" x14ac:dyDescent="0.25">
      <c r="L740" s="60" t="e">
        <f t="shared" si="22"/>
        <v>#N/A</v>
      </c>
      <c r="M740" s="42" t="e">
        <f t="shared" si="23"/>
        <v>#N/A</v>
      </c>
      <c r="U740">
        <v>3</v>
      </c>
      <c r="V740">
        <v>1</v>
      </c>
      <c r="W740" s="20" t="s">
        <v>301</v>
      </c>
      <c r="X740">
        <v>7</v>
      </c>
      <c r="Y740" s="20" t="s">
        <v>126</v>
      </c>
      <c r="Z740" s="7">
        <v>0.85069444444444442</v>
      </c>
      <c r="AA740" s="20" t="str">
        <f>grafico_sol1[[#This Row],[Value]]&amp;"|"&amp;grafico_sol1[[#This Row],[Numero Voltas]]</f>
        <v>0.850694444444444|3</v>
      </c>
    </row>
    <row r="741" spans="12:27" x14ac:dyDescent="0.25">
      <c r="L741" s="60" t="e">
        <f t="shared" si="22"/>
        <v>#N/A</v>
      </c>
      <c r="M741" s="42" t="e">
        <f t="shared" si="23"/>
        <v>#N/A</v>
      </c>
      <c r="U741">
        <v>3</v>
      </c>
      <c r="V741">
        <v>1</v>
      </c>
      <c r="W741" s="20" t="s">
        <v>301</v>
      </c>
      <c r="X741">
        <v>7</v>
      </c>
      <c r="Y741" s="20" t="s">
        <v>127</v>
      </c>
      <c r="Z741" s="7">
        <v>0.85763888888888884</v>
      </c>
      <c r="AA741" s="20" t="str">
        <f>grafico_sol1[[#This Row],[Value]]&amp;"|"&amp;grafico_sol1[[#This Row],[Numero Voltas]]</f>
        <v>0.857638888888889|3</v>
      </c>
    </row>
    <row r="742" spans="12:27" x14ac:dyDescent="0.25">
      <c r="L742" s="60" t="e">
        <f t="shared" si="22"/>
        <v>#N/A</v>
      </c>
      <c r="M742" s="42" t="e">
        <f t="shared" si="23"/>
        <v>#N/A</v>
      </c>
      <c r="U742">
        <v>2</v>
      </c>
      <c r="V742">
        <v>1</v>
      </c>
      <c r="W742" s="20" t="s">
        <v>203</v>
      </c>
      <c r="X742">
        <v>0</v>
      </c>
      <c r="Y742" s="20" t="s">
        <v>127</v>
      </c>
      <c r="Z742" s="7">
        <v>0.85972222222222228</v>
      </c>
      <c r="AA742" s="20" t="str">
        <f>grafico_sol1[[#This Row],[Value]]&amp;"|"&amp;grafico_sol1[[#This Row],[Numero Voltas]]</f>
        <v>0.859722222222222|2</v>
      </c>
    </row>
    <row r="743" spans="12:27" x14ac:dyDescent="0.25">
      <c r="L743" s="60" t="e">
        <f t="shared" si="22"/>
        <v>#N/A</v>
      </c>
      <c r="M743" s="42" t="e">
        <f t="shared" si="23"/>
        <v>#N/A</v>
      </c>
      <c r="U743">
        <v>2</v>
      </c>
      <c r="V743">
        <v>1</v>
      </c>
      <c r="W743" s="20" t="s">
        <v>203</v>
      </c>
      <c r="X743">
        <v>0</v>
      </c>
      <c r="Y743" s="20" t="s">
        <v>126</v>
      </c>
      <c r="Z743" s="7">
        <v>0.85972222222222228</v>
      </c>
      <c r="AA743" s="20" t="str">
        <f>grafico_sol1[[#This Row],[Value]]&amp;"|"&amp;grafico_sol1[[#This Row],[Numero Voltas]]</f>
        <v>0.859722222222222|2</v>
      </c>
    </row>
    <row r="744" spans="12:27" x14ac:dyDescent="0.25">
      <c r="L744" s="60" t="e">
        <f t="shared" si="22"/>
        <v>#N/A</v>
      </c>
      <c r="M744" s="42" t="e">
        <f t="shared" si="23"/>
        <v>#N/A</v>
      </c>
      <c r="U744">
        <v>2</v>
      </c>
      <c r="V744">
        <v>1</v>
      </c>
      <c r="W744" s="20" t="s">
        <v>203</v>
      </c>
      <c r="X744">
        <v>0</v>
      </c>
      <c r="Y744" s="20" t="s">
        <v>127</v>
      </c>
      <c r="Z744" s="7">
        <v>0.85972222222222228</v>
      </c>
      <c r="AA744" s="20" t="str">
        <f>grafico_sol1[[#This Row],[Value]]&amp;"|"&amp;grafico_sol1[[#This Row],[Numero Voltas]]</f>
        <v>0.859722222222222|2</v>
      </c>
    </row>
    <row r="745" spans="12:27" x14ac:dyDescent="0.25">
      <c r="L745" s="60" t="e">
        <f t="shared" si="22"/>
        <v>#N/A</v>
      </c>
      <c r="M745" s="42" t="e">
        <f t="shared" si="23"/>
        <v>#N/A</v>
      </c>
      <c r="U745">
        <v>2</v>
      </c>
      <c r="V745">
        <v>1</v>
      </c>
      <c r="W745" s="20" t="s">
        <v>203</v>
      </c>
      <c r="X745">
        <v>0</v>
      </c>
      <c r="Y745" s="20" t="s">
        <v>126</v>
      </c>
      <c r="Z745" s="7">
        <v>0.85972222222222228</v>
      </c>
      <c r="AA745" s="20" t="str">
        <f>grafico_sol1[[#This Row],[Value]]&amp;"|"&amp;grafico_sol1[[#This Row],[Numero Voltas]]</f>
        <v>0.859722222222222|2</v>
      </c>
    </row>
    <row r="746" spans="12:27" x14ac:dyDescent="0.25">
      <c r="L746" s="60" t="e">
        <f t="shared" si="22"/>
        <v>#N/A</v>
      </c>
      <c r="M746" s="42" t="e">
        <f t="shared" si="23"/>
        <v>#N/A</v>
      </c>
      <c r="U746">
        <v>3</v>
      </c>
      <c r="V746">
        <v>1</v>
      </c>
      <c r="W746" s="20" t="s">
        <v>302</v>
      </c>
      <c r="X746">
        <v>8</v>
      </c>
      <c r="Y746" s="20" t="s">
        <v>126</v>
      </c>
      <c r="Z746" s="7">
        <v>0.8618055555555556</v>
      </c>
      <c r="AA746" s="20" t="str">
        <f>grafico_sol1[[#This Row],[Value]]&amp;"|"&amp;grafico_sol1[[#This Row],[Numero Voltas]]</f>
        <v>0.861805555555556|3</v>
      </c>
    </row>
    <row r="747" spans="12:27" x14ac:dyDescent="0.25">
      <c r="L747" s="60" t="e">
        <f t="shared" si="22"/>
        <v>#N/A</v>
      </c>
      <c r="M747" s="42" t="e">
        <f t="shared" si="23"/>
        <v>#N/A</v>
      </c>
      <c r="U747">
        <v>3</v>
      </c>
      <c r="V747">
        <v>1</v>
      </c>
      <c r="W747" s="20" t="s">
        <v>302</v>
      </c>
      <c r="X747">
        <v>8</v>
      </c>
      <c r="Y747" s="20" t="s">
        <v>127</v>
      </c>
      <c r="Z747" s="7">
        <v>0.8618055555555556</v>
      </c>
      <c r="AA747" s="20" t="str">
        <f>grafico_sol1[[#This Row],[Value]]&amp;"|"&amp;grafico_sol1[[#This Row],[Numero Voltas]]</f>
        <v>0.861805555555556|3</v>
      </c>
    </row>
    <row r="748" spans="12:27" x14ac:dyDescent="0.25">
      <c r="L748" s="60" t="e">
        <f t="shared" si="22"/>
        <v>#N/A</v>
      </c>
      <c r="M748" s="42" t="e">
        <f t="shared" si="23"/>
        <v>#N/A</v>
      </c>
      <c r="U748">
        <v>3</v>
      </c>
      <c r="V748">
        <v>1</v>
      </c>
      <c r="W748" s="20" t="s">
        <v>302</v>
      </c>
      <c r="X748">
        <v>8</v>
      </c>
      <c r="Y748" s="20" t="s">
        <v>126</v>
      </c>
      <c r="Z748" s="7">
        <v>0.8618055555555556</v>
      </c>
      <c r="AA748" s="20" t="str">
        <f>grafico_sol1[[#This Row],[Value]]&amp;"|"&amp;grafico_sol1[[#This Row],[Numero Voltas]]</f>
        <v>0.861805555555556|3</v>
      </c>
    </row>
    <row r="749" spans="12:27" x14ac:dyDescent="0.25">
      <c r="L749" s="60" t="e">
        <f t="shared" si="22"/>
        <v>#N/A</v>
      </c>
      <c r="M749" s="42" t="e">
        <f t="shared" si="23"/>
        <v>#N/A</v>
      </c>
      <c r="U749">
        <v>2</v>
      </c>
      <c r="V749">
        <v>1</v>
      </c>
      <c r="W749" s="20" t="s">
        <v>203</v>
      </c>
      <c r="X749">
        <v>0</v>
      </c>
      <c r="Y749" s="20" t="s">
        <v>127</v>
      </c>
      <c r="Z749" s="7">
        <v>0.86527777777777781</v>
      </c>
      <c r="AA749" s="20" t="str">
        <f>grafico_sol1[[#This Row],[Value]]&amp;"|"&amp;grafico_sol1[[#This Row],[Numero Voltas]]</f>
        <v>0.865277777777778|2</v>
      </c>
    </row>
    <row r="750" spans="12:27" x14ac:dyDescent="0.25">
      <c r="L750" s="60" t="e">
        <f t="shared" si="22"/>
        <v>#N/A</v>
      </c>
      <c r="M750" s="42" t="e">
        <f t="shared" si="23"/>
        <v>#N/A</v>
      </c>
      <c r="U750">
        <v>2</v>
      </c>
      <c r="V750">
        <v>1</v>
      </c>
      <c r="W750" s="20" t="s">
        <v>200</v>
      </c>
      <c r="X750">
        <v>1</v>
      </c>
      <c r="Y750" s="20" t="s">
        <v>126</v>
      </c>
      <c r="Z750" s="7">
        <v>0.8666666666666667</v>
      </c>
      <c r="AA750" s="20" t="str">
        <f>grafico_sol1[[#This Row],[Value]]&amp;"|"&amp;grafico_sol1[[#This Row],[Numero Voltas]]</f>
        <v>0.866666666666667|2</v>
      </c>
    </row>
    <row r="751" spans="12:27" x14ac:dyDescent="0.25">
      <c r="L751" s="60" t="e">
        <f t="shared" si="22"/>
        <v>#N/A</v>
      </c>
      <c r="M751" s="42" t="e">
        <f t="shared" si="23"/>
        <v>#N/A</v>
      </c>
      <c r="U751">
        <v>2</v>
      </c>
      <c r="V751">
        <v>1</v>
      </c>
      <c r="W751" s="20" t="s">
        <v>200</v>
      </c>
      <c r="X751">
        <v>1</v>
      </c>
      <c r="Y751" s="20" t="s">
        <v>127</v>
      </c>
      <c r="Z751" s="7">
        <v>0.8666666666666667</v>
      </c>
      <c r="AA751" s="20" t="str">
        <f>grafico_sol1[[#This Row],[Value]]&amp;"|"&amp;grafico_sol1[[#This Row],[Numero Voltas]]</f>
        <v>0.866666666666667|2</v>
      </c>
    </row>
    <row r="752" spans="12:27" x14ac:dyDescent="0.25">
      <c r="L752" s="60" t="e">
        <f t="shared" si="22"/>
        <v>#N/A</v>
      </c>
      <c r="M752" s="42" t="e">
        <f t="shared" si="23"/>
        <v>#N/A</v>
      </c>
      <c r="U752">
        <v>2</v>
      </c>
      <c r="V752">
        <v>1</v>
      </c>
      <c r="W752" s="20" t="s">
        <v>228</v>
      </c>
      <c r="X752">
        <v>2</v>
      </c>
      <c r="Y752" s="20" t="s">
        <v>126</v>
      </c>
      <c r="Z752" s="7">
        <v>0.8666666666666667</v>
      </c>
      <c r="AA752" s="20" t="str">
        <f>grafico_sol1[[#This Row],[Value]]&amp;"|"&amp;grafico_sol1[[#This Row],[Numero Voltas]]</f>
        <v>0.866666666666667|2</v>
      </c>
    </row>
    <row r="753" spans="12:27" x14ac:dyDescent="0.25">
      <c r="L753" s="60" t="e">
        <f t="shared" si="22"/>
        <v>#N/A</v>
      </c>
      <c r="M753" s="42" t="e">
        <f t="shared" si="23"/>
        <v>#N/A</v>
      </c>
      <c r="U753">
        <v>2</v>
      </c>
      <c r="V753">
        <v>1</v>
      </c>
      <c r="W753" s="20" t="s">
        <v>228</v>
      </c>
      <c r="X753">
        <v>2</v>
      </c>
      <c r="Y753" s="20" t="s">
        <v>127</v>
      </c>
      <c r="Z753" s="7">
        <v>0.8666666666666667</v>
      </c>
      <c r="AA753" s="20" t="str">
        <f>grafico_sol1[[#This Row],[Value]]&amp;"|"&amp;grafico_sol1[[#This Row],[Numero Voltas]]</f>
        <v>0.866666666666667|2</v>
      </c>
    </row>
    <row r="754" spans="12:27" x14ac:dyDescent="0.25">
      <c r="L754" s="60" t="e">
        <f t="shared" si="22"/>
        <v>#N/A</v>
      </c>
      <c r="M754" s="42" t="e">
        <f t="shared" si="23"/>
        <v>#N/A</v>
      </c>
      <c r="U754">
        <v>3</v>
      </c>
      <c r="V754">
        <v>1</v>
      </c>
      <c r="W754" s="20" t="s">
        <v>302</v>
      </c>
      <c r="X754">
        <v>8</v>
      </c>
      <c r="Y754" s="20" t="s">
        <v>127</v>
      </c>
      <c r="Z754" s="7">
        <v>0.86875000000000002</v>
      </c>
      <c r="AA754" s="20" t="str">
        <f>grafico_sol1[[#This Row],[Value]]&amp;"|"&amp;grafico_sol1[[#This Row],[Numero Voltas]]</f>
        <v>0.86875|3</v>
      </c>
    </row>
    <row r="755" spans="12:27" x14ac:dyDescent="0.25">
      <c r="L755" s="60" t="e">
        <f t="shared" si="22"/>
        <v>#N/A</v>
      </c>
      <c r="M755" s="42" t="e">
        <f t="shared" si="23"/>
        <v>#N/A</v>
      </c>
      <c r="U755">
        <v>2</v>
      </c>
      <c r="V755">
        <v>1</v>
      </c>
      <c r="W755" s="20" t="s">
        <v>208</v>
      </c>
      <c r="X755">
        <v>3</v>
      </c>
      <c r="Y755" s="20" t="s">
        <v>126</v>
      </c>
      <c r="Z755" s="7">
        <v>0.86944444444444446</v>
      </c>
      <c r="AA755" s="20" t="str">
        <f>grafico_sol1[[#This Row],[Value]]&amp;"|"&amp;grafico_sol1[[#This Row],[Numero Voltas]]</f>
        <v>0.869444444444444|2</v>
      </c>
    </row>
    <row r="756" spans="12:27" x14ac:dyDescent="0.25">
      <c r="L756" s="60" t="e">
        <f t="shared" si="22"/>
        <v>#N/A</v>
      </c>
      <c r="M756" s="42" t="e">
        <f t="shared" si="23"/>
        <v>#N/A</v>
      </c>
      <c r="U756">
        <v>2</v>
      </c>
      <c r="V756">
        <v>1</v>
      </c>
      <c r="W756" s="20" t="s">
        <v>208</v>
      </c>
      <c r="X756">
        <v>3</v>
      </c>
      <c r="Y756" s="20" t="s">
        <v>127</v>
      </c>
      <c r="Z756" s="7">
        <v>0.86944444444444446</v>
      </c>
      <c r="AA756" s="20" t="str">
        <f>grafico_sol1[[#This Row],[Value]]&amp;"|"&amp;grafico_sol1[[#This Row],[Numero Voltas]]</f>
        <v>0.869444444444444|2</v>
      </c>
    </row>
    <row r="757" spans="12:27" x14ac:dyDescent="0.25">
      <c r="L757" s="60" t="e">
        <f t="shared" si="22"/>
        <v>#N/A</v>
      </c>
      <c r="M757" s="42" t="e">
        <f t="shared" si="23"/>
        <v>#N/A</v>
      </c>
      <c r="U757">
        <v>2</v>
      </c>
      <c r="V757">
        <v>1</v>
      </c>
      <c r="W757" s="20" t="s">
        <v>2</v>
      </c>
      <c r="X757">
        <v>4</v>
      </c>
      <c r="Y757" s="20" t="s">
        <v>126</v>
      </c>
      <c r="Z757" s="7">
        <v>0.87222222222222223</v>
      </c>
      <c r="AA757" s="20" t="str">
        <f>grafico_sol1[[#This Row],[Value]]&amp;"|"&amp;grafico_sol1[[#This Row],[Numero Voltas]]</f>
        <v>0.872222222222222|2</v>
      </c>
    </row>
    <row r="758" spans="12:27" x14ac:dyDescent="0.25">
      <c r="L758" s="60" t="e">
        <f t="shared" si="22"/>
        <v>#N/A</v>
      </c>
      <c r="M758" s="42" t="e">
        <f t="shared" si="23"/>
        <v>#N/A</v>
      </c>
      <c r="U758">
        <v>2</v>
      </c>
      <c r="V758">
        <v>1</v>
      </c>
      <c r="W758" s="20" t="s">
        <v>2</v>
      </c>
      <c r="X758">
        <v>4</v>
      </c>
      <c r="Y758" s="20" t="s">
        <v>127</v>
      </c>
      <c r="Z758" s="7">
        <v>0.87222222222222223</v>
      </c>
      <c r="AA758" s="20" t="str">
        <f>grafico_sol1[[#This Row],[Value]]&amp;"|"&amp;grafico_sol1[[#This Row],[Numero Voltas]]</f>
        <v>0.872222222222222|2</v>
      </c>
    </row>
    <row r="759" spans="12:27" x14ac:dyDescent="0.25">
      <c r="L759" s="60" t="e">
        <f t="shared" ref="L759:L822" si="24">IF(Q759&lt;&gt;"",Q759,#N/A)</f>
        <v>#N/A</v>
      </c>
      <c r="M759" s="42" t="e">
        <f t="shared" ref="M759:M822" si="25">IF(R759&lt;&gt;"",R759,#N/A)</f>
        <v>#N/A</v>
      </c>
      <c r="U759">
        <v>3</v>
      </c>
      <c r="V759">
        <v>1</v>
      </c>
      <c r="W759" s="20" t="s">
        <v>303</v>
      </c>
      <c r="X759">
        <v>9</v>
      </c>
      <c r="Y759" s="20" t="s">
        <v>126</v>
      </c>
      <c r="Z759" s="7">
        <v>0.87291666666666667</v>
      </c>
      <c r="AA759" s="20" t="str">
        <f>grafico_sol1[[#This Row],[Value]]&amp;"|"&amp;grafico_sol1[[#This Row],[Numero Voltas]]</f>
        <v>0.872916666666667|3</v>
      </c>
    </row>
    <row r="760" spans="12:27" x14ac:dyDescent="0.25">
      <c r="L760" s="60" t="e">
        <f t="shared" si="24"/>
        <v>#N/A</v>
      </c>
      <c r="M760" s="42" t="e">
        <f t="shared" si="25"/>
        <v>#N/A</v>
      </c>
      <c r="U760">
        <v>3</v>
      </c>
      <c r="V760">
        <v>1</v>
      </c>
      <c r="W760" s="20" t="s">
        <v>303</v>
      </c>
      <c r="X760">
        <v>9</v>
      </c>
      <c r="Y760" s="20" t="s">
        <v>127</v>
      </c>
      <c r="Z760" s="7">
        <v>0.87291666666666667</v>
      </c>
      <c r="AA760" s="20" t="str">
        <f>grafico_sol1[[#This Row],[Value]]&amp;"|"&amp;grafico_sol1[[#This Row],[Numero Voltas]]</f>
        <v>0.872916666666667|3</v>
      </c>
    </row>
    <row r="761" spans="12:27" x14ac:dyDescent="0.25">
      <c r="L761" s="60" t="e">
        <f t="shared" si="24"/>
        <v>#N/A</v>
      </c>
      <c r="M761" s="42" t="e">
        <f t="shared" si="25"/>
        <v>#N/A</v>
      </c>
      <c r="U761">
        <v>3</v>
      </c>
      <c r="V761">
        <v>1</v>
      </c>
      <c r="W761" s="20" t="s">
        <v>303</v>
      </c>
      <c r="X761">
        <v>9</v>
      </c>
      <c r="Y761" s="20" t="s">
        <v>126</v>
      </c>
      <c r="Z761" s="7">
        <v>0.87291666666666667</v>
      </c>
      <c r="AA761" s="20" t="str">
        <f>grafico_sol1[[#This Row],[Value]]&amp;"|"&amp;grafico_sol1[[#This Row],[Numero Voltas]]</f>
        <v>0.872916666666667|3</v>
      </c>
    </row>
    <row r="762" spans="12:27" x14ac:dyDescent="0.25">
      <c r="L762" s="60" t="e">
        <f t="shared" si="24"/>
        <v>#N/A</v>
      </c>
      <c r="M762" s="42" t="e">
        <f t="shared" si="25"/>
        <v>#N/A</v>
      </c>
      <c r="U762">
        <v>3</v>
      </c>
      <c r="V762">
        <v>1</v>
      </c>
      <c r="W762" s="20" t="s">
        <v>303</v>
      </c>
      <c r="X762">
        <v>9</v>
      </c>
      <c r="Y762" s="20" t="s">
        <v>127</v>
      </c>
      <c r="Z762" s="7">
        <v>0.87291666666666667</v>
      </c>
      <c r="AA762" s="20" t="str">
        <f>grafico_sol1[[#This Row],[Value]]&amp;"|"&amp;grafico_sol1[[#This Row],[Numero Voltas]]</f>
        <v>0.872916666666667|3</v>
      </c>
    </row>
    <row r="763" spans="12:27" x14ac:dyDescent="0.25">
      <c r="L763" s="60" t="e">
        <f t="shared" si="24"/>
        <v>#N/A</v>
      </c>
      <c r="M763" s="42" t="e">
        <f t="shared" si="25"/>
        <v>#N/A</v>
      </c>
      <c r="U763">
        <v>2</v>
      </c>
      <c r="V763">
        <v>1</v>
      </c>
      <c r="W763" s="20" t="s">
        <v>215</v>
      </c>
      <c r="X763">
        <v>5</v>
      </c>
      <c r="Y763" s="20" t="s">
        <v>126</v>
      </c>
      <c r="Z763" s="7">
        <v>0.875</v>
      </c>
      <c r="AA763" s="20" t="str">
        <f>grafico_sol1[[#This Row],[Value]]&amp;"|"&amp;grafico_sol1[[#This Row],[Numero Voltas]]</f>
        <v>0.875|2</v>
      </c>
    </row>
    <row r="764" spans="12:27" x14ac:dyDescent="0.25">
      <c r="L764" s="60" t="e">
        <f t="shared" si="24"/>
        <v>#N/A</v>
      </c>
      <c r="M764" s="42" t="e">
        <f t="shared" si="25"/>
        <v>#N/A</v>
      </c>
      <c r="U764">
        <v>2</v>
      </c>
      <c r="V764">
        <v>1</v>
      </c>
      <c r="W764" s="20" t="s">
        <v>215</v>
      </c>
      <c r="X764">
        <v>5</v>
      </c>
      <c r="Y764" s="20" t="s">
        <v>127</v>
      </c>
      <c r="Z764" s="7">
        <v>0.875</v>
      </c>
      <c r="AA764" s="20" t="str">
        <f>grafico_sol1[[#This Row],[Value]]&amp;"|"&amp;grafico_sol1[[#This Row],[Numero Voltas]]</f>
        <v>0.875|2</v>
      </c>
    </row>
    <row r="765" spans="12:27" x14ac:dyDescent="0.25">
      <c r="L765" s="60" t="e">
        <f t="shared" si="24"/>
        <v>#N/A</v>
      </c>
      <c r="M765" s="42" t="e">
        <f t="shared" si="25"/>
        <v>#N/A</v>
      </c>
      <c r="U765">
        <v>2</v>
      </c>
      <c r="V765">
        <v>1</v>
      </c>
      <c r="W765" s="20" t="s">
        <v>215</v>
      </c>
      <c r="X765">
        <v>5</v>
      </c>
      <c r="Y765" s="20" t="s">
        <v>126</v>
      </c>
      <c r="Z765" s="7">
        <v>0.875</v>
      </c>
      <c r="AA765" s="20" t="str">
        <f>grafico_sol1[[#This Row],[Value]]&amp;"|"&amp;grafico_sol1[[#This Row],[Numero Voltas]]</f>
        <v>0.875|2</v>
      </c>
    </row>
    <row r="766" spans="12:27" x14ac:dyDescent="0.25">
      <c r="L766" s="60" t="e">
        <f t="shared" si="24"/>
        <v>#N/A</v>
      </c>
      <c r="M766" s="42" t="e">
        <f t="shared" si="25"/>
        <v>#N/A</v>
      </c>
      <c r="U766">
        <v>2</v>
      </c>
      <c r="V766">
        <v>1</v>
      </c>
      <c r="W766" s="20" t="s">
        <v>215</v>
      </c>
      <c r="X766">
        <v>5</v>
      </c>
      <c r="Y766" s="20" t="s">
        <v>127</v>
      </c>
      <c r="Z766" s="7">
        <v>0.875</v>
      </c>
      <c r="AA766" s="20" t="str">
        <f>grafico_sol1[[#This Row],[Value]]&amp;"|"&amp;grafico_sol1[[#This Row],[Numero Voltas]]</f>
        <v>0.875|2</v>
      </c>
    </row>
    <row r="767" spans="12:27" x14ac:dyDescent="0.25">
      <c r="L767" s="60" t="e">
        <f t="shared" si="24"/>
        <v>#N/A</v>
      </c>
      <c r="M767" s="42" t="e">
        <f t="shared" si="25"/>
        <v>#N/A</v>
      </c>
      <c r="U767">
        <v>3</v>
      </c>
      <c r="V767">
        <v>1</v>
      </c>
      <c r="W767" s="20" t="s">
        <v>302</v>
      </c>
      <c r="X767">
        <v>8</v>
      </c>
      <c r="Y767" s="20" t="s">
        <v>126</v>
      </c>
      <c r="Z767" s="7">
        <v>0.87708333333333333</v>
      </c>
      <c r="AA767" s="20" t="str">
        <f>grafico_sol1[[#This Row],[Value]]&amp;"|"&amp;grafico_sol1[[#This Row],[Numero Voltas]]</f>
        <v>0.877083333333333|3</v>
      </c>
    </row>
    <row r="768" spans="12:27" x14ac:dyDescent="0.25">
      <c r="L768" s="60" t="e">
        <f t="shared" si="24"/>
        <v>#N/A</v>
      </c>
      <c r="M768" s="42" t="e">
        <f t="shared" si="25"/>
        <v>#N/A</v>
      </c>
      <c r="U768">
        <v>3</v>
      </c>
      <c r="V768">
        <v>1</v>
      </c>
      <c r="W768" s="20" t="s">
        <v>302</v>
      </c>
      <c r="X768">
        <v>8</v>
      </c>
      <c r="Y768" s="20" t="s">
        <v>127</v>
      </c>
      <c r="Z768" s="7">
        <v>0.87708333333333333</v>
      </c>
      <c r="AA768" s="20" t="str">
        <f>grafico_sol1[[#This Row],[Value]]&amp;"|"&amp;grafico_sol1[[#This Row],[Numero Voltas]]</f>
        <v>0.877083333333333|3</v>
      </c>
    </row>
    <row r="769" spans="12:27" x14ac:dyDescent="0.25">
      <c r="L769" s="60" t="e">
        <f t="shared" si="24"/>
        <v>#N/A</v>
      </c>
      <c r="M769" s="42" t="e">
        <f t="shared" si="25"/>
        <v>#N/A</v>
      </c>
      <c r="U769">
        <v>3</v>
      </c>
      <c r="V769">
        <v>1</v>
      </c>
      <c r="W769" s="20" t="s">
        <v>302</v>
      </c>
      <c r="X769">
        <v>8</v>
      </c>
      <c r="Y769" s="20" t="s">
        <v>126</v>
      </c>
      <c r="Z769" s="7">
        <v>0.87708333333333333</v>
      </c>
      <c r="AA769" s="20" t="str">
        <f>grafico_sol1[[#This Row],[Value]]&amp;"|"&amp;grafico_sol1[[#This Row],[Numero Voltas]]</f>
        <v>0.877083333333333|3</v>
      </c>
    </row>
    <row r="770" spans="12:27" x14ac:dyDescent="0.25">
      <c r="L770" s="60" t="e">
        <f t="shared" si="24"/>
        <v>#N/A</v>
      </c>
      <c r="M770" s="42" t="e">
        <f t="shared" si="25"/>
        <v>#N/A</v>
      </c>
      <c r="U770">
        <v>2</v>
      </c>
      <c r="V770">
        <v>1</v>
      </c>
      <c r="W770" s="20" t="s">
        <v>300</v>
      </c>
      <c r="X770">
        <v>6</v>
      </c>
      <c r="Y770" s="20" t="s">
        <v>126</v>
      </c>
      <c r="Z770" s="7">
        <v>0.87777777777777777</v>
      </c>
      <c r="AA770" s="20" t="str">
        <f>grafico_sol1[[#This Row],[Value]]&amp;"|"&amp;grafico_sol1[[#This Row],[Numero Voltas]]</f>
        <v>0.877777777777778|2</v>
      </c>
    </row>
    <row r="771" spans="12:27" x14ac:dyDescent="0.25">
      <c r="L771" s="60" t="e">
        <f t="shared" si="24"/>
        <v>#N/A</v>
      </c>
      <c r="M771" s="42" t="e">
        <f t="shared" si="25"/>
        <v>#N/A</v>
      </c>
      <c r="U771">
        <v>2</v>
      </c>
      <c r="V771">
        <v>1</v>
      </c>
      <c r="W771" s="20" t="s">
        <v>300</v>
      </c>
      <c r="X771">
        <v>6</v>
      </c>
      <c r="Y771" s="20" t="s">
        <v>127</v>
      </c>
      <c r="Z771" s="7">
        <v>0.87777777777777777</v>
      </c>
      <c r="AA771" s="20" t="str">
        <f>grafico_sol1[[#This Row],[Value]]&amp;"|"&amp;grafico_sol1[[#This Row],[Numero Voltas]]</f>
        <v>0.877777777777778|2</v>
      </c>
    </row>
    <row r="772" spans="12:27" x14ac:dyDescent="0.25">
      <c r="L772" s="60" t="e">
        <f t="shared" si="24"/>
        <v>#N/A</v>
      </c>
      <c r="M772" s="42" t="e">
        <f t="shared" si="25"/>
        <v>#N/A</v>
      </c>
      <c r="U772">
        <v>2</v>
      </c>
      <c r="V772">
        <v>1</v>
      </c>
      <c r="W772" s="20" t="s">
        <v>300</v>
      </c>
      <c r="X772">
        <v>6</v>
      </c>
      <c r="Y772" s="20" t="s">
        <v>126</v>
      </c>
      <c r="Z772" s="7">
        <v>0.87777777777777777</v>
      </c>
      <c r="AA772" s="20" t="str">
        <f>grafico_sol1[[#This Row],[Value]]&amp;"|"&amp;grafico_sol1[[#This Row],[Numero Voltas]]</f>
        <v>0.877777777777778|2</v>
      </c>
    </row>
    <row r="773" spans="12:27" x14ac:dyDescent="0.25">
      <c r="L773" s="60" t="e">
        <f t="shared" si="24"/>
        <v>#N/A</v>
      </c>
      <c r="M773" s="42" t="e">
        <f t="shared" si="25"/>
        <v>#N/A</v>
      </c>
      <c r="U773">
        <v>2</v>
      </c>
      <c r="V773">
        <v>1</v>
      </c>
      <c r="W773" s="20" t="s">
        <v>300</v>
      </c>
      <c r="X773">
        <v>6</v>
      </c>
      <c r="Y773" s="20" t="s">
        <v>127</v>
      </c>
      <c r="Z773" s="7">
        <v>0.87777777777777777</v>
      </c>
      <c r="AA773" s="20" t="str">
        <f>grafico_sol1[[#This Row],[Value]]&amp;"|"&amp;grafico_sol1[[#This Row],[Numero Voltas]]</f>
        <v>0.877777777777778|2</v>
      </c>
    </row>
    <row r="774" spans="12:27" x14ac:dyDescent="0.25">
      <c r="L774" s="60" t="e">
        <f t="shared" si="24"/>
        <v>#N/A</v>
      </c>
      <c r="M774" s="42" t="e">
        <f t="shared" si="25"/>
        <v>#N/A</v>
      </c>
      <c r="U774">
        <v>2</v>
      </c>
      <c r="V774">
        <v>1</v>
      </c>
      <c r="W774" s="20" t="s">
        <v>301</v>
      </c>
      <c r="X774">
        <v>7</v>
      </c>
      <c r="Y774" s="20" t="s">
        <v>126</v>
      </c>
      <c r="Z774" s="7">
        <v>0.87916666666666665</v>
      </c>
      <c r="AA774" s="20" t="str">
        <f>grafico_sol1[[#This Row],[Value]]&amp;"|"&amp;grafico_sol1[[#This Row],[Numero Voltas]]</f>
        <v>0.879166666666667|2</v>
      </c>
    </row>
    <row r="775" spans="12:27" x14ac:dyDescent="0.25">
      <c r="L775" s="60" t="e">
        <f t="shared" si="24"/>
        <v>#N/A</v>
      </c>
      <c r="M775" s="42" t="e">
        <f t="shared" si="25"/>
        <v>#N/A</v>
      </c>
      <c r="U775">
        <v>2</v>
      </c>
      <c r="V775">
        <v>1</v>
      </c>
      <c r="W775" s="20" t="s">
        <v>301</v>
      </c>
      <c r="X775">
        <v>7</v>
      </c>
      <c r="Y775" s="20" t="s">
        <v>127</v>
      </c>
      <c r="Z775" s="7">
        <v>0.87916666666666665</v>
      </c>
      <c r="AA775" s="20" t="str">
        <f>grafico_sol1[[#This Row],[Value]]&amp;"|"&amp;grafico_sol1[[#This Row],[Numero Voltas]]</f>
        <v>0.879166666666667|2</v>
      </c>
    </row>
    <row r="776" spans="12:27" x14ac:dyDescent="0.25">
      <c r="L776" s="60" t="e">
        <f t="shared" si="24"/>
        <v>#N/A</v>
      </c>
      <c r="M776" s="42" t="e">
        <f t="shared" si="25"/>
        <v>#N/A</v>
      </c>
      <c r="U776">
        <v>2</v>
      </c>
      <c r="V776">
        <v>1</v>
      </c>
      <c r="W776" s="20" t="s">
        <v>302</v>
      </c>
      <c r="X776">
        <v>8</v>
      </c>
      <c r="Y776" s="20" t="s">
        <v>126</v>
      </c>
      <c r="Z776" s="7">
        <v>0.8833333333333333</v>
      </c>
      <c r="AA776" s="20" t="str">
        <f>grafico_sol1[[#This Row],[Value]]&amp;"|"&amp;grafico_sol1[[#This Row],[Numero Voltas]]</f>
        <v>0.883333333333333|2</v>
      </c>
    </row>
    <row r="777" spans="12:27" x14ac:dyDescent="0.25">
      <c r="L777" s="60" t="e">
        <f t="shared" si="24"/>
        <v>#N/A</v>
      </c>
      <c r="M777" s="42" t="e">
        <f t="shared" si="25"/>
        <v>#N/A</v>
      </c>
      <c r="U777">
        <v>2</v>
      </c>
      <c r="V777">
        <v>1</v>
      </c>
      <c r="W777" s="20" t="s">
        <v>302</v>
      </c>
      <c r="X777">
        <v>8</v>
      </c>
      <c r="Y777" s="20" t="s">
        <v>127</v>
      </c>
      <c r="Z777" s="7">
        <v>0.8833333333333333</v>
      </c>
      <c r="AA777" s="20" t="str">
        <f>grafico_sol1[[#This Row],[Value]]&amp;"|"&amp;grafico_sol1[[#This Row],[Numero Voltas]]</f>
        <v>0.883333333333333|2</v>
      </c>
    </row>
    <row r="778" spans="12:27" x14ac:dyDescent="0.25">
      <c r="L778" s="60" t="e">
        <f t="shared" si="24"/>
        <v>#N/A</v>
      </c>
      <c r="M778" s="42" t="e">
        <f t="shared" si="25"/>
        <v>#N/A</v>
      </c>
      <c r="U778">
        <v>3</v>
      </c>
      <c r="V778">
        <v>1</v>
      </c>
      <c r="W778" s="20" t="s">
        <v>302</v>
      </c>
      <c r="X778">
        <v>8</v>
      </c>
      <c r="Y778" s="20" t="s">
        <v>127</v>
      </c>
      <c r="Z778" s="7">
        <v>0.88402777777777775</v>
      </c>
      <c r="AA778" s="20" t="str">
        <f>grafico_sol1[[#This Row],[Value]]&amp;"|"&amp;grafico_sol1[[#This Row],[Numero Voltas]]</f>
        <v>0.884027777777778|3</v>
      </c>
    </row>
    <row r="779" spans="12:27" x14ac:dyDescent="0.25">
      <c r="L779" s="60" t="e">
        <f t="shared" si="24"/>
        <v>#N/A</v>
      </c>
      <c r="M779" s="42" t="e">
        <f t="shared" si="25"/>
        <v>#N/A</v>
      </c>
      <c r="U779">
        <v>2</v>
      </c>
      <c r="V779">
        <v>1</v>
      </c>
      <c r="W779" s="20" t="s">
        <v>303</v>
      </c>
      <c r="X779">
        <v>9</v>
      </c>
      <c r="Y779" s="20" t="s">
        <v>126</v>
      </c>
      <c r="Z779" s="7">
        <v>0.88749999999999996</v>
      </c>
      <c r="AA779" s="20" t="str">
        <f>grafico_sol1[[#This Row],[Value]]&amp;"|"&amp;grafico_sol1[[#This Row],[Numero Voltas]]</f>
        <v>0.8875|2</v>
      </c>
    </row>
    <row r="780" spans="12:27" x14ac:dyDescent="0.25">
      <c r="L780" s="60" t="e">
        <f t="shared" si="24"/>
        <v>#N/A</v>
      </c>
      <c r="M780" s="42" t="e">
        <f t="shared" si="25"/>
        <v>#N/A</v>
      </c>
      <c r="U780">
        <v>2</v>
      </c>
      <c r="V780">
        <v>1</v>
      </c>
      <c r="W780" s="20" t="s">
        <v>303</v>
      </c>
      <c r="X780">
        <v>9</v>
      </c>
      <c r="Y780" s="20" t="s">
        <v>127</v>
      </c>
      <c r="Z780" s="7">
        <v>0.88749999999999996</v>
      </c>
      <c r="AA780" s="20" t="str">
        <f>grafico_sol1[[#This Row],[Value]]&amp;"|"&amp;grafico_sol1[[#This Row],[Numero Voltas]]</f>
        <v>0.8875|2</v>
      </c>
    </row>
    <row r="781" spans="12:27" x14ac:dyDescent="0.25">
      <c r="L781" s="60" t="e">
        <f t="shared" si="24"/>
        <v>#N/A</v>
      </c>
      <c r="M781" s="42" t="e">
        <f t="shared" si="25"/>
        <v>#N/A</v>
      </c>
      <c r="U781">
        <v>2</v>
      </c>
      <c r="V781">
        <v>1</v>
      </c>
      <c r="W781" s="20" t="s">
        <v>303</v>
      </c>
      <c r="X781">
        <v>9</v>
      </c>
      <c r="Y781" s="20" t="s">
        <v>126</v>
      </c>
      <c r="Z781" s="7">
        <v>0.88749999999999996</v>
      </c>
      <c r="AA781" s="20" t="str">
        <f>grafico_sol1[[#This Row],[Value]]&amp;"|"&amp;grafico_sol1[[#This Row],[Numero Voltas]]</f>
        <v>0.8875|2</v>
      </c>
    </row>
    <row r="782" spans="12:27" x14ac:dyDescent="0.25">
      <c r="L782" s="60" t="e">
        <f t="shared" si="24"/>
        <v>#N/A</v>
      </c>
      <c r="M782" s="42" t="e">
        <f t="shared" si="25"/>
        <v>#N/A</v>
      </c>
      <c r="U782">
        <v>2</v>
      </c>
      <c r="V782">
        <v>1</v>
      </c>
      <c r="W782" s="20" t="s">
        <v>303</v>
      </c>
      <c r="X782">
        <v>9</v>
      </c>
      <c r="Y782" s="20" t="s">
        <v>127</v>
      </c>
      <c r="Z782" s="7">
        <v>0.88749999999999996</v>
      </c>
      <c r="AA782" s="20" t="str">
        <f>grafico_sol1[[#This Row],[Value]]&amp;"|"&amp;grafico_sol1[[#This Row],[Numero Voltas]]</f>
        <v>0.8875|2</v>
      </c>
    </row>
    <row r="783" spans="12:27" x14ac:dyDescent="0.25">
      <c r="L783" s="60" t="e">
        <f t="shared" si="24"/>
        <v>#N/A</v>
      </c>
      <c r="M783" s="42" t="e">
        <f t="shared" si="25"/>
        <v>#N/A</v>
      </c>
      <c r="U783">
        <v>3</v>
      </c>
      <c r="V783">
        <v>1</v>
      </c>
      <c r="W783" s="20" t="s">
        <v>301</v>
      </c>
      <c r="X783">
        <v>7</v>
      </c>
      <c r="Y783" s="20" t="s">
        <v>126</v>
      </c>
      <c r="Z783" s="7">
        <v>0.8881944444444444</v>
      </c>
      <c r="AA783" s="20" t="str">
        <f>grafico_sol1[[#This Row],[Value]]&amp;"|"&amp;grafico_sol1[[#This Row],[Numero Voltas]]</f>
        <v>0.888194444444444|3</v>
      </c>
    </row>
    <row r="784" spans="12:27" x14ac:dyDescent="0.25">
      <c r="L784" s="60" t="e">
        <f t="shared" si="24"/>
        <v>#N/A</v>
      </c>
      <c r="M784" s="42" t="e">
        <f t="shared" si="25"/>
        <v>#N/A</v>
      </c>
      <c r="U784">
        <v>3</v>
      </c>
      <c r="V784">
        <v>1</v>
      </c>
      <c r="W784" s="20" t="s">
        <v>301</v>
      </c>
      <c r="X784">
        <v>7</v>
      </c>
      <c r="Y784" s="20" t="s">
        <v>127</v>
      </c>
      <c r="Z784" s="7">
        <v>0.8881944444444444</v>
      </c>
      <c r="AA784" s="20" t="str">
        <f>grafico_sol1[[#This Row],[Value]]&amp;"|"&amp;grafico_sol1[[#This Row],[Numero Voltas]]</f>
        <v>0.888194444444444|3</v>
      </c>
    </row>
    <row r="785" spans="12:27" x14ac:dyDescent="0.25">
      <c r="L785" s="60" t="e">
        <f t="shared" si="24"/>
        <v>#N/A</v>
      </c>
      <c r="M785" s="42" t="e">
        <f t="shared" si="25"/>
        <v>#N/A</v>
      </c>
      <c r="U785">
        <v>3</v>
      </c>
      <c r="V785">
        <v>1</v>
      </c>
      <c r="W785" s="20" t="s">
        <v>300</v>
      </c>
      <c r="X785">
        <v>6</v>
      </c>
      <c r="Y785" s="20" t="s">
        <v>126</v>
      </c>
      <c r="Z785" s="7">
        <v>0.89027777777777772</v>
      </c>
      <c r="AA785" s="20" t="str">
        <f>grafico_sol1[[#This Row],[Value]]&amp;"|"&amp;grafico_sol1[[#This Row],[Numero Voltas]]</f>
        <v>0.890277777777778|3</v>
      </c>
    </row>
    <row r="786" spans="12:27" x14ac:dyDescent="0.25">
      <c r="L786" s="60" t="e">
        <f t="shared" si="24"/>
        <v>#N/A</v>
      </c>
      <c r="M786" s="42" t="e">
        <f t="shared" si="25"/>
        <v>#N/A</v>
      </c>
      <c r="U786">
        <v>3</v>
      </c>
      <c r="V786">
        <v>1</v>
      </c>
      <c r="W786" s="20" t="s">
        <v>300</v>
      </c>
      <c r="X786">
        <v>6</v>
      </c>
      <c r="Y786" s="20" t="s">
        <v>127</v>
      </c>
      <c r="Z786" s="7">
        <v>0.89027777777777772</v>
      </c>
      <c r="AA786" s="20" t="str">
        <f>grafico_sol1[[#This Row],[Value]]&amp;"|"&amp;grafico_sol1[[#This Row],[Numero Voltas]]</f>
        <v>0.890277777777778|3</v>
      </c>
    </row>
    <row r="787" spans="12:27" x14ac:dyDescent="0.25">
      <c r="L787" s="60" t="e">
        <f t="shared" si="24"/>
        <v>#N/A</v>
      </c>
      <c r="M787" s="42" t="e">
        <f t="shared" si="25"/>
        <v>#N/A</v>
      </c>
      <c r="U787">
        <v>2</v>
      </c>
      <c r="V787">
        <v>1</v>
      </c>
      <c r="W787" s="20" t="s">
        <v>302</v>
      </c>
      <c r="X787">
        <v>8</v>
      </c>
      <c r="Y787" s="20" t="s">
        <v>126</v>
      </c>
      <c r="Z787" s="7">
        <v>0.89166666666666672</v>
      </c>
      <c r="AA787" s="20" t="str">
        <f>grafico_sol1[[#This Row],[Value]]&amp;"|"&amp;grafico_sol1[[#This Row],[Numero Voltas]]</f>
        <v>0.891666666666667|2</v>
      </c>
    </row>
    <row r="788" spans="12:27" x14ac:dyDescent="0.25">
      <c r="L788" s="60" t="e">
        <f t="shared" si="24"/>
        <v>#N/A</v>
      </c>
      <c r="M788" s="42" t="e">
        <f t="shared" si="25"/>
        <v>#N/A</v>
      </c>
      <c r="U788">
        <v>2</v>
      </c>
      <c r="V788">
        <v>1</v>
      </c>
      <c r="W788" s="20" t="s">
        <v>302</v>
      </c>
      <c r="X788">
        <v>8</v>
      </c>
      <c r="Y788" s="20" t="s">
        <v>127</v>
      </c>
      <c r="Z788" s="7">
        <v>0.89166666666666672</v>
      </c>
      <c r="AA788" s="20" t="str">
        <f>grafico_sol1[[#This Row],[Value]]&amp;"|"&amp;grafico_sol1[[#This Row],[Numero Voltas]]</f>
        <v>0.891666666666667|2</v>
      </c>
    </row>
    <row r="789" spans="12:27" x14ac:dyDescent="0.25">
      <c r="L789" s="60" t="e">
        <f t="shared" si="24"/>
        <v>#N/A</v>
      </c>
      <c r="M789" s="42" t="e">
        <f t="shared" si="25"/>
        <v>#N/A</v>
      </c>
      <c r="U789">
        <v>2</v>
      </c>
      <c r="V789">
        <v>1</v>
      </c>
      <c r="W789" s="20" t="s">
        <v>302</v>
      </c>
      <c r="X789">
        <v>8</v>
      </c>
      <c r="Y789" s="20" t="s">
        <v>126</v>
      </c>
      <c r="Z789" s="7">
        <v>0.89166666666666672</v>
      </c>
      <c r="AA789" s="20" t="str">
        <f>grafico_sol1[[#This Row],[Value]]&amp;"|"&amp;grafico_sol1[[#This Row],[Numero Voltas]]</f>
        <v>0.891666666666667|2</v>
      </c>
    </row>
    <row r="790" spans="12:27" x14ac:dyDescent="0.25">
      <c r="L790" s="60" t="e">
        <f t="shared" si="24"/>
        <v>#N/A</v>
      </c>
      <c r="M790" s="42" t="e">
        <f t="shared" si="25"/>
        <v>#N/A</v>
      </c>
      <c r="U790">
        <v>3</v>
      </c>
      <c r="V790">
        <v>1</v>
      </c>
      <c r="W790" s="20" t="s">
        <v>215</v>
      </c>
      <c r="X790">
        <v>5</v>
      </c>
      <c r="Y790" s="20" t="s">
        <v>126</v>
      </c>
      <c r="Z790" s="7">
        <v>0.8930555555555556</v>
      </c>
      <c r="AA790" s="20" t="str">
        <f>grafico_sol1[[#This Row],[Value]]&amp;"|"&amp;grafico_sol1[[#This Row],[Numero Voltas]]</f>
        <v>0.893055555555556|3</v>
      </c>
    </row>
    <row r="791" spans="12:27" x14ac:dyDescent="0.25">
      <c r="L791" s="60" t="e">
        <f t="shared" si="24"/>
        <v>#N/A</v>
      </c>
      <c r="M791" s="42" t="e">
        <f t="shared" si="25"/>
        <v>#N/A</v>
      </c>
      <c r="U791">
        <v>3</v>
      </c>
      <c r="V791">
        <v>1</v>
      </c>
      <c r="W791" s="20" t="s">
        <v>215</v>
      </c>
      <c r="X791">
        <v>5</v>
      </c>
      <c r="Y791" s="20" t="s">
        <v>127</v>
      </c>
      <c r="Z791" s="7">
        <v>0.8930555555555556</v>
      </c>
      <c r="AA791" s="20" t="str">
        <f>grafico_sol1[[#This Row],[Value]]&amp;"|"&amp;grafico_sol1[[#This Row],[Numero Voltas]]</f>
        <v>0.893055555555556|3</v>
      </c>
    </row>
    <row r="792" spans="12:27" x14ac:dyDescent="0.25">
      <c r="L792" s="60" t="e">
        <f t="shared" si="24"/>
        <v>#N/A</v>
      </c>
      <c r="M792" s="42" t="e">
        <f t="shared" si="25"/>
        <v>#N/A</v>
      </c>
      <c r="U792">
        <v>3</v>
      </c>
      <c r="V792">
        <v>1</v>
      </c>
      <c r="W792" s="20" t="s">
        <v>2</v>
      </c>
      <c r="X792">
        <v>4</v>
      </c>
      <c r="Y792" s="20" t="s">
        <v>126</v>
      </c>
      <c r="Z792" s="7">
        <v>0.89513888888888893</v>
      </c>
      <c r="AA792" s="20" t="str">
        <f>grafico_sol1[[#This Row],[Value]]&amp;"|"&amp;grafico_sol1[[#This Row],[Numero Voltas]]</f>
        <v>0.895138888888889|3</v>
      </c>
    </row>
    <row r="793" spans="12:27" x14ac:dyDescent="0.25">
      <c r="L793" s="60" t="e">
        <f t="shared" si="24"/>
        <v>#N/A</v>
      </c>
      <c r="M793" s="42" t="e">
        <f t="shared" si="25"/>
        <v>#N/A</v>
      </c>
      <c r="U793">
        <v>3</v>
      </c>
      <c r="V793">
        <v>1</v>
      </c>
      <c r="W793" s="20" t="s">
        <v>2</v>
      </c>
      <c r="X793">
        <v>4</v>
      </c>
      <c r="Y793" s="20" t="s">
        <v>127</v>
      </c>
      <c r="Z793" s="7">
        <v>0.89513888888888893</v>
      </c>
      <c r="AA793" s="20" t="str">
        <f>grafico_sol1[[#This Row],[Value]]&amp;"|"&amp;grafico_sol1[[#This Row],[Numero Voltas]]</f>
        <v>0.895138888888889|3</v>
      </c>
    </row>
    <row r="794" spans="12:27" x14ac:dyDescent="0.25">
      <c r="L794" s="60" t="e">
        <f t="shared" si="24"/>
        <v>#N/A</v>
      </c>
      <c r="M794" s="42" t="e">
        <f t="shared" si="25"/>
        <v>#N/A</v>
      </c>
      <c r="U794">
        <v>2</v>
      </c>
      <c r="V794">
        <v>1</v>
      </c>
      <c r="W794" s="20" t="s">
        <v>302</v>
      </c>
      <c r="X794">
        <v>8</v>
      </c>
      <c r="Y794" s="20" t="s">
        <v>127</v>
      </c>
      <c r="Z794" s="7">
        <v>0.89861111111111114</v>
      </c>
      <c r="AA794" s="20" t="str">
        <f>grafico_sol1[[#This Row],[Value]]&amp;"|"&amp;grafico_sol1[[#This Row],[Numero Voltas]]</f>
        <v>0.898611111111111|2</v>
      </c>
    </row>
    <row r="795" spans="12:27" x14ac:dyDescent="0.25">
      <c r="L795" s="60" t="e">
        <f t="shared" si="24"/>
        <v>#N/A</v>
      </c>
      <c r="M795" s="42" t="e">
        <f t="shared" si="25"/>
        <v>#N/A</v>
      </c>
      <c r="U795">
        <v>3</v>
      </c>
      <c r="V795">
        <v>1</v>
      </c>
      <c r="W795" s="20" t="s">
        <v>208</v>
      </c>
      <c r="X795">
        <v>3</v>
      </c>
      <c r="Y795" s="20" t="s">
        <v>126</v>
      </c>
      <c r="Z795" s="7">
        <v>0.89861111111111114</v>
      </c>
      <c r="AA795" s="20" t="str">
        <f>grafico_sol1[[#This Row],[Value]]&amp;"|"&amp;grafico_sol1[[#This Row],[Numero Voltas]]</f>
        <v>0.898611111111111|3</v>
      </c>
    </row>
    <row r="796" spans="12:27" x14ac:dyDescent="0.25">
      <c r="L796" s="60" t="e">
        <f t="shared" si="24"/>
        <v>#N/A</v>
      </c>
      <c r="M796" s="42" t="e">
        <f t="shared" si="25"/>
        <v>#N/A</v>
      </c>
      <c r="U796">
        <v>3</v>
      </c>
      <c r="V796">
        <v>1</v>
      </c>
      <c r="W796" s="20" t="s">
        <v>208</v>
      </c>
      <c r="X796">
        <v>3</v>
      </c>
      <c r="Y796" s="20" t="s">
        <v>127</v>
      </c>
      <c r="Z796" s="7">
        <v>0.89861111111111114</v>
      </c>
      <c r="AA796" s="20" t="str">
        <f>grafico_sol1[[#This Row],[Value]]&amp;"|"&amp;grafico_sol1[[#This Row],[Numero Voltas]]</f>
        <v>0.898611111111111|3</v>
      </c>
    </row>
    <row r="797" spans="12:27" x14ac:dyDescent="0.25">
      <c r="L797" s="60" t="e">
        <f t="shared" si="24"/>
        <v>#N/A</v>
      </c>
      <c r="M797" s="42" t="e">
        <f t="shared" si="25"/>
        <v>#N/A</v>
      </c>
      <c r="U797">
        <v>3</v>
      </c>
      <c r="V797">
        <v>1</v>
      </c>
      <c r="W797" s="20" t="s">
        <v>208</v>
      </c>
      <c r="X797">
        <v>3</v>
      </c>
      <c r="Y797" s="20" t="s">
        <v>126</v>
      </c>
      <c r="Z797" s="7">
        <v>0.89861111111111114</v>
      </c>
      <c r="AA797" s="20" t="str">
        <f>grafico_sol1[[#This Row],[Value]]&amp;"|"&amp;grafico_sol1[[#This Row],[Numero Voltas]]</f>
        <v>0.898611111111111|3</v>
      </c>
    </row>
    <row r="798" spans="12:27" x14ac:dyDescent="0.25">
      <c r="L798" s="60" t="e">
        <f t="shared" si="24"/>
        <v>#N/A</v>
      </c>
      <c r="M798" s="42" t="e">
        <f t="shared" si="25"/>
        <v>#N/A</v>
      </c>
      <c r="U798">
        <v>2</v>
      </c>
      <c r="V798">
        <v>1</v>
      </c>
      <c r="W798" s="20" t="s">
        <v>301</v>
      </c>
      <c r="X798">
        <v>7</v>
      </c>
      <c r="Y798" s="20" t="s">
        <v>126</v>
      </c>
      <c r="Z798" s="7">
        <v>0.90277777777777779</v>
      </c>
      <c r="AA798" s="20" t="str">
        <f>grafico_sol1[[#This Row],[Value]]&amp;"|"&amp;grafico_sol1[[#This Row],[Numero Voltas]]</f>
        <v>0.902777777777778|2</v>
      </c>
    </row>
    <row r="799" spans="12:27" x14ac:dyDescent="0.25">
      <c r="L799" s="60" t="e">
        <f t="shared" si="24"/>
        <v>#N/A</v>
      </c>
      <c r="M799" s="42" t="e">
        <f t="shared" si="25"/>
        <v>#N/A</v>
      </c>
      <c r="U799">
        <v>2</v>
      </c>
      <c r="V799">
        <v>1</v>
      </c>
      <c r="W799" s="20" t="s">
        <v>301</v>
      </c>
      <c r="X799">
        <v>7</v>
      </c>
      <c r="Y799" s="20" t="s">
        <v>127</v>
      </c>
      <c r="Z799" s="7">
        <v>0.90277777777777779</v>
      </c>
      <c r="AA799" s="20" t="str">
        <f>grafico_sol1[[#This Row],[Value]]&amp;"|"&amp;grafico_sol1[[#This Row],[Numero Voltas]]</f>
        <v>0.902777777777778|2</v>
      </c>
    </row>
    <row r="800" spans="12:27" x14ac:dyDescent="0.25">
      <c r="L800" s="60" t="e">
        <f t="shared" si="24"/>
        <v>#N/A</v>
      </c>
      <c r="M800" s="42" t="e">
        <f t="shared" si="25"/>
        <v>#N/A</v>
      </c>
      <c r="U800">
        <v>2</v>
      </c>
      <c r="V800">
        <v>1</v>
      </c>
      <c r="W800" s="20" t="s">
        <v>301</v>
      </c>
      <c r="X800">
        <v>7</v>
      </c>
      <c r="Y800" s="20" t="s">
        <v>126</v>
      </c>
      <c r="Z800" s="7">
        <v>0.90277777777777779</v>
      </c>
      <c r="AA800" s="20" t="str">
        <f>grafico_sol1[[#This Row],[Value]]&amp;"|"&amp;grafico_sol1[[#This Row],[Numero Voltas]]</f>
        <v>0.902777777777778|2</v>
      </c>
    </row>
    <row r="801" spans="12:27" x14ac:dyDescent="0.25">
      <c r="L801" s="60" t="e">
        <f t="shared" si="24"/>
        <v>#N/A</v>
      </c>
      <c r="M801" s="42" t="e">
        <f t="shared" si="25"/>
        <v>#N/A</v>
      </c>
      <c r="U801">
        <v>3</v>
      </c>
      <c r="V801">
        <v>1</v>
      </c>
      <c r="W801" s="20" t="s">
        <v>208</v>
      </c>
      <c r="X801">
        <v>3</v>
      </c>
      <c r="Y801" s="20" t="s">
        <v>127</v>
      </c>
      <c r="Z801" s="7">
        <v>0.90763888888888888</v>
      </c>
      <c r="AA801" s="20" t="str">
        <f>grafico_sol1[[#This Row],[Value]]&amp;"|"&amp;grafico_sol1[[#This Row],[Numero Voltas]]</f>
        <v>0.907638888888889|3</v>
      </c>
    </row>
    <row r="802" spans="12:27" x14ac:dyDescent="0.25">
      <c r="L802" s="60" t="e">
        <f t="shared" si="24"/>
        <v>#N/A</v>
      </c>
      <c r="M802" s="42" t="e">
        <f t="shared" si="25"/>
        <v>#N/A</v>
      </c>
      <c r="U802">
        <v>2</v>
      </c>
      <c r="V802">
        <v>1</v>
      </c>
      <c r="W802" s="20" t="s">
        <v>301</v>
      </c>
      <c r="X802">
        <v>7</v>
      </c>
      <c r="Y802" s="20" t="s">
        <v>127</v>
      </c>
      <c r="Z802" s="7">
        <v>0.90972222222222221</v>
      </c>
      <c r="AA802" s="20" t="str">
        <f>grafico_sol1[[#This Row],[Value]]&amp;"|"&amp;grafico_sol1[[#This Row],[Numero Voltas]]</f>
        <v>0.909722222222222|2</v>
      </c>
    </row>
    <row r="803" spans="12:27" x14ac:dyDescent="0.25">
      <c r="L803" s="60" t="e">
        <f t="shared" si="24"/>
        <v>#N/A</v>
      </c>
      <c r="M803" s="42" t="e">
        <f t="shared" si="25"/>
        <v>#N/A</v>
      </c>
      <c r="U803">
        <v>3</v>
      </c>
      <c r="V803">
        <v>1</v>
      </c>
      <c r="W803" s="20" t="s">
        <v>228</v>
      </c>
      <c r="X803">
        <v>2</v>
      </c>
      <c r="Y803" s="20" t="s">
        <v>126</v>
      </c>
      <c r="Z803" s="7">
        <v>0.90972222222222221</v>
      </c>
      <c r="AA803" s="20" t="str">
        <f>grafico_sol1[[#This Row],[Value]]&amp;"|"&amp;grafico_sol1[[#This Row],[Numero Voltas]]</f>
        <v>0.909722222222222|3</v>
      </c>
    </row>
    <row r="804" spans="12:27" x14ac:dyDescent="0.25">
      <c r="L804" s="60" t="e">
        <f t="shared" si="24"/>
        <v>#N/A</v>
      </c>
      <c r="M804" s="42" t="e">
        <f t="shared" si="25"/>
        <v>#N/A</v>
      </c>
      <c r="U804">
        <v>3</v>
      </c>
      <c r="V804">
        <v>1</v>
      </c>
      <c r="W804" s="20" t="s">
        <v>228</v>
      </c>
      <c r="X804">
        <v>2</v>
      </c>
      <c r="Y804" s="20" t="s">
        <v>127</v>
      </c>
      <c r="Z804" s="7">
        <v>0.90972222222222221</v>
      </c>
      <c r="AA804" s="20" t="str">
        <f>grafico_sol1[[#This Row],[Value]]&amp;"|"&amp;grafico_sol1[[#This Row],[Numero Voltas]]</f>
        <v>0.909722222222222|3</v>
      </c>
    </row>
    <row r="805" spans="12:27" x14ac:dyDescent="0.25">
      <c r="L805" s="60" t="e">
        <f t="shared" si="24"/>
        <v>#N/A</v>
      </c>
      <c r="M805" s="42" t="e">
        <f t="shared" si="25"/>
        <v>#N/A</v>
      </c>
      <c r="U805">
        <v>3</v>
      </c>
      <c r="V805">
        <v>1</v>
      </c>
      <c r="W805" s="20" t="s">
        <v>200</v>
      </c>
      <c r="X805">
        <v>1</v>
      </c>
      <c r="Y805" s="20" t="s">
        <v>126</v>
      </c>
      <c r="Z805" s="7">
        <v>0.91041666666666665</v>
      </c>
      <c r="AA805" s="20" t="str">
        <f>grafico_sol1[[#This Row],[Value]]&amp;"|"&amp;grafico_sol1[[#This Row],[Numero Voltas]]</f>
        <v>0.910416666666667|3</v>
      </c>
    </row>
    <row r="806" spans="12:27" x14ac:dyDescent="0.25">
      <c r="L806" s="60" t="e">
        <f t="shared" si="24"/>
        <v>#N/A</v>
      </c>
      <c r="M806" s="42" t="e">
        <f t="shared" si="25"/>
        <v>#N/A</v>
      </c>
      <c r="U806">
        <v>3</v>
      </c>
      <c r="V806">
        <v>1</v>
      </c>
      <c r="W806" s="20" t="s">
        <v>200</v>
      </c>
      <c r="X806">
        <v>1</v>
      </c>
      <c r="Y806" s="20" t="s">
        <v>127</v>
      </c>
      <c r="Z806" s="7">
        <v>0.91041666666666665</v>
      </c>
      <c r="AA806" s="20" t="str">
        <f>grafico_sol1[[#This Row],[Value]]&amp;"|"&amp;grafico_sol1[[#This Row],[Numero Voltas]]</f>
        <v>0.910416666666667|3</v>
      </c>
    </row>
    <row r="807" spans="12:27" x14ac:dyDescent="0.25">
      <c r="L807" s="60" t="e">
        <f t="shared" si="24"/>
        <v>#N/A</v>
      </c>
      <c r="M807" s="42" t="e">
        <f t="shared" si="25"/>
        <v>#N/A</v>
      </c>
      <c r="U807">
        <v>3</v>
      </c>
      <c r="V807">
        <v>1</v>
      </c>
      <c r="W807" s="20" t="s">
        <v>200</v>
      </c>
      <c r="X807">
        <v>1</v>
      </c>
      <c r="Y807" s="20" t="s">
        <v>126</v>
      </c>
      <c r="Z807" s="7">
        <v>0.91041666666666665</v>
      </c>
      <c r="AA807" s="20" t="str">
        <f>grafico_sol1[[#This Row],[Value]]&amp;"|"&amp;grafico_sol1[[#This Row],[Numero Voltas]]</f>
        <v>0.910416666666667|3</v>
      </c>
    </row>
    <row r="808" spans="12:27" x14ac:dyDescent="0.25">
      <c r="L808" s="60" t="e">
        <f t="shared" si="24"/>
        <v>#N/A</v>
      </c>
      <c r="M808" s="42" t="e">
        <f t="shared" si="25"/>
        <v>#N/A</v>
      </c>
      <c r="U808">
        <v>2</v>
      </c>
      <c r="V808">
        <v>1</v>
      </c>
      <c r="W808" s="20" t="s">
        <v>300</v>
      </c>
      <c r="X808">
        <v>6</v>
      </c>
      <c r="Y808" s="20" t="s">
        <v>126</v>
      </c>
      <c r="Z808" s="7">
        <v>0.91249999999999998</v>
      </c>
      <c r="AA808" s="20" t="str">
        <f>grafico_sol1[[#This Row],[Value]]&amp;"|"&amp;grafico_sol1[[#This Row],[Numero Voltas]]</f>
        <v>0.9125|2</v>
      </c>
    </row>
    <row r="809" spans="12:27" x14ac:dyDescent="0.25">
      <c r="L809" s="60" t="e">
        <f t="shared" si="24"/>
        <v>#N/A</v>
      </c>
      <c r="M809" s="42" t="e">
        <f t="shared" si="25"/>
        <v>#N/A</v>
      </c>
      <c r="U809">
        <v>2</v>
      </c>
      <c r="V809">
        <v>1</v>
      </c>
      <c r="W809" s="20" t="s">
        <v>300</v>
      </c>
      <c r="X809">
        <v>6</v>
      </c>
      <c r="Y809" s="20" t="s">
        <v>127</v>
      </c>
      <c r="Z809" s="7">
        <v>0.91249999999999998</v>
      </c>
      <c r="AA809" s="20" t="str">
        <f>grafico_sol1[[#This Row],[Value]]&amp;"|"&amp;grafico_sol1[[#This Row],[Numero Voltas]]</f>
        <v>0.9125|2</v>
      </c>
    </row>
    <row r="810" spans="12:27" x14ac:dyDescent="0.25">
      <c r="L810" s="60" t="e">
        <f t="shared" si="24"/>
        <v>#N/A</v>
      </c>
      <c r="M810" s="42" t="e">
        <f t="shared" si="25"/>
        <v>#N/A</v>
      </c>
      <c r="U810">
        <v>2</v>
      </c>
      <c r="V810">
        <v>1</v>
      </c>
      <c r="W810" s="20" t="s">
        <v>300</v>
      </c>
      <c r="X810">
        <v>6</v>
      </c>
      <c r="Y810" s="20" t="s">
        <v>126</v>
      </c>
      <c r="Z810" s="7">
        <v>0.91249999999999998</v>
      </c>
      <c r="AA810" s="20" t="str">
        <f>grafico_sol1[[#This Row],[Value]]&amp;"|"&amp;grafico_sol1[[#This Row],[Numero Voltas]]</f>
        <v>0.9125|2</v>
      </c>
    </row>
    <row r="811" spans="12:27" x14ac:dyDescent="0.25">
      <c r="L811" s="60" t="e">
        <f t="shared" si="24"/>
        <v>#N/A</v>
      </c>
      <c r="M811" s="42" t="e">
        <f t="shared" si="25"/>
        <v>#N/A</v>
      </c>
      <c r="U811">
        <v>2</v>
      </c>
      <c r="V811">
        <v>1</v>
      </c>
      <c r="W811" s="20" t="s">
        <v>300</v>
      </c>
      <c r="X811">
        <v>6</v>
      </c>
      <c r="Y811" s="20" t="s">
        <v>127</v>
      </c>
      <c r="Z811" s="7">
        <v>0.91249999999999998</v>
      </c>
      <c r="AA811" s="20" t="str">
        <f>grafico_sol1[[#This Row],[Value]]&amp;"|"&amp;grafico_sol1[[#This Row],[Numero Voltas]]</f>
        <v>0.9125|2</v>
      </c>
    </row>
    <row r="812" spans="12:27" x14ac:dyDescent="0.25">
      <c r="L812" s="60" t="e">
        <f t="shared" si="24"/>
        <v>#N/A</v>
      </c>
      <c r="M812" s="42" t="e">
        <f t="shared" si="25"/>
        <v>#N/A</v>
      </c>
      <c r="U812">
        <v>3</v>
      </c>
      <c r="V812">
        <v>1</v>
      </c>
      <c r="W812" s="20" t="s">
        <v>200</v>
      </c>
      <c r="X812">
        <v>1</v>
      </c>
      <c r="Y812" s="20" t="s">
        <v>127</v>
      </c>
      <c r="Z812" s="7">
        <v>0.91319444444444442</v>
      </c>
      <c r="AA812" s="20" t="str">
        <f>grafico_sol1[[#This Row],[Value]]&amp;"|"&amp;grafico_sol1[[#This Row],[Numero Voltas]]</f>
        <v>0.913194444444444|3</v>
      </c>
    </row>
    <row r="813" spans="12:27" x14ac:dyDescent="0.25">
      <c r="L813" s="60" t="e">
        <f t="shared" si="24"/>
        <v>#N/A</v>
      </c>
      <c r="M813" s="42" t="e">
        <f t="shared" si="25"/>
        <v>#N/A</v>
      </c>
      <c r="U813">
        <v>3</v>
      </c>
      <c r="V813">
        <v>1</v>
      </c>
      <c r="W813" s="20" t="s">
        <v>203</v>
      </c>
      <c r="X813">
        <v>0</v>
      </c>
      <c r="Y813" s="20" t="s">
        <v>126</v>
      </c>
      <c r="Z813" s="7">
        <v>0.9145833333333333</v>
      </c>
      <c r="AA813" s="20" t="str">
        <f>grafico_sol1[[#This Row],[Value]]&amp;"|"&amp;grafico_sol1[[#This Row],[Numero Voltas]]</f>
        <v>0.914583333333333|3</v>
      </c>
    </row>
    <row r="814" spans="12:27" x14ac:dyDescent="0.25">
      <c r="L814" s="60" t="e">
        <f t="shared" si="24"/>
        <v>#N/A</v>
      </c>
      <c r="M814" s="42" t="e">
        <f t="shared" si="25"/>
        <v>#N/A</v>
      </c>
      <c r="U814">
        <v>3</v>
      </c>
      <c r="V814">
        <v>1</v>
      </c>
      <c r="W814" s="20" t="s">
        <v>203</v>
      </c>
      <c r="X814">
        <v>0</v>
      </c>
      <c r="Y814" s="20" t="s">
        <v>127</v>
      </c>
      <c r="Z814" s="7">
        <v>0.9145833333333333</v>
      </c>
      <c r="AA814" s="20" t="str">
        <f>grafico_sol1[[#This Row],[Value]]&amp;"|"&amp;grafico_sol1[[#This Row],[Numero Voltas]]</f>
        <v>0.914583333333333|3</v>
      </c>
    </row>
    <row r="815" spans="12:27" x14ac:dyDescent="0.25">
      <c r="L815" s="60" t="e">
        <f t="shared" si="24"/>
        <v>#N/A</v>
      </c>
      <c r="M815" s="42" t="e">
        <f t="shared" si="25"/>
        <v>#N/A</v>
      </c>
      <c r="U815">
        <v>3</v>
      </c>
      <c r="V815">
        <v>1</v>
      </c>
      <c r="W815" s="20" t="s">
        <v>203</v>
      </c>
      <c r="X815">
        <v>0</v>
      </c>
      <c r="Y815" s="20" t="s">
        <v>126</v>
      </c>
      <c r="Z815" s="7">
        <v>0.9145833333333333</v>
      </c>
      <c r="AA815" s="20" t="str">
        <f>grafico_sol1[[#This Row],[Value]]&amp;"|"&amp;grafico_sol1[[#This Row],[Numero Voltas]]</f>
        <v>0.914583333333333|3</v>
      </c>
    </row>
    <row r="816" spans="12:27" x14ac:dyDescent="0.25">
      <c r="L816" s="60" t="e">
        <f t="shared" si="24"/>
        <v>#N/A</v>
      </c>
      <c r="M816" s="42" t="e">
        <f t="shared" si="25"/>
        <v>#N/A</v>
      </c>
      <c r="U816">
        <v>3</v>
      </c>
      <c r="V816">
        <v>1</v>
      </c>
      <c r="W816" s="20" t="s">
        <v>203</v>
      </c>
      <c r="X816">
        <v>0</v>
      </c>
      <c r="Y816" s="20" t="s">
        <v>127</v>
      </c>
      <c r="Z816" s="7">
        <v>0.9145833333333333</v>
      </c>
      <c r="AA816" s="20" t="str">
        <f>grafico_sol1[[#This Row],[Value]]&amp;"|"&amp;grafico_sol1[[#This Row],[Numero Voltas]]</f>
        <v>0.914583333333333|3</v>
      </c>
    </row>
    <row r="817" spans="12:27" x14ac:dyDescent="0.25">
      <c r="L817" s="60" t="e">
        <f t="shared" si="24"/>
        <v>#N/A</v>
      </c>
      <c r="M817" s="42" t="e">
        <f t="shared" si="25"/>
        <v>#N/A</v>
      </c>
      <c r="U817">
        <v>3</v>
      </c>
      <c r="V817">
        <v>1</v>
      </c>
      <c r="W817" s="20" t="s">
        <v>203</v>
      </c>
      <c r="X817">
        <v>0</v>
      </c>
      <c r="Y817" s="20" t="s">
        <v>126</v>
      </c>
      <c r="Z817" s="7">
        <v>0.9145833333333333</v>
      </c>
      <c r="AA817" s="20" t="str">
        <f>grafico_sol1[[#This Row],[Value]]&amp;"|"&amp;grafico_sol1[[#This Row],[Numero Voltas]]</f>
        <v>0.914583333333333|3</v>
      </c>
    </row>
    <row r="818" spans="12:27" x14ac:dyDescent="0.25">
      <c r="L818" s="60" t="e">
        <f t="shared" si="24"/>
        <v>#N/A</v>
      </c>
      <c r="M818" s="42" t="e">
        <f t="shared" si="25"/>
        <v>#N/A</v>
      </c>
      <c r="U818">
        <v>2</v>
      </c>
      <c r="V818">
        <v>1</v>
      </c>
      <c r="W818" s="20" t="s">
        <v>215</v>
      </c>
      <c r="X818">
        <v>5</v>
      </c>
      <c r="Y818" s="20" t="s">
        <v>126</v>
      </c>
      <c r="Z818" s="7">
        <v>0.91527777777777775</v>
      </c>
      <c r="AA818" s="20" t="str">
        <f>grafico_sol1[[#This Row],[Value]]&amp;"|"&amp;grafico_sol1[[#This Row],[Numero Voltas]]</f>
        <v>0.915277777777778|2</v>
      </c>
    </row>
    <row r="819" spans="12:27" x14ac:dyDescent="0.25">
      <c r="L819" s="60" t="e">
        <f t="shared" si="24"/>
        <v>#N/A</v>
      </c>
      <c r="M819" s="42" t="e">
        <f t="shared" si="25"/>
        <v>#N/A</v>
      </c>
      <c r="U819">
        <v>2</v>
      </c>
      <c r="V819">
        <v>1</v>
      </c>
      <c r="W819" s="20" t="s">
        <v>215</v>
      </c>
      <c r="X819">
        <v>5</v>
      </c>
      <c r="Y819" s="20" t="s">
        <v>127</v>
      </c>
      <c r="Z819" s="7">
        <v>0.91527777777777775</v>
      </c>
      <c r="AA819" s="20" t="str">
        <f>grafico_sol1[[#This Row],[Value]]&amp;"|"&amp;grafico_sol1[[#This Row],[Numero Voltas]]</f>
        <v>0.915277777777778|2</v>
      </c>
    </row>
    <row r="820" spans="12:27" x14ac:dyDescent="0.25">
      <c r="L820" s="60" t="e">
        <f t="shared" si="24"/>
        <v>#N/A</v>
      </c>
      <c r="M820" s="42" t="e">
        <f t="shared" si="25"/>
        <v>#N/A</v>
      </c>
      <c r="U820">
        <v>2</v>
      </c>
      <c r="V820">
        <v>1</v>
      </c>
      <c r="W820" s="20" t="s">
        <v>215</v>
      </c>
      <c r="X820">
        <v>5</v>
      </c>
      <c r="Y820" s="20" t="s">
        <v>126</v>
      </c>
      <c r="Z820" s="7">
        <v>0.91527777777777775</v>
      </c>
      <c r="AA820" s="20" t="str">
        <f>grafico_sol1[[#This Row],[Value]]&amp;"|"&amp;grafico_sol1[[#This Row],[Numero Voltas]]</f>
        <v>0.915277777777778|2</v>
      </c>
    </row>
    <row r="821" spans="12:27" x14ac:dyDescent="0.25">
      <c r="L821" s="60" t="e">
        <f t="shared" si="24"/>
        <v>#N/A</v>
      </c>
      <c r="M821" s="42" t="e">
        <f t="shared" si="25"/>
        <v>#N/A</v>
      </c>
      <c r="U821">
        <v>2</v>
      </c>
      <c r="V821">
        <v>1</v>
      </c>
      <c r="W821" s="20" t="s">
        <v>215</v>
      </c>
      <c r="X821">
        <v>5</v>
      </c>
      <c r="Y821" s="20" t="s">
        <v>127</v>
      </c>
      <c r="Z821" s="7">
        <v>0.91527777777777775</v>
      </c>
      <c r="AA821" s="20" t="str">
        <f>grafico_sol1[[#This Row],[Value]]&amp;"|"&amp;grafico_sol1[[#This Row],[Numero Voltas]]</f>
        <v>0.915277777777778|2</v>
      </c>
    </row>
    <row r="822" spans="12:27" x14ac:dyDescent="0.25">
      <c r="L822" s="60" t="e">
        <f t="shared" si="24"/>
        <v>#N/A</v>
      </c>
      <c r="M822" s="42" t="e">
        <f t="shared" si="25"/>
        <v>#N/A</v>
      </c>
      <c r="U822">
        <v>2</v>
      </c>
      <c r="V822">
        <v>1</v>
      </c>
      <c r="W822" s="20" t="s">
        <v>2</v>
      </c>
      <c r="X822">
        <v>4</v>
      </c>
      <c r="Y822" s="20" t="s">
        <v>126</v>
      </c>
      <c r="Z822" s="7">
        <v>0.91666666666666663</v>
      </c>
      <c r="AA822" s="20" t="str">
        <f>grafico_sol1[[#This Row],[Value]]&amp;"|"&amp;grafico_sol1[[#This Row],[Numero Voltas]]</f>
        <v>0.916666666666667|2</v>
      </c>
    </row>
    <row r="823" spans="12:27" x14ac:dyDescent="0.25">
      <c r="L823" s="60" t="e">
        <f t="shared" ref="L823:L886" si="26">IF(Q823&lt;&gt;"",Q823,#N/A)</f>
        <v>#N/A</v>
      </c>
      <c r="M823" s="42" t="e">
        <f t="shared" ref="M823:M886" si="27">IF(R823&lt;&gt;"",R823,#N/A)</f>
        <v>#N/A</v>
      </c>
      <c r="U823">
        <v>2</v>
      </c>
      <c r="V823">
        <v>1</v>
      </c>
      <c r="W823" s="20" t="s">
        <v>2</v>
      </c>
      <c r="X823">
        <v>4</v>
      </c>
      <c r="Y823" s="20" t="s">
        <v>127</v>
      </c>
      <c r="Z823" s="7">
        <v>0.91666666666666663</v>
      </c>
      <c r="AA823" s="20" t="str">
        <f>grafico_sol1[[#This Row],[Value]]&amp;"|"&amp;grafico_sol1[[#This Row],[Numero Voltas]]</f>
        <v>0.916666666666667|2</v>
      </c>
    </row>
    <row r="824" spans="12:27" x14ac:dyDescent="0.25">
      <c r="L824" s="60" t="e">
        <f t="shared" si="26"/>
        <v>#N/A</v>
      </c>
      <c r="M824" s="42" t="e">
        <f t="shared" si="27"/>
        <v>#N/A</v>
      </c>
      <c r="U824">
        <v>2</v>
      </c>
      <c r="V824">
        <v>1</v>
      </c>
      <c r="W824" s="20" t="s">
        <v>2</v>
      </c>
      <c r="X824">
        <v>4</v>
      </c>
      <c r="Y824" s="20" t="s">
        <v>126</v>
      </c>
      <c r="Z824" s="7">
        <v>0.91666666666666663</v>
      </c>
      <c r="AA824" s="20" t="str">
        <f>grafico_sol1[[#This Row],[Value]]&amp;"|"&amp;grafico_sol1[[#This Row],[Numero Voltas]]</f>
        <v>0.916666666666667|2</v>
      </c>
    </row>
    <row r="825" spans="12:27" x14ac:dyDescent="0.25">
      <c r="L825" s="60" t="e">
        <f t="shared" si="26"/>
        <v>#N/A</v>
      </c>
      <c r="M825" s="42" t="e">
        <f t="shared" si="27"/>
        <v>#N/A</v>
      </c>
      <c r="U825">
        <v>3</v>
      </c>
      <c r="V825">
        <v>1</v>
      </c>
      <c r="W825" s="20" t="s">
        <v>203</v>
      </c>
      <c r="X825">
        <v>0</v>
      </c>
      <c r="Y825" s="20" t="s">
        <v>127</v>
      </c>
      <c r="Z825" s="7">
        <v>0.92013888888888884</v>
      </c>
      <c r="AA825" s="20" t="str">
        <f>grafico_sol1[[#This Row],[Value]]&amp;"|"&amp;grafico_sol1[[#This Row],[Numero Voltas]]</f>
        <v>0.920138888888889|3</v>
      </c>
    </row>
    <row r="826" spans="12:27" x14ac:dyDescent="0.25">
      <c r="L826" s="60" t="e">
        <f t="shared" si="26"/>
        <v>#N/A</v>
      </c>
      <c r="M826" s="42" t="e">
        <f t="shared" si="27"/>
        <v>#N/A</v>
      </c>
      <c r="U826">
        <v>3</v>
      </c>
      <c r="V826">
        <v>1</v>
      </c>
      <c r="W826" s="20" t="s">
        <v>200</v>
      </c>
      <c r="X826">
        <v>1</v>
      </c>
      <c r="Y826" s="20" t="s">
        <v>126</v>
      </c>
      <c r="Z826" s="7">
        <v>0.92152777777777772</v>
      </c>
      <c r="AA826" s="20" t="str">
        <f>grafico_sol1[[#This Row],[Value]]&amp;"|"&amp;grafico_sol1[[#This Row],[Numero Voltas]]</f>
        <v>0.921527777777778|3</v>
      </c>
    </row>
    <row r="827" spans="12:27" x14ac:dyDescent="0.25">
      <c r="L827" s="60" t="e">
        <f t="shared" si="26"/>
        <v>#N/A</v>
      </c>
      <c r="M827" s="42" t="e">
        <f t="shared" si="27"/>
        <v>#N/A</v>
      </c>
      <c r="U827">
        <v>3</v>
      </c>
      <c r="V827">
        <v>1</v>
      </c>
      <c r="W827" s="20" t="s">
        <v>200</v>
      </c>
      <c r="X827">
        <v>1</v>
      </c>
      <c r="Y827" s="20" t="s">
        <v>127</v>
      </c>
      <c r="Z827" s="7">
        <v>0.92152777777777772</v>
      </c>
      <c r="AA827" s="20" t="str">
        <f>grafico_sol1[[#This Row],[Value]]&amp;"|"&amp;grafico_sol1[[#This Row],[Numero Voltas]]</f>
        <v>0.921527777777778|3</v>
      </c>
    </row>
    <row r="828" spans="12:27" x14ac:dyDescent="0.25">
      <c r="L828" s="60" t="e">
        <f t="shared" si="26"/>
        <v>#N/A</v>
      </c>
      <c r="M828" s="42" t="e">
        <f t="shared" si="27"/>
        <v>#N/A</v>
      </c>
      <c r="U828">
        <v>3</v>
      </c>
      <c r="V828">
        <v>1</v>
      </c>
      <c r="W828" s="20" t="s">
        <v>228</v>
      </c>
      <c r="X828">
        <v>2</v>
      </c>
      <c r="Y828" s="20" t="s">
        <v>126</v>
      </c>
      <c r="Z828" s="7">
        <v>0.92222222222222228</v>
      </c>
      <c r="AA828" s="20" t="str">
        <f>grafico_sol1[[#This Row],[Value]]&amp;"|"&amp;grafico_sol1[[#This Row],[Numero Voltas]]</f>
        <v>0.922222222222222|3</v>
      </c>
    </row>
    <row r="829" spans="12:27" x14ac:dyDescent="0.25">
      <c r="L829" s="60" t="e">
        <f t="shared" si="26"/>
        <v>#N/A</v>
      </c>
      <c r="M829" s="42" t="e">
        <f t="shared" si="27"/>
        <v>#N/A</v>
      </c>
      <c r="U829">
        <v>3</v>
      </c>
      <c r="V829">
        <v>1</v>
      </c>
      <c r="W829" s="20" t="s">
        <v>228</v>
      </c>
      <c r="X829">
        <v>2</v>
      </c>
      <c r="Y829" s="20" t="s">
        <v>127</v>
      </c>
      <c r="Z829" s="7">
        <v>0.92222222222222228</v>
      </c>
      <c r="AA829" s="20" t="str">
        <f>grafico_sol1[[#This Row],[Value]]&amp;"|"&amp;grafico_sol1[[#This Row],[Numero Voltas]]</f>
        <v>0.922222222222222|3</v>
      </c>
    </row>
    <row r="830" spans="12:27" x14ac:dyDescent="0.25">
      <c r="L830" s="60" t="e">
        <f t="shared" si="26"/>
        <v>#N/A</v>
      </c>
      <c r="M830" s="42" t="e">
        <f t="shared" si="27"/>
        <v>#N/A</v>
      </c>
      <c r="U830">
        <v>3</v>
      </c>
      <c r="V830">
        <v>1</v>
      </c>
      <c r="W830" s="20" t="s">
        <v>208</v>
      </c>
      <c r="X830">
        <v>3</v>
      </c>
      <c r="Y830" s="20" t="s">
        <v>126</v>
      </c>
      <c r="Z830" s="7">
        <v>0.9243055555555556</v>
      </c>
      <c r="AA830" s="20" t="str">
        <f>grafico_sol1[[#This Row],[Value]]&amp;"|"&amp;grafico_sol1[[#This Row],[Numero Voltas]]</f>
        <v>0.924305555555556|3</v>
      </c>
    </row>
    <row r="831" spans="12:27" x14ac:dyDescent="0.25">
      <c r="L831" s="60" t="e">
        <f t="shared" si="26"/>
        <v>#N/A</v>
      </c>
      <c r="M831" s="42" t="e">
        <f t="shared" si="27"/>
        <v>#N/A</v>
      </c>
      <c r="U831">
        <v>3</v>
      </c>
      <c r="V831">
        <v>1</v>
      </c>
      <c r="W831" s="20" t="s">
        <v>208</v>
      </c>
      <c r="X831">
        <v>3</v>
      </c>
      <c r="Y831" s="20" t="s">
        <v>127</v>
      </c>
      <c r="Z831" s="7">
        <v>0.9243055555555556</v>
      </c>
      <c r="AA831" s="20" t="str">
        <f>grafico_sol1[[#This Row],[Value]]&amp;"|"&amp;grafico_sol1[[#This Row],[Numero Voltas]]</f>
        <v>0.924305555555556|3</v>
      </c>
    </row>
    <row r="832" spans="12:27" x14ac:dyDescent="0.25">
      <c r="L832" s="60" t="e">
        <f t="shared" si="26"/>
        <v>#N/A</v>
      </c>
      <c r="M832" s="42" t="e">
        <f t="shared" si="27"/>
        <v>#N/A</v>
      </c>
      <c r="U832">
        <v>3</v>
      </c>
      <c r="V832">
        <v>1</v>
      </c>
      <c r="W832" s="20" t="s">
        <v>2</v>
      </c>
      <c r="X832">
        <v>4</v>
      </c>
      <c r="Y832" s="20" t="s">
        <v>126</v>
      </c>
      <c r="Z832" s="7">
        <v>0.92777777777777781</v>
      </c>
      <c r="AA832" s="20" t="str">
        <f>grafico_sol1[[#This Row],[Value]]&amp;"|"&amp;grafico_sol1[[#This Row],[Numero Voltas]]</f>
        <v>0.927777777777778|3</v>
      </c>
    </row>
    <row r="833" spans="12:27" x14ac:dyDescent="0.25">
      <c r="L833" s="60" t="e">
        <f t="shared" si="26"/>
        <v>#N/A</v>
      </c>
      <c r="M833" s="42" t="e">
        <f t="shared" si="27"/>
        <v>#N/A</v>
      </c>
      <c r="U833">
        <v>3</v>
      </c>
      <c r="V833">
        <v>1</v>
      </c>
      <c r="W833" s="20" t="s">
        <v>2</v>
      </c>
      <c r="X833">
        <v>4</v>
      </c>
      <c r="Y833" s="20" t="s">
        <v>127</v>
      </c>
      <c r="Z833" s="7">
        <v>0.92777777777777781</v>
      </c>
      <c r="AA833" s="20" t="str">
        <f>grafico_sol1[[#This Row],[Value]]&amp;"|"&amp;grafico_sol1[[#This Row],[Numero Voltas]]</f>
        <v>0.927777777777778|3</v>
      </c>
    </row>
    <row r="834" spans="12:27" x14ac:dyDescent="0.25">
      <c r="L834" s="60" t="e">
        <f t="shared" si="26"/>
        <v>#N/A</v>
      </c>
      <c r="M834" s="42" t="e">
        <f t="shared" si="27"/>
        <v>#N/A</v>
      </c>
      <c r="U834">
        <v>3</v>
      </c>
      <c r="V834">
        <v>1</v>
      </c>
      <c r="W834" s="20" t="s">
        <v>215</v>
      </c>
      <c r="X834">
        <v>5</v>
      </c>
      <c r="Y834" s="20" t="s">
        <v>126</v>
      </c>
      <c r="Z834" s="7">
        <v>0.92986111111111114</v>
      </c>
      <c r="AA834" s="20" t="str">
        <f>grafico_sol1[[#This Row],[Value]]&amp;"|"&amp;grafico_sol1[[#This Row],[Numero Voltas]]</f>
        <v>0.929861111111111|3</v>
      </c>
    </row>
    <row r="835" spans="12:27" x14ac:dyDescent="0.25">
      <c r="L835" s="60" t="e">
        <f t="shared" si="26"/>
        <v>#N/A</v>
      </c>
      <c r="M835" s="42" t="e">
        <f t="shared" si="27"/>
        <v>#N/A</v>
      </c>
      <c r="U835">
        <v>3</v>
      </c>
      <c r="V835">
        <v>1</v>
      </c>
      <c r="W835" s="20" t="s">
        <v>215</v>
      </c>
      <c r="X835">
        <v>5</v>
      </c>
      <c r="Y835" s="20" t="s">
        <v>127</v>
      </c>
      <c r="Z835" s="7">
        <v>0.92986111111111114</v>
      </c>
      <c r="AA835" s="20" t="str">
        <f>grafico_sol1[[#This Row],[Value]]&amp;"|"&amp;grafico_sol1[[#This Row],[Numero Voltas]]</f>
        <v>0.929861111111111|3</v>
      </c>
    </row>
    <row r="836" spans="12:27" x14ac:dyDescent="0.25">
      <c r="L836" s="60" t="e">
        <f t="shared" si="26"/>
        <v>#N/A</v>
      </c>
      <c r="M836" s="42" t="e">
        <f t="shared" si="27"/>
        <v>#N/A</v>
      </c>
      <c r="U836">
        <v>3</v>
      </c>
      <c r="V836">
        <v>1</v>
      </c>
      <c r="W836" s="20" t="s">
        <v>215</v>
      </c>
      <c r="X836">
        <v>5</v>
      </c>
      <c r="Y836" s="20" t="s">
        <v>126</v>
      </c>
      <c r="Z836" s="7">
        <v>0.92986111111111114</v>
      </c>
      <c r="AA836" s="20" t="str">
        <f>grafico_sol1[[#This Row],[Value]]&amp;"|"&amp;grafico_sol1[[#This Row],[Numero Voltas]]</f>
        <v>0.929861111111111|3</v>
      </c>
    </row>
    <row r="837" spans="12:27" x14ac:dyDescent="0.25">
      <c r="L837" s="60" t="e">
        <f t="shared" si="26"/>
        <v>#N/A</v>
      </c>
      <c r="M837" s="42" t="e">
        <f t="shared" si="27"/>
        <v>#N/A</v>
      </c>
      <c r="U837">
        <v>3</v>
      </c>
      <c r="V837">
        <v>1</v>
      </c>
      <c r="W837" s="20" t="s">
        <v>215</v>
      </c>
      <c r="X837">
        <v>5</v>
      </c>
      <c r="Y837" s="20" t="s">
        <v>127</v>
      </c>
      <c r="Z837" s="7">
        <v>0.92986111111111114</v>
      </c>
      <c r="AA837" s="20" t="str">
        <f>grafico_sol1[[#This Row],[Value]]&amp;"|"&amp;grafico_sol1[[#This Row],[Numero Voltas]]</f>
        <v>0.929861111111111|3</v>
      </c>
    </row>
    <row r="838" spans="12:27" x14ac:dyDescent="0.25">
      <c r="L838" s="60" t="e">
        <f t="shared" si="26"/>
        <v>#N/A</v>
      </c>
      <c r="M838" s="42" t="e">
        <f t="shared" si="27"/>
        <v>#N/A</v>
      </c>
      <c r="U838">
        <v>3</v>
      </c>
      <c r="V838">
        <v>1</v>
      </c>
      <c r="W838" s="20" t="s">
        <v>300</v>
      </c>
      <c r="X838">
        <v>6</v>
      </c>
      <c r="Y838" s="20" t="s">
        <v>126</v>
      </c>
      <c r="Z838" s="7">
        <v>0.93263888888888891</v>
      </c>
      <c r="AA838" s="20" t="str">
        <f>grafico_sol1[[#This Row],[Value]]&amp;"|"&amp;grafico_sol1[[#This Row],[Numero Voltas]]</f>
        <v>0.932638888888889|3</v>
      </c>
    </row>
    <row r="839" spans="12:27" x14ac:dyDescent="0.25">
      <c r="L839" s="60" t="e">
        <f t="shared" si="26"/>
        <v>#N/A</v>
      </c>
      <c r="M839" s="42" t="e">
        <f t="shared" si="27"/>
        <v>#N/A</v>
      </c>
      <c r="U839">
        <v>3</v>
      </c>
      <c r="V839">
        <v>1</v>
      </c>
      <c r="W839" s="20" t="s">
        <v>300</v>
      </c>
      <c r="X839">
        <v>6</v>
      </c>
      <c r="Y839" s="20" t="s">
        <v>127</v>
      </c>
      <c r="Z839" s="7">
        <v>0.93263888888888891</v>
      </c>
      <c r="AA839" s="20" t="str">
        <f>grafico_sol1[[#This Row],[Value]]&amp;"|"&amp;grafico_sol1[[#This Row],[Numero Voltas]]</f>
        <v>0.932638888888889|3</v>
      </c>
    </row>
    <row r="840" spans="12:27" x14ac:dyDescent="0.25">
      <c r="L840" s="60" t="e">
        <f t="shared" si="26"/>
        <v>#N/A</v>
      </c>
      <c r="M840" s="42" t="e">
        <f t="shared" si="27"/>
        <v>#N/A</v>
      </c>
      <c r="U840">
        <v>3</v>
      </c>
      <c r="V840">
        <v>1</v>
      </c>
      <c r="W840" s="20" t="s">
        <v>300</v>
      </c>
      <c r="X840">
        <v>6</v>
      </c>
      <c r="Y840" s="20" t="s">
        <v>126</v>
      </c>
      <c r="Z840" s="7">
        <v>0.93263888888888891</v>
      </c>
      <c r="AA840" s="20" t="str">
        <f>grafico_sol1[[#This Row],[Value]]&amp;"|"&amp;grafico_sol1[[#This Row],[Numero Voltas]]</f>
        <v>0.932638888888889|3</v>
      </c>
    </row>
    <row r="841" spans="12:27" x14ac:dyDescent="0.25">
      <c r="L841" s="60" t="e">
        <f t="shared" si="26"/>
        <v>#N/A</v>
      </c>
      <c r="M841" s="42" t="e">
        <f t="shared" si="27"/>
        <v>#N/A</v>
      </c>
      <c r="U841">
        <v>3</v>
      </c>
      <c r="V841">
        <v>1</v>
      </c>
      <c r="W841" s="20" t="s">
        <v>300</v>
      </c>
      <c r="X841">
        <v>6</v>
      </c>
      <c r="Y841" s="20" t="s">
        <v>127</v>
      </c>
      <c r="Z841" s="7">
        <v>0.93263888888888891</v>
      </c>
      <c r="AA841" s="20" t="str">
        <f>grafico_sol1[[#This Row],[Value]]&amp;"|"&amp;grafico_sol1[[#This Row],[Numero Voltas]]</f>
        <v>0.932638888888889|3</v>
      </c>
    </row>
    <row r="842" spans="12:27" x14ac:dyDescent="0.25">
      <c r="L842" s="60" t="e">
        <f t="shared" si="26"/>
        <v>#N/A</v>
      </c>
      <c r="M842" s="42" t="e">
        <f t="shared" si="27"/>
        <v>#N/A</v>
      </c>
      <c r="U842">
        <v>3</v>
      </c>
      <c r="V842">
        <v>1</v>
      </c>
      <c r="W842" s="20" t="s">
        <v>301</v>
      </c>
      <c r="X842">
        <v>7</v>
      </c>
      <c r="Y842" s="20" t="s">
        <v>126</v>
      </c>
      <c r="Z842" s="7">
        <v>0.93472222222222223</v>
      </c>
      <c r="AA842" s="20" t="str">
        <f>grafico_sol1[[#This Row],[Value]]&amp;"|"&amp;grafico_sol1[[#This Row],[Numero Voltas]]</f>
        <v>0.934722222222222|3</v>
      </c>
    </row>
    <row r="843" spans="12:27" x14ac:dyDescent="0.25">
      <c r="L843" s="60" t="e">
        <f t="shared" si="26"/>
        <v>#N/A</v>
      </c>
      <c r="M843" s="42" t="e">
        <f t="shared" si="27"/>
        <v>#N/A</v>
      </c>
      <c r="U843">
        <v>3</v>
      </c>
      <c r="V843">
        <v>1</v>
      </c>
      <c r="W843" s="20" t="s">
        <v>301</v>
      </c>
      <c r="X843">
        <v>7</v>
      </c>
      <c r="Y843" s="20" t="s">
        <v>127</v>
      </c>
      <c r="Z843" s="7">
        <v>0.93472222222222223</v>
      </c>
      <c r="AA843" s="20" t="str">
        <f>grafico_sol1[[#This Row],[Value]]&amp;"|"&amp;grafico_sol1[[#This Row],[Numero Voltas]]</f>
        <v>0.934722222222222|3</v>
      </c>
    </row>
    <row r="844" spans="12:27" x14ac:dyDescent="0.25">
      <c r="L844" s="60" t="e">
        <f t="shared" si="26"/>
        <v>#N/A</v>
      </c>
      <c r="M844" s="42" t="e">
        <f t="shared" si="27"/>
        <v>#N/A</v>
      </c>
      <c r="U844">
        <v>2</v>
      </c>
      <c r="V844">
        <v>1</v>
      </c>
      <c r="W844" s="20" t="s">
        <v>2</v>
      </c>
      <c r="X844">
        <v>4</v>
      </c>
      <c r="Y844" s="20" t="s">
        <v>127</v>
      </c>
      <c r="Z844" s="7">
        <v>0.9375</v>
      </c>
      <c r="AA844" s="20" t="str">
        <f>grafico_sol1[[#This Row],[Value]]&amp;"|"&amp;grafico_sol1[[#This Row],[Numero Voltas]]</f>
        <v>0.9375|2</v>
      </c>
    </row>
    <row r="845" spans="12:27" x14ac:dyDescent="0.25">
      <c r="L845" s="60" t="e">
        <f t="shared" si="26"/>
        <v>#N/A</v>
      </c>
      <c r="M845" s="42" t="e">
        <f t="shared" si="27"/>
        <v>#N/A</v>
      </c>
      <c r="U845">
        <v>2</v>
      </c>
      <c r="V845">
        <v>1</v>
      </c>
      <c r="W845" s="20" t="s">
        <v>2</v>
      </c>
      <c r="X845">
        <v>4</v>
      </c>
      <c r="Y845" s="20" t="s">
        <v>126</v>
      </c>
      <c r="Z845" s="7">
        <v>0.9375</v>
      </c>
      <c r="AA845" s="20" t="str">
        <f>grafico_sol1[[#This Row],[Value]]&amp;"|"&amp;grafico_sol1[[#This Row],[Numero Voltas]]</f>
        <v>0.9375|2</v>
      </c>
    </row>
    <row r="846" spans="12:27" x14ac:dyDescent="0.25">
      <c r="L846" s="60" t="e">
        <f t="shared" si="26"/>
        <v>#N/A</v>
      </c>
      <c r="M846" s="42" t="e">
        <f t="shared" si="27"/>
        <v>#N/A</v>
      </c>
      <c r="U846">
        <v>3</v>
      </c>
      <c r="V846">
        <v>1</v>
      </c>
      <c r="W846" s="20" t="s">
        <v>302</v>
      </c>
      <c r="X846">
        <v>8</v>
      </c>
      <c r="Y846" s="20" t="s">
        <v>126</v>
      </c>
      <c r="Z846" s="7">
        <v>0.93888888888888888</v>
      </c>
      <c r="AA846" s="20" t="str">
        <f>grafico_sol1[[#This Row],[Value]]&amp;"|"&amp;grafico_sol1[[#This Row],[Numero Voltas]]</f>
        <v>0.938888888888889|3</v>
      </c>
    </row>
    <row r="847" spans="12:27" x14ac:dyDescent="0.25">
      <c r="L847" s="60" t="e">
        <f t="shared" si="26"/>
        <v>#N/A</v>
      </c>
      <c r="M847" s="42" t="e">
        <f t="shared" si="27"/>
        <v>#N/A</v>
      </c>
      <c r="U847">
        <v>3</v>
      </c>
      <c r="V847">
        <v>1</v>
      </c>
      <c r="W847" s="20" t="s">
        <v>302</v>
      </c>
      <c r="X847">
        <v>8</v>
      </c>
      <c r="Y847" s="20" t="s">
        <v>127</v>
      </c>
      <c r="Z847" s="7">
        <v>0.93888888888888888</v>
      </c>
      <c r="AA847" s="20" t="str">
        <f>grafico_sol1[[#This Row],[Value]]&amp;"|"&amp;grafico_sol1[[#This Row],[Numero Voltas]]</f>
        <v>0.938888888888889|3</v>
      </c>
    </row>
    <row r="848" spans="12:27" x14ac:dyDescent="0.25">
      <c r="L848" s="60" t="e">
        <f t="shared" si="26"/>
        <v>#N/A</v>
      </c>
      <c r="M848" s="42" t="e">
        <f t="shared" si="27"/>
        <v>#N/A</v>
      </c>
      <c r="U848">
        <v>3</v>
      </c>
      <c r="V848">
        <v>1</v>
      </c>
      <c r="W848" s="20" t="s">
        <v>303</v>
      </c>
      <c r="X848">
        <v>9</v>
      </c>
      <c r="Y848" s="20" t="s">
        <v>126</v>
      </c>
      <c r="Z848" s="7">
        <v>0.94305555555555554</v>
      </c>
      <c r="AA848" s="20" t="str">
        <f>grafico_sol1[[#This Row],[Value]]&amp;"|"&amp;grafico_sol1[[#This Row],[Numero Voltas]]</f>
        <v>0.943055555555556|3</v>
      </c>
    </row>
    <row r="849" spans="12:27" x14ac:dyDescent="0.25">
      <c r="L849" s="60" t="e">
        <f t="shared" si="26"/>
        <v>#N/A</v>
      </c>
      <c r="M849" s="42" t="e">
        <f t="shared" si="27"/>
        <v>#N/A</v>
      </c>
      <c r="U849">
        <v>3</v>
      </c>
      <c r="V849">
        <v>1</v>
      </c>
      <c r="W849" s="20" t="s">
        <v>303</v>
      </c>
      <c r="X849">
        <v>9</v>
      </c>
      <c r="Y849" s="20" t="s">
        <v>127</v>
      </c>
      <c r="Z849" s="7">
        <v>0.94305555555555554</v>
      </c>
      <c r="AA849" s="20" t="str">
        <f>grafico_sol1[[#This Row],[Value]]&amp;"|"&amp;grafico_sol1[[#This Row],[Numero Voltas]]</f>
        <v>0.943055555555556|3</v>
      </c>
    </row>
    <row r="850" spans="12:27" x14ac:dyDescent="0.25">
      <c r="L850" s="60" t="e">
        <f t="shared" si="26"/>
        <v>#N/A</v>
      </c>
      <c r="M850" s="42" t="e">
        <f t="shared" si="27"/>
        <v>#N/A</v>
      </c>
      <c r="U850">
        <v>3</v>
      </c>
      <c r="V850">
        <v>1</v>
      </c>
      <c r="W850" s="20" t="s">
        <v>303</v>
      </c>
      <c r="X850">
        <v>9</v>
      </c>
      <c r="Y850" s="20" t="s">
        <v>126</v>
      </c>
      <c r="Z850" s="7">
        <v>0.94305555555555554</v>
      </c>
      <c r="AA850" s="20" t="str">
        <f>grafico_sol1[[#This Row],[Value]]&amp;"|"&amp;grafico_sol1[[#This Row],[Numero Voltas]]</f>
        <v>0.943055555555556|3</v>
      </c>
    </row>
    <row r="851" spans="12:27" x14ac:dyDescent="0.25">
      <c r="L851" s="60" t="e">
        <f t="shared" si="26"/>
        <v>#N/A</v>
      </c>
      <c r="M851" s="42" t="e">
        <f t="shared" si="27"/>
        <v>#N/A</v>
      </c>
      <c r="U851">
        <v>3</v>
      </c>
      <c r="V851">
        <v>1</v>
      </c>
      <c r="W851" s="20" t="s">
        <v>303</v>
      </c>
      <c r="X851">
        <v>9</v>
      </c>
      <c r="Y851" s="20" t="s">
        <v>127</v>
      </c>
      <c r="Z851" s="7">
        <v>0.94305555555555554</v>
      </c>
      <c r="AA851" s="20" t="str">
        <f>grafico_sol1[[#This Row],[Value]]&amp;"|"&amp;grafico_sol1[[#This Row],[Numero Voltas]]</f>
        <v>0.943055555555556|3</v>
      </c>
    </row>
    <row r="852" spans="12:27" x14ac:dyDescent="0.25">
      <c r="L852" s="60" t="e">
        <f t="shared" si="26"/>
        <v>#N/A</v>
      </c>
      <c r="M852" s="42" t="e">
        <f t="shared" si="27"/>
        <v>#N/A</v>
      </c>
      <c r="U852">
        <v>3</v>
      </c>
      <c r="V852">
        <v>1</v>
      </c>
      <c r="W852" s="20" t="s">
        <v>302</v>
      </c>
      <c r="X852">
        <v>8</v>
      </c>
      <c r="Y852" s="20" t="s">
        <v>126</v>
      </c>
      <c r="Z852" s="7">
        <v>0.94722222222222219</v>
      </c>
      <c r="AA852" s="20" t="str">
        <f>grafico_sol1[[#This Row],[Value]]&amp;"|"&amp;grafico_sol1[[#This Row],[Numero Voltas]]</f>
        <v>0.947222222222222|3</v>
      </c>
    </row>
    <row r="853" spans="12:27" x14ac:dyDescent="0.25">
      <c r="L853" s="60" t="e">
        <f t="shared" si="26"/>
        <v>#N/A</v>
      </c>
      <c r="M853" s="42" t="e">
        <f t="shared" si="27"/>
        <v>#N/A</v>
      </c>
      <c r="U853">
        <v>3</v>
      </c>
      <c r="V853">
        <v>1</v>
      </c>
      <c r="W853" s="20" t="s">
        <v>302</v>
      </c>
      <c r="X853">
        <v>8</v>
      </c>
      <c r="Y853" s="20" t="s">
        <v>127</v>
      </c>
      <c r="Z853" s="7">
        <v>0.94722222222222219</v>
      </c>
      <c r="AA853" s="20" t="str">
        <f>grafico_sol1[[#This Row],[Value]]&amp;"|"&amp;grafico_sol1[[#This Row],[Numero Voltas]]</f>
        <v>0.947222222222222|3</v>
      </c>
    </row>
    <row r="854" spans="12:27" x14ac:dyDescent="0.25">
      <c r="L854" s="60" t="e">
        <f t="shared" si="26"/>
        <v>#N/A</v>
      </c>
      <c r="M854" s="42" t="e">
        <f t="shared" si="27"/>
        <v>#N/A</v>
      </c>
      <c r="U854">
        <v>3</v>
      </c>
      <c r="V854">
        <v>1</v>
      </c>
      <c r="W854" s="20" t="s">
        <v>301</v>
      </c>
      <c r="X854">
        <v>7</v>
      </c>
      <c r="Y854" s="20" t="s">
        <v>126</v>
      </c>
      <c r="Z854" s="7">
        <v>0.95138888888888884</v>
      </c>
      <c r="AA854" s="20" t="str">
        <f>grafico_sol1[[#This Row],[Value]]&amp;"|"&amp;grafico_sol1[[#This Row],[Numero Voltas]]</f>
        <v>0.951388888888889|3</v>
      </c>
    </row>
    <row r="855" spans="12:27" x14ac:dyDescent="0.25">
      <c r="L855" s="60" t="e">
        <f t="shared" si="26"/>
        <v>#N/A</v>
      </c>
      <c r="M855" s="42" t="e">
        <f t="shared" si="27"/>
        <v>#N/A</v>
      </c>
      <c r="U855">
        <v>3</v>
      </c>
      <c r="V855">
        <v>1</v>
      </c>
      <c r="W855" s="20" t="s">
        <v>301</v>
      </c>
      <c r="X855">
        <v>7</v>
      </c>
      <c r="Y855" s="20" t="s">
        <v>127</v>
      </c>
      <c r="Z855" s="7">
        <v>0.95138888888888884</v>
      </c>
      <c r="AA855" s="20" t="str">
        <f>grafico_sol1[[#This Row],[Value]]&amp;"|"&amp;grafico_sol1[[#This Row],[Numero Voltas]]</f>
        <v>0.951388888888889|3</v>
      </c>
    </row>
    <row r="856" spans="12:27" x14ac:dyDescent="0.25">
      <c r="L856" s="60" t="e">
        <f t="shared" si="26"/>
        <v>#N/A</v>
      </c>
      <c r="M856" s="42" t="e">
        <f t="shared" si="27"/>
        <v>#N/A</v>
      </c>
      <c r="U856">
        <v>3</v>
      </c>
      <c r="V856">
        <v>1</v>
      </c>
      <c r="W856" s="20" t="s">
        <v>300</v>
      </c>
      <c r="X856">
        <v>6</v>
      </c>
      <c r="Y856" s="20" t="s">
        <v>126</v>
      </c>
      <c r="Z856" s="7">
        <v>0.95347222222222228</v>
      </c>
      <c r="AA856" s="20" t="str">
        <f>grafico_sol1[[#This Row],[Value]]&amp;"|"&amp;grafico_sol1[[#This Row],[Numero Voltas]]</f>
        <v>0.953472222222222|3</v>
      </c>
    </row>
    <row r="857" spans="12:27" x14ac:dyDescent="0.25">
      <c r="L857" s="60" t="e">
        <f t="shared" si="26"/>
        <v>#N/A</v>
      </c>
      <c r="M857" s="42" t="e">
        <f t="shared" si="27"/>
        <v>#N/A</v>
      </c>
      <c r="U857">
        <v>3</v>
      </c>
      <c r="V857">
        <v>1</v>
      </c>
      <c r="W857" s="20" t="s">
        <v>300</v>
      </c>
      <c r="X857">
        <v>6</v>
      </c>
      <c r="Y857" s="20" t="s">
        <v>127</v>
      </c>
      <c r="Z857" s="7">
        <v>0.95347222222222228</v>
      </c>
      <c r="AA857" s="20" t="str">
        <f>grafico_sol1[[#This Row],[Value]]&amp;"|"&amp;grafico_sol1[[#This Row],[Numero Voltas]]</f>
        <v>0.953472222222222|3</v>
      </c>
    </row>
    <row r="858" spans="12:27" x14ac:dyDescent="0.25">
      <c r="L858" s="60" t="e">
        <f t="shared" si="26"/>
        <v>#N/A</v>
      </c>
      <c r="M858" s="42" t="e">
        <f t="shared" si="27"/>
        <v>#N/A</v>
      </c>
      <c r="U858">
        <v>3</v>
      </c>
      <c r="V858">
        <v>1</v>
      </c>
      <c r="W858" s="20" t="s">
        <v>300</v>
      </c>
      <c r="X858">
        <v>6</v>
      </c>
      <c r="Y858" s="20" t="s">
        <v>126</v>
      </c>
      <c r="Z858" s="7">
        <v>0.95347222222222228</v>
      </c>
      <c r="AA858" s="20" t="str">
        <f>grafico_sol1[[#This Row],[Value]]&amp;"|"&amp;grafico_sol1[[#This Row],[Numero Voltas]]</f>
        <v>0.953472222222222|3</v>
      </c>
    </row>
    <row r="859" spans="12:27" x14ac:dyDescent="0.25">
      <c r="L859" s="60" t="e">
        <f t="shared" si="26"/>
        <v>#N/A</v>
      </c>
      <c r="M859" s="42" t="e">
        <f t="shared" si="27"/>
        <v>#N/A</v>
      </c>
      <c r="U859">
        <v>3</v>
      </c>
      <c r="V859">
        <v>1</v>
      </c>
      <c r="W859" s="20" t="s">
        <v>300</v>
      </c>
      <c r="X859">
        <v>6</v>
      </c>
      <c r="Y859" s="20" t="s">
        <v>127</v>
      </c>
      <c r="Z859" s="7">
        <v>0.95347222222222228</v>
      </c>
      <c r="AA859" s="20" t="str">
        <f>grafico_sol1[[#This Row],[Value]]&amp;"|"&amp;grafico_sol1[[#This Row],[Numero Voltas]]</f>
        <v>0.953472222222222|3</v>
      </c>
    </row>
    <row r="860" spans="12:27" x14ac:dyDescent="0.25">
      <c r="L860" s="60" t="e">
        <f t="shared" si="26"/>
        <v>#N/A</v>
      </c>
      <c r="M860" s="42" t="e">
        <f t="shared" si="27"/>
        <v>#N/A</v>
      </c>
      <c r="U860">
        <v>3</v>
      </c>
      <c r="V860">
        <v>1</v>
      </c>
      <c r="W860" s="20" t="s">
        <v>215</v>
      </c>
      <c r="X860">
        <v>5</v>
      </c>
      <c r="Y860" s="20" t="s">
        <v>126</v>
      </c>
      <c r="Z860" s="7">
        <v>0.95625000000000004</v>
      </c>
      <c r="AA860" s="20" t="str">
        <f>grafico_sol1[[#This Row],[Value]]&amp;"|"&amp;grafico_sol1[[#This Row],[Numero Voltas]]</f>
        <v>0.95625|3</v>
      </c>
    </row>
    <row r="861" spans="12:27" x14ac:dyDescent="0.25">
      <c r="L861" s="60" t="e">
        <f t="shared" si="26"/>
        <v>#N/A</v>
      </c>
      <c r="M861" s="42" t="e">
        <f t="shared" si="27"/>
        <v>#N/A</v>
      </c>
      <c r="U861">
        <v>3</v>
      </c>
      <c r="V861">
        <v>1</v>
      </c>
      <c r="W861" s="20" t="s">
        <v>215</v>
      </c>
      <c r="X861">
        <v>5</v>
      </c>
      <c r="Y861" s="20" t="s">
        <v>127</v>
      </c>
      <c r="Z861" s="7">
        <v>0.95625000000000004</v>
      </c>
      <c r="AA861" s="20" t="str">
        <f>grafico_sol1[[#This Row],[Value]]&amp;"|"&amp;grafico_sol1[[#This Row],[Numero Voltas]]</f>
        <v>0.95625|3</v>
      </c>
    </row>
    <row r="862" spans="12:27" x14ac:dyDescent="0.25">
      <c r="L862" s="60" t="e">
        <f t="shared" si="26"/>
        <v>#N/A</v>
      </c>
      <c r="M862" s="42" t="e">
        <f t="shared" si="27"/>
        <v>#N/A</v>
      </c>
      <c r="U862">
        <v>3</v>
      </c>
      <c r="V862">
        <v>1</v>
      </c>
      <c r="W862" s="20" t="s">
        <v>215</v>
      </c>
      <c r="X862">
        <v>5</v>
      </c>
      <c r="Y862" s="20" t="s">
        <v>126</v>
      </c>
      <c r="Z862" s="7">
        <v>0.95625000000000004</v>
      </c>
      <c r="AA862" s="20" t="str">
        <f>grafico_sol1[[#This Row],[Value]]&amp;"|"&amp;grafico_sol1[[#This Row],[Numero Voltas]]</f>
        <v>0.95625|3</v>
      </c>
    </row>
    <row r="863" spans="12:27" x14ac:dyDescent="0.25">
      <c r="L863" s="60" t="e">
        <f t="shared" si="26"/>
        <v>#N/A</v>
      </c>
      <c r="M863" s="42" t="e">
        <f t="shared" si="27"/>
        <v>#N/A</v>
      </c>
      <c r="U863">
        <v>3</v>
      </c>
      <c r="V863">
        <v>1</v>
      </c>
      <c r="W863" s="20" t="s">
        <v>215</v>
      </c>
      <c r="X863">
        <v>5</v>
      </c>
      <c r="Y863" s="20" t="s">
        <v>127</v>
      </c>
      <c r="Z863" s="7">
        <v>0.95625000000000004</v>
      </c>
      <c r="AA863" s="20" t="str">
        <f>grafico_sol1[[#This Row],[Value]]&amp;"|"&amp;grafico_sol1[[#This Row],[Numero Voltas]]</f>
        <v>0.95625|3</v>
      </c>
    </row>
    <row r="864" spans="12:27" x14ac:dyDescent="0.25">
      <c r="L864" s="60" t="e">
        <f t="shared" si="26"/>
        <v>#N/A</v>
      </c>
      <c r="M864" s="42" t="e">
        <f t="shared" si="27"/>
        <v>#N/A</v>
      </c>
      <c r="U864">
        <v>2</v>
      </c>
      <c r="V864">
        <v>1</v>
      </c>
      <c r="W864" s="20" t="s">
        <v>2</v>
      </c>
      <c r="X864">
        <v>4</v>
      </c>
      <c r="Y864" s="20" t="s">
        <v>127</v>
      </c>
      <c r="Z864" s="7">
        <v>0.95833333333333337</v>
      </c>
      <c r="AA864" s="20" t="str">
        <f>grafico_sol1[[#This Row],[Value]]&amp;"|"&amp;grafico_sol1[[#This Row],[Numero Voltas]]</f>
        <v>0.958333333333333|2</v>
      </c>
    </row>
    <row r="865" spans="12:27" x14ac:dyDescent="0.25">
      <c r="L865" s="60" t="e">
        <f t="shared" si="26"/>
        <v>#N/A</v>
      </c>
      <c r="M865" s="42" t="e">
        <f t="shared" si="27"/>
        <v>#N/A</v>
      </c>
      <c r="U865">
        <v>2</v>
      </c>
      <c r="V865">
        <v>1</v>
      </c>
      <c r="W865" s="20" t="s">
        <v>2</v>
      </c>
      <c r="X865">
        <v>4</v>
      </c>
      <c r="Y865" s="20" t="s">
        <v>126</v>
      </c>
      <c r="Z865" s="7">
        <v>0.95833333333333337</v>
      </c>
      <c r="AA865" s="20" t="str">
        <f>grafico_sol1[[#This Row],[Value]]&amp;"|"&amp;grafico_sol1[[#This Row],[Numero Voltas]]</f>
        <v>0.958333333333333|2</v>
      </c>
    </row>
    <row r="866" spans="12:27" x14ac:dyDescent="0.25">
      <c r="L866" s="60" t="e">
        <f t="shared" si="26"/>
        <v>#N/A</v>
      </c>
      <c r="M866" s="42" t="e">
        <f t="shared" si="27"/>
        <v>#N/A</v>
      </c>
      <c r="U866">
        <v>2</v>
      </c>
      <c r="V866">
        <v>1</v>
      </c>
      <c r="W866" s="20" t="s">
        <v>2</v>
      </c>
      <c r="X866">
        <v>4</v>
      </c>
      <c r="Y866" s="20" t="s">
        <v>127</v>
      </c>
      <c r="Z866" s="7">
        <v>0.95833333333333337</v>
      </c>
      <c r="AA866" s="20" t="str">
        <f>grafico_sol1[[#This Row],[Value]]&amp;"|"&amp;grafico_sol1[[#This Row],[Numero Voltas]]</f>
        <v>0.958333333333333|2</v>
      </c>
    </row>
    <row r="867" spans="12:27" x14ac:dyDescent="0.25">
      <c r="L867" s="60" t="e">
        <f t="shared" si="26"/>
        <v>#N/A</v>
      </c>
      <c r="M867" s="42" t="e">
        <f t="shared" si="27"/>
        <v>#N/A</v>
      </c>
      <c r="U867">
        <v>2</v>
      </c>
      <c r="V867">
        <v>2</v>
      </c>
      <c r="W867" s="20" t="s">
        <v>2</v>
      </c>
      <c r="X867">
        <v>4</v>
      </c>
      <c r="Y867" s="20" t="s">
        <v>126</v>
      </c>
      <c r="Z867" s="7">
        <v>0.95833333333333337</v>
      </c>
      <c r="AA867" s="20" t="str">
        <f>grafico_sol1[[#This Row],[Value]]&amp;"|"&amp;grafico_sol1[[#This Row],[Numero Voltas]]</f>
        <v>0.958333333333333|2</v>
      </c>
    </row>
    <row r="868" spans="12:27" x14ac:dyDescent="0.25">
      <c r="L868" s="60" t="e">
        <f t="shared" si="26"/>
        <v>#N/A</v>
      </c>
      <c r="M868" s="42" t="e">
        <f t="shared" si="27"/>
        <v>#N/A</v>
      </c>
      <c r="U868">
        <v>2</v>
      </c>
      <c r="V868">
        <v>2</v>
      </c>
      <c r="W868" s="20" t="s">
        <v>2</v>
      </c>
      <c r="X868">
        <v>4</v>
      </c>
      <c r="Y868" s="20" t="s">
        <v>127</v>
      </c>
      <c r="Z868" s="7">
        <v>0.95833333333333337</v>
      </c>
      <c r="AA868" s="20" t="str">
        <f>grafico_sol1[[#This Row],[Value]]&amp;"|"&amp;grafico_sol1[[#This Row],[Numero Voltas]]</f>
        <v>0.958333333333333|2</v>
      </c>
    </row>
    <row r="869" spans="12:27" x14ac:dyDescent="0.25">
      <c r="L869" s="60" t="e">
        <f t="shared" si="26"/>
        <v>#N/A</v>
      </c>
      <c r="M869" s="42" t="e">
        <f t="shared" si="27"/>
        <v>#N/A</v>
      </c>
      <c r="U869">
        <v>2</v>
      </c>
      <c r="V869">
        <v>2</v>
      </c>
      <c r="W869" s="20" t="s">
        <v>2</v>
      </c>
      <c r="X869">
        <v>4</v>
      </c>
      <c r="Y869" s="20" t="s">
        <v>126</v>
      </c>
      <c r="Z869" s="7">
        <v>0.95833333333333337</v>
      </c>
      <c r="AA869" s="20" t="str">
        <f>grafico_sol1[[#This Row],[Value]]&amp;"|"&amp;grafico_sol1[[#This Row],[Numero Voltas]]</f>
        <v>0.958333333333333|2</v>
      </c>
    </row>
    <row r="870" spans="12:27" x14ac:dyDescent="0.25">
      <c r="L870" s="60" t="e">
        <f t="shared" si="26"/>
        <v>#N/A</v>
      </c>
      <c r="M870" s="42" t="e">
        <f t="shared" si="27"/>
        <v>#N/A</v>
      </c>
      <c r="U870">
        <v>2</v>
      </c>
      <c r="V870">
        <v>2</v>
      </c>
      <c r="W870" s="20" t="s">
        <v>2</v>
      </c>
      <c r="X870">
        <v>4</v>
      </c>
      <c r="Y870" s="20" t="s">
        <v>127</v>
      </c>
      <c r="Z870" s="7">
        <v>0.95833333333333337</v>
      </c>
      <c r="AA870" s="20" t="str">
        <f>grafico_sol1[[#This Row],[Value]]&amp;"|"&amp;grafico_sol1[[#This Row],[Numero Voltas]]</f>
        <v>0.958333333333333|2</v>
      </c>
    </row>
    <row r="871" spans="12:27" x14ac:dyDescent="0.25">
      <c r="L871" s="60" t="e">
        <f t="shared" si="26"/>
        <v>#N/A</v>
      </c>
      <c r="M871" s="42" t="e">
        <f t="shared" si="27"/>
        <v>#N/A</v>
      </c>
      <c r="U871">
        <v>2</v>
      </c>
      <c r="V871">
        <v>2</v>
      </c>
      <c r="W871" s="20" t="s">
        <v>2</v>
      </c>
      <c r="X871">
        <v>4</v>
      </c>
      <c r="Y871" s="20" t="s">
        <v>126</v>
      </c>
      <c r="Z871" s="7">
        <v>0.95833333333333337</v>
      </c>
      <c r="AA871" s="20" t="str">
        <f>grafico_sol1[[#This Row],[Value]]&amp;"|"&amp;grafico_sol1[[#This Row],[Numero Voltas]]</f>
        <v>0.958333333333333|2</v>
      </c>
    </row>
    <row r="872" spans="12:27" x14ac:dyDescent="0.25">
      <c r="L872" s="60" t="e">
        <f t="shared" si="26"/>
        <v>#N/A</v>
      </c>
      <c r="M872" s="42" t="e">
        <f t="shared" si="27"/>
        <v>#N/A</v>
      </c>
      <c r="U872">
        <v>3</v>
      </c>
      <c r="V872">
        <v>1</v>
      </c>
      <c r="W872" s="20" t="s">
        <v>2</v>
      </c>
      <c r="X872">
        <v>4</v>
      </c>
      <c r="Y872" s="20" t="s">
        <v>126</v>
      </c>
      <c r="Z872" s="7">
        <v>0.95833333333333337</v>
      </c>
      <c r="AA872" s="20" t="str">
        <f>grafico_sol1[[#This Row],[Value]]&amp;"|"&amp;grafico_sol1[[#This Row],[Numero Voltas]]</f>
        <v>0.958333333333333|3</v>
      </c>
    </row>
    <row r="873" spans="12:27" x14ac:dyDescent="0.25">
      <c r="L873" s="60" t="e">
        <f t="shared" si="26"/>
        <v>#N/A</v>
      </c>
      <c r="M873" s="42" t="e">
        <f t="shared" si="27"/>
        <v>#N/A</v>
      </c>
      <c r="U873">
        <v>3</v>
      </c>
      <c r="V873">
        <v>1</v>
      </c>
      <c r="W873" s="20" t="s">
        <v>2</v>
      </c>
      <c r="X873">
        <v>4</v>
      </c>
      <c r="Y873" s="20" t="s">
        <v>127</v>
      </c>
      <c r="Z873" s="7">
        <v>0.95833333333333337</v>
      </c>
      <c r="AA873" s="20" t="str">
        <f>grafico_sol1[[#This Row],[Value]]&amp;"|"&amp;grafico_sol1[[#This Row],[Numero Voltas]]</f>
        <v>0.958333333333333|3</v>
      </c>
    </row>
    <row r="874" spans="12:27" x14ac:dyDescent="0.25">
      <c r="L874" s="60" t="e">
        <f t="shared" si="26"/>
        <v>#N/A</v>
      </c>
      <c r="M874" s="42" t="e">
        <f t="shared" si="27"/>
        <v>#N/A</v>
      </c>
      <c r="U874">
        <v>3</v>
      </c>
      <c r="V874">
        <v>1</v>
      </c>
      <c r="W874" s="20" t="s">
        <v>2</v>
      </c>
      <c r="X874">
        <v>4</v>
      </c>
      <c r="Y874" s="20" t="s">
        <v>126</v>
      </c>
      <c r="Z874" s="7">
        <v>0.95833333333333337</v>
      </c>
      <c r="AA874" s="20" t="str">
        <f>grafico_sol1[[#This Row],[Value]]&amp;"|"&amp;grafico_sol1[[#This Row],[Numero Voltas]]</f>
        <v>0.958333333333333|3</v>
      </c>
    </row>
    <row r="875" spans="12:27" x14ac:dyDescent="0.25">
      <c r="L875" s="60" t="e">
        <f t="shared" si="26"/>
        <v>#N/A</v>
      </c>
      <c r="M875" s="42" t="e">
        <f t="shared" si="27"/>
        <v>#N/A</v>
      </c>
      <c r="U875">
        <v>3</v>
      </c>
      <c r="V875">
        <v>1</v>
      </c>
      <c r="W875" s="20" t="s">
        <v>2</v>
      </c>
      <c r="X875">
        <v>4</v>
      </c>
      <c r="Y875" s="20" t="s">
        <v>127</v>
      </c>
      <c r="Z875" s="7">
        <v>0.95833333333333337</v>
      </c>
      <c r="AA875" s="20" t="str">
        <f>grafico_sol1[[#This Row],[Value]]&amp;"|"&amp;grafico_sol1[[#This Row],[Numero Voltas]]</f>
        <v>0.958333333333333|3</v>
      </c>
    </row>
    <row r="876" spans="12:27" x14ac:dyDescent="0.25">
      <c r="L876" s="60" t="e">
        <f t="shared" si="26"/>
        <v>#N/A</v>
      </c>
      <c r="M876" s="42" t="e">
        <f t="shared" si="27"/>
        <v>#N/A</v>
      </c>
      <c r="U876">
        <v>3</v>
      </c>
      <c r="V876">
        <v>2</v>
      </c>
      <c r="W876" s="20" t="s">
        <v>2</v>
      </c>
      <c r="X876">
        <v>4</v>
      </c>
      <c r="Y876" s="20" t="s">
        <v>126</v>
      </c>
      <c r="Z876" s="7">
        <v>0.95833333333333337</v>
      </c>
      <c r="AA876" s="20" t="str">
        <f>grafico_sol1[[#This Row],[Value]]&amp;"|"&amp;grafico_sol1[[#This Row],[Numero Voltas]]</f>
        <v>0.958333333333333|3</v>
      </c>
    </row>
    <row r="877" spans="12:27" x14ac:dyDescent="0.25">
      <c r="L877" s="60" t="e">
        <f t="shared" si="26"/>
        <v>#N/A</v>
      </c>
      <c r="M877" s="42" t="e">
        <f t="shared" si="27"/>
        <v>#N/A</v>
      </c>
      <c r="U877">
        <v>3</v>
      </c>
      <c r="V877">
        <v>2</v>
      </c>
      <c r="W877" s="20" t="s">
        <v>2</v>
      </c>
      <c r="X877">
        <v>4</v>
      </c>
      <c r="Y877" s="20" t="s">
        <v>127</v>
      </c>
      <c r="Z877" s="7">
        <v>0.95833333333333337</v>
      </c>
      <c r="AA877" s="20" t="str">
        <f>grafico_sol1[[#This Row],[Value]]&amp;"|"&amp;grafico_sol1[[#This Row],[Numero Voltas]]</f>
        <v>0.958333333333333|3</v>
      </c>
    </row>
    <row r="878" spans="12:27" x14ac:dyDescent="0.25">
      <c r="L878" s="60" t="e">
        <f t="shared" si="26"/>
        <v>#N/A</v>
      </c>
      <c r="M878" s="42" t="e">
        <f t="shared" si="27"/>
        <v>#N/A</v>
      </c>
      <c r="U878">
        <v>3</v>
      </c>
      <c r="V878">
        <v>2</v>
      </c>
      <c r="W878" s="20" t="s">
        <v>2</v>
      </c>
      <c r="X878">
        <v>4</v>
      </c>
      <c r="Y878" s="20" t="s">
        <v>126</v>
      </c>
      <c r="Z878" s="7">
        <v>0.95833333333333337</v>
      </c>
      <c r="AA878" s="20" t="str">
        <f>grafico_sol1[[#This Row],[Value]]&amp;"|"&amp;grafico_sol1[[#This Row],[Numero Voltas]]</f>
        <v>0.958333333333333|3</v>
      </c>
    </row>
    <row r="879" spans="12:27" x14ac:dyDescent="0.25">
      <c r="L879" s="60" t="e">
        <f t="shared" si="26"/>
        <v>#N/A</v>
      </c>
      <c r="M879" s="42" t="e">
        <f t="shared" si="27"/>
        <v>#N/A</v>
      </c>
      <c r="U879">
        <v>3</v>
      </c>
      <c r="V879">
        <v>2</v>
      </c>
      <c r="W879" s="20" t="s">
        <v>2</v>
      </c>
      <c r="X879">
        <v>4</v>
      </c>
      <c r="Y879" s="20" t="s">
        <v>127</v>
      </c>
      <c r="Z879" s="7">
        <v>0.95833333333333337</v>
      </c>
      <c r="AA879" s="20" t="str">
        <f>grafico_sol1[[#This Row],[Value]]&amp;"|"&amp;grafico_sol1[[#This Row],[Numero Voltas]]</f>
        <v>0.958333333333333|3</v>
      </c>
    </row>
    <row r="880" spans="12:27" x14ac:dyDescent="0.25">
      <c r="L880" s="60" t="e">
        <f t="shared" si="26"/>
        <v>#N/A</v>
      </c>
      <c r="M880" s="42" t="e">
        <f t="shared" si="27"/>
        <v>#N/A</v>
      </c>
      <c r="U880">
        <v>3</v>
      </c>
      <c r="V880">
        <v>2</v>
      </c>
      <c r="W880" s="20" t="s">
        <v>2</v>
      </c>
      <c r="X880">
        <v>4</v>
      </c>
      <c r="Y880" s="20" t="s">
        <v>126</v>
      </c>
      <c r="Z880" s="7">
        <v>0.95833333333333337</v>
      </c>
      <c r="AA880" s="20" t="str">
        <f>grafico_sol1[[#This Row],[Value]]&amp;"|"&amp;grafico_sol1[[#This Row],[Numero Voltas]]</f>
        <v>0.958333333333333|3</v>
      </c>
    </row>
    <row r="881" spans="12:27" x14ac:dyDescent="0.25">
      <c r="L881" s="60" t="e">
        <f t="shared" si="26"/>
        <v>#N/A</v>
      </c>
      <c r="M881" s="42" t="e">
        <f t="shared" si="27"/>
        <v>#N/A</v>
      </c>
      <c r="U881">
        <v>2</v>
      </c>
      <c r="V881">
        <v>2</v>
      </c>
      <c r="W881" s="20" t="s">
        <v>2</v>
      </c>
      <c r="X881">
        <v>4</v>
      </c>
      <c r="Y881" s="20" t="s">
        <v>127</v>
      </c>
      <c r="Z881" s="7">
        <v>0.96875</v>
      </c>
      <c r="AA881" s="20" t="str">
        <f>grafico_sol1[[#This Row],[Value]]&amp;"|"&amp;grafico_sol1[[#This Row],[Numero Voltas]]</f>
        <v>0.96875|2</v>
      </c>
    </row>
    <row r="882" spans="12:27" x14ac:dyDescent="0.25">
      <c r="L882" s="60" t="e">
        <f t="shared" si="26"/>
        <v>#N/A</v>
      </c>
      <c r="M882" s="42" t="e">
        <f t="shared" si="27"/>
        <v>#N/A</v>
      </c>
      <c r="U882">
        <v>3</v>
      </c>
      <c r="V882">
        <v>2</v>
      </c>
      <c r="W882" s="20" t="s">
        <v>2</v>
      </c>
      <c r="X882">
        <v>4</v>
      </c>
      <c r="Y882" s="20" t="s">
        <v>127</v>
      </c>
      <c r="Z882" s="7">
        <v>0.96875</v>
      </c>
      <c r="AA882" s="20" t="str">
        <f>grafico_sol1[[#This Row],[Value]]&amp;"|"&amp;grafico_sol1[[#This Row],[Numero Voltas]]</f>
        <v>0.96875|3</v>
      </c>
    </row>
    <row r="883" spans="12:27" x14ac:dyDescent="0.25">
      <c r="L883" s="60" t="e">
        <f t="shared" si="26"/>
        <v>#N/A</v>
      </c>
      <c r="M883" s="42" t="e">
        <f t="shared" si="27"/>
        <v>#N/A</v>
      </c>
      <c r="U883">
        <v>3</v>
      </c>
      <c r="V883">
        <v>2</v>
      </c>
      <c r="W883" s="20" t="s">
        <v>2</v>
      </c>
      <c r="X883">
        <v>4</v>
      </c>
      <c r="Y883" s="20" t="s">
        <v>126</v>
      </c>
      <c r="Z883" s="7">
        <v>0.96875</v>
      </c>
      <c r="AA883" s="20" t="str">
        <f>grafico_sol1[[#This Row],[Value]]&amp;"|"&amp;grafico_sol1[[#This Row],[Numero Voltas]]</f>
        <v>0.96875|3</v>
      </c>
    </row>
    <row r="884" spans="12:27" x14ac:dyDescent="0.25">
      <c r="L884" s="60" t="e">
        <f t="shared" si="26"/>
        <v>#N/A</v>
      </c>
      <c r="M884" s="42" t="e">
        <f t="shared" si="27"/>
        <v>#N/A</v>
      </c>
      <c r="U884">
        <v>2</v>
      </c>
      <c r="V884">
        <v>2</v>
      </c>
      <c r="W884" s="20" t="s">
        <v>208</v>
      </c>
      <c r="X884">
        <v>3</v>
      </c>
      <c r="Y884" s="20" t="s">
        <v>126</v>
      </c>
      <c r="Z884" s="7">
        <v>0.97222222222222221</v>
      </c>
      <c r="AA884" s="20" t="str">
        <f>grafico_sol1[[#This Row],[Value]]&amp;"|"&amp;grafico_sol1[[#This Row],[Numero Voltas]]</f>
        <v>0.972222222222222|2</v>
      </c>
    </row>
    <row r="885" spans="12:27" x14ac:dyDescent="0.25">
      <c r="L885" s="60" t="e">
        <f t="shared" si="26"/>
        <v>#N/A</v>
      </c>
      <c r="M885" s="42" t="e">
        <f t="shared" si="27"/>
        <v>#N/A</v>
      </c>
      <c r="U885">
        <v>2</v>
      </c>
      <c r="V885">
        <v>2</v>
      </c>
      <c r="W885" s="20" t="s">
        <v>208</v>
      </c>
      <c r="X885">
        <v>3</v>
      </c>
      <c r="Y885" s="20" t="s">
        <v>127</v>
      </c>
      <c r="Z885" s="7">
        <v>0.97222222222222221</v>
      </c>
      <c r="AA885" s="20" t="str">
        <f>grafico_sol1[[#This Row],[Value]]&amp;"|"&amp;grafico_sol1[[#This Row],[Numero Voltas]]</f>
        <v>0.972222222222222|2</v>
      </c>
    </row>
    <row r="886" spans="12:27" x14ac:dyDescent="0.25">
      <c r="L886" s="60" t="e">
        <f t="shared" si="26"/>
        <v>#N/A</v>
      </c>
      <c r="M886" s="42" t="e">
        <f t="shared" si="27"/>
        <v>#N/A</v>
      </c>
      <c r="U886">
        <v>2</v>
      </c>
      <c r="V886">
        <v>2</v>
      </c>
      <c r="W886" s="20" t="s">
        <v>228</v>
      </c>
      <c r="X886">
        <v>2</v>
      </c>
      <c r="Y886" s="20" t="s">
        <v>126</v>
      </c>
      <c r="Z886" s="7">
        <v>0.97430555555555554</v>
      </c>
      <c r="AA886" s="20" t="str">
        <f>grafico_sol1[[#This Row],[Value]]&amp;"|"&amp;grafico_sol1[[#This Row],[Numero Voltas]]</f>
        <v>0.974305555555556|2</v>
      </c>
    </row>
    <row r="887" spans="12:27" x14ac:dyDescent="0.25">
      <c r="L887" s="60" t="e">
        <f t="shared" ref="L887:L950" si="28">IF(Q887&lt;&gt;"",Q887,#N/A)</f>
        <v>#N/A</v>
      </c>
      <c r="M887" s="42" t="e">
        <f t="shared" ref="M887:M950" si="29">IF(R887&lt;&gt;"",R887,#N/A)</f>
        <v>#N/A</v>
      </c>
      <c r="U887">
        <v>2</v>
      </c>
      <c r="V887">
        <v>2</v>
      </c>
      <c r="W887" s="20" t="s">
        <v>228</v>
      </c>
      <c r="X887">
        <v>2</v>
      </c>
      <c r="Y887" s="20" t="s">
        <v>127</v>
      </c>
      <c r="Z887" s="7">
        <v>0.97430555555555554</v>
      </c>
      <c r="AA887" s="20" t="str">
        <f>grafico_sol1[[#This Row],[Value]]&amp;"|"&amp;grafico_sol1[[#This Row],[Numero Voltas]]</f>
        <v>0.974305555555556|2</v>
      </c>
    </row>
    <row r="888" spans="12:27" x14ac:dyDescent="0.25">
      <c r="L888" s="60" t="e">
        <f t="shared" si="28"/>
        <v>#N/A</v>
      </c>
      <c r="M888" s="42" t="e">
        <f t="shared" si="29"/>
        <v>#N/A</v>
      </c>
      <c r="U888">
        <v>2</v>
      </c>
      <c r="V888">
        <v>2</v>
      </c>
      <c r="W888" s="20" t="s">
        <v>200</v>
      </c>
      <c r="X888">
        <v>1</v>
      </c>
      <c r="Y888" s="20" t="s">
        <v>126</v>
      </c>
      <c r="Z888" s="7">
        <v>0.97499999999999998</v>
      </c>
      <c r="AA888" s="20" t="str">
        <f>grafico_sol1[[#This Row],[Value]]&amp;"|"&amp;grafico_sol1[[#This Row],[Numero Voltas]]</f>
        <v>0.975|2</v>
      </c>
    </row>
    <row r="889" spans="12:27" x14ac:dyDescent="0.25">
      <c r="L889" s="60" t="e">
        <f t="shared" si="28"/>
        <v>#N/A</v>
      </c>
      <c r="M889" s="42" t="e">
        <f t="shared" si="29"/>
        <v>#N/A</v>
      </c>
      <c r="U889">
        <v>2</v>
      </c>
      <c r="V889">
        <v>2</v>
      </c>
      <c r="W889" s="20" t="s">
        <v>200</v>
      </c>
      <c r="X889">
        <v>1</v>
      </c>
      <c r="Y889" s="20" t="s">
        <v>127</v>
      </c>
      <c r="Z889" s="7">
        <v>0.97499999999999998</v>
      </c>
      <c r="AA889" s="20" t="str">
        <f>grafico_sol1[[#This Row],[Value]]&amp;"|"&amp;grafico_sol1[[#This Row],[Numero Voltas]]</f>
        <v>0.975|2</v>
      </c>
    </row>
    <row r="890" spans="12:27" x14ac:dyDescent="0.25">
      <c r="L890" s="60" t="e">
        <f t="shared" si="28"/>
        <v>#N/A</v>
      </c>
      <c r="M890" s="42" t="e">
        <f t="shared" si="29"/>
        <v>#N/A</v>
      </c>
      <c r="U890">
        <v>2</v>
      </c>
      <c r="V890">
        <v>2</v>
      </c>
      <c r="W890" s="20" t="s">
        <v>203</v>
      </c>
      <c r="X890">
        <v>0</v>
      </c>
      <c r="Y890" s="20" t="s">
        <v>126</v>
      </c>
      <c r="Z890" s="7">
        <v>0.97638888888888886</v>
      </c>
      <c r="AA890" s="20" t="str">
        <f>grafico_sol1[[#This Row],[Value]]&amp;"|"&amp;grafico_sol1[[#This Row],[Numero Voltas]]</f>
        <v>0.976388888888889|2</v>
      </c>
    </row>
    <row r="891" spans="12:27" x14ac:dyDescent="0.25">
      <c r="L891" s="60" t="e">
        <f t="shared" si="28"/>
        <v>#N/A</v>
      </c>
      <c r="M891" s="42" t="e">
        <f t="shared" si="29"/>
        <v>#N/A</v>
      </c>
      <c r="U891">
        <v>2</v>
      </c>
      <c r="V891">
        <v>2</v>
      </c>
      <c r="W891" s="20" t="s">
        <v>203</v>
      </c>
      <c r="X891">
        <v>0</v>
      </c>
      <c r="Y891" s="20" t="s">
        <v>127</v>
      </c>
      <c r="Z891" s="7">
        <v>0.97638888888888886</v>
      </c>
      <c r="AA891" s="20" t="str">
        <f>grafico_sol1[[#This Row],[Value]]&amp;"|"&amp;grafico_sol1[[#This Row],[Numero Voltas]]</f>
        <v>0.976388888888889|2</v>
      </c>
    </row>
    <row r="892" spans="12:27" x14ac:dyDescent="0.25">
      <c r="L892" s="60" t="e">
        <f t="shared" si="28"/>
        <v>#N/A</v>
      </c>
      <c r="M892" s="42" t="e">
        <f t="shared" si="29"/>
        <v>#N/A</v>
      </c>
      <c r="U892">
        <v>2</v>
      </c>
      <c r="V892">
        <v>2</v>
      </c>
      <c r="W892" s="20" t="s">
        <v>203</v>
      </c>
      <c r="X892">
        <v>0</v>
      </c>
      <c r="Y892" s="20" t="s">
        <v>126</v>
      </c>
      <c r="Z892" s="7">
        <v>0.97638888888888886</v>
      </c>
      <c r="AA892" s="20" t="str">
        <f>grafico_sol1[[#This Row],[Value]]&amp;"|"&amp;grafico_sol1[[#This Row],[Numero Voltas]]</f>
        <v>0.976388888888889|2</v>
      </c>
    </row>
    <row r="893" spans="12:27" x14ac:dyDescent="0.25">
      <c r="L893" s="60" t="e">
        <f t="shared" si="28"/>
        <v>#N/A</v>
      </c>
      <c r="M893" s="42" t="e">
        <f t="shared" si="29"/>
        <v>#N/A</v>
      </c>
      <c r="U893">
        <v>3</v>
      </c>
      <c r="V893">
        <v>2</v>
      </c>
      <c r="W893" s="20" t="s">
        <v>2</v>
      </c>
      <c r="X893">
        <v>4</v>
      </c>
      <c r="Y893" s="20" t="s">
        <v>127</v>
      </c>
      <c r="Z893" s="7">
        <v>0.97777777777777775</v>
      </c>
      <c r="AA893" s="20" t="str">
        <f>grafico_sol1[[#This Row],[Value]]&amp;"|"&amp;grafico_sol1[[#This Row],[Numero Voltas]]</f>
        <v>0.977777777777778|3</v>
      </c>
    </row>
    <row r="894" spans="12:27" x14ac:dyDescent="0.25">
      <c r="L894" s="60" t="e">
        <f t="shared" si="28"/>
        <v>#N/A</v>
      </c>
      <c r="M894" s="42" t="e">
        <f t="shared" si="29"/>
        <v>#N/A</v>
      </c>
      <c r="U894">
        <v>3</v>
      </c>
      <c r="V894">
        <v>2</v>
      </c>
      <c r="W894" s="20" t="s">
        <v>208</v>
      </c>
      <c r="X894">
        <v>3</v>
      </c>
      <c r="Y894" s="20" t="s">
        <v>126</v>
      </c>
      <c r="Z894" s="7">
        <v>0.98124999999999996</v>
      </c>
      <c r="AA894" s="20" t="str">
        <f>grafico_sol1[[#This Row],[Value]]&amp;"|"&amp;grafico_sol1[[#This Row],[Numero Voltas]]</f>
        <v>0.98125|3</v>
      </c>
    </row>
    <row r="895" spans="12:27" x14ac:dyDescent="0.25">
      <c r="L895" s="60" t="e">
        <f t="shared" si="28"/>
        <v>#N/A</v>
      </c>
      <c r="M895" s="42" t="e">
        <f t="shared" si="29"/>
        <v>#N/A</v>
      </c>
      <c r="U895">
        <v>3</v>
      </c>
      <c r="V895">
        <v>2</v>
      </c>
      <c r="W895" s="20" t="s">
        <v>208</v>
      </c>
      <c r="X895">
        <v>3</v>
      </c>
      <c r="Y895" s="20" t="s">
        <v>127</v>
      </c>
      <c r="Z895" s="7">
        <v>0.98124999999999996</v>
      </c>
      <c r="AA895" s="20" t="str">
        <f>grafico_sol1[[#This Row],[Value]]&amp;"|"&amp;grafico_sol1[[#This Row],[Numero Voltas]]</f>
        <v>0.98125|3</v>
      </c>
    </row>
    <row r="896" spans="12:27" x14ac:dyDescent="0.25">
      <c r="L896" s="60" t="e">
        <f t="shared" si="28"/>
        <v>#N/A</v>
      </c>
      <c r="M896" s="42" t="e">
        <f t="shared" si="29"/>
        <v>#N/A</v>
      </c>
      <c r="U896">
        <v>3</v>
      </c>
      <c r="V896">
        <v>2</v>
      </c>
      <c r="W896" s="20" t="s">
        <v>228</v>
      </c>
      <c r="X896">
        <v>2</v>
      </c>
      <c r="Y896" s="20" t="s">
        <v>126</v>
      </c>
      <c r="Z896" s="7">
        <v>0.98333333333333328</v>
      </c>
      <c r="AA896" s="20" t="str">
        <f>grafico_sol1[[#This Row],[Value]]&amp;"|"&amp;grafico_sol1[[#This Row],[Numero Voltas]]</f>
        <v>0.983333333333333|3</v>
      </c>
    </row>
    <row r="897" spans="12:27" x14ac:dyDescent="0.25">
      <c r="L897" s="60" t="e">
        <f t="shared" si="28"/>
        <v>#N/A</v>
      </c>
      <c r="M897" s="42" t="e">
        <f t="shared" si="29"/>
        <v>#N/A</v>
      </c>
      <c r="U897">
        <v>3</v>
      </c>
      <c r="V897">
        <v>2</v>
      </c>
      <c r="W897" s="20" t="s">
        <v>228</v>
      </c>
      <c r="X897">
        <v>2</v>
      </c>
      <c r="Y897" s="20" t="s">
        <v>127</v>
      </c>
      <c r="Z897" s="7">
        <v>0.98333333333333328</v>
      </c>
      <c r="AA897" s="20" t="str">
        <f>grafico_sol1[[#This Row],[Value]]&amp;"|"&amp;grafico_sol1[[#This Row],[Numero Voltas]]</f>
        <v>0.983333333333333|3</v>
      </c>
    </row>
    <row r="898" spans="12:27" x14ac:dyDescent="0.25">
      <c r="L898" s="60" t="e">
        <f t="shared" si="28"/>
        <v>#N/A</v>
      </c>
      <c r="M898" s="42" t="e">
        <f t="shared" si="29"/>
        <v>#N/A</v>
      </c>
      <c r="U898">
        <v>3</v>
      </c>
      <c r="V898">
        <v>2</v>
      </c>
      <c r="W898" s="20" t="s">
        <v>200</v>
      </c>
      <c r="X898">
        <v>1</v>
      </c>
      <c r="Y898" s="20" t="s">
        <v>126</v>
      </c>
      <c r="Z898" s="7">
        <v>0.98402777777777772</v>
      </c>
      <c r="AA898" s="20" t="str">
        <f>grafico_sol1[[#This Row],[Value]]&amp;"|"&amp;grafico_sol1[[#This Row],[Numero Voltas]]</f>
        <v>0.984027777777778|3</v>
      </c>
    </row>
    <row r="899" spans="12:27" x14ac:dyDescent="0.25">
      <c r="L899" s="60" t="e">
        <f t="shared" si="28"/>
        <v>#N/A</v>
      </c>
      <c r="M899" s="42" t="e">
        <f t="shared" si="29"/>
        <v>#N/A</v>
      </c>
      <c r="U899">
        <v>3</v>
      </c>
      <c r="V899">
        <v>2</v>
      </c>
      <c r="W899" s="20" t="s">
        <v>200</v>
      </c>
      <c r="X899">
        <v>1</v>
      </c>
      <c r="Y899" s="20" t="s">
        <v>127</v>
      </c>
      <c r="Z899" s="7">
        <v>0.98402777777777772</v>
      </c>
      <c r="AA899" s="20" t="str">
        <f>grafico_sol1[[#This Row],[Value]]&amp;"|"&amp;grafico_sol1[[#This Row],[Numero Voltas]]</f>
        <v>0.984027777777778|3</v>
      </c>
    </row>
    <row r="900" spans="12:27" x14ac:dyDescent="0.25">
      <c r="L900" s="60" t="e">
        <f t="shared" si="28"/>
        <v>#N/A</v>
      </c>
      <c r="M900" s="42" t="e">
        <f t="shared" si="29"/>
        <v>#N/A</v>
      </c>
      <c r="U900">
        <v>3</v>
      </c>
      <c r="V900">
        <v>2</v>
      </c>
      <c r="W900" s="20" t="s">
        <v>203</v>
      </c>
      <c r="X900">
        <v>0</v>
      </c>
      <c r="Y900" s="20" t="s">
        <v>126</v>
      </c>
      <c r="Z900" s="7">
        <v>0.98541666666666672</v>
      </c>
      <c r="AA900" s="20" t="str">
        <f>grafico_sol1[[#This Row],[Value]]&amp;"|"&amp;grafico_sol1[[#This Row],[Numero Voltas]]</f>
        <v>0.985416666666667|3</v>
      </c>
    </row>
    <row r="901" spans="12:27" x14ac:dyDescent="0.25">
      <c r="L901" s="60" t="e">
        <f t="shared" si="28"/>
        <v>#N/A</v>
      </c>
      <c r="M901" s="42" t="e">
        <f t="shared" si="29"/>
        <v>#N/A</v>
      </c>
      <c r="U901">
        <v>3</v>
      </c>
      <c r="V901">
        <v>2</v>
      </c>
      <c r="W901" s="20" t="s">
        <v>203</v>
      </c>
      <c r="X901">
        <v>0</v>
      </c>
      <c r="Y901" s="20" t="s">
        <v>127</v>
      </c>
      <c r="Z901" s="7">
        <v>0.98541666666666672</v>
      </c>
      <c r="AA901" s="20" t="str">
        <f>grafico_sol1[[#This Row],[Value]]&amp;"|"&amp;grafico_sol1[[#This Row],[Numero Voltas]]</f>
        <v>0.985416666666667|3</v>
      </c>
    </row>
    <row r="902" spans="12:27" x14ac:dyDescent="0.25">
      <c r="L902" s="60" t="e">
        <f t="shared" si="28"/>
        <v>#N/A</v>
      </c>
      <c r="M902" s="42" t="e">
        <f t="shared" si="29"/>
        <v>#N/A</v>
      </c>
      <c r="U902">
        <v>3</v>
      </c>
      <c r="V902">
        <v>2</v>
      </c>
      <c r="W902" s="20" t="s">
        <v>203</v>
      </c>
      <c r="X902">
        <v>0</v>
      </c>
      <c r="Y902" s="20" t="s">
        <v>126</v>
      </c>
      <c r="Z902" s="7">
        <v>0.98541666666666672</v>
      </c>
      <c r="AA902" s="20" t="str">
        <f>grafico_sol1[[#This Row],[Value]]&amp;"|"&amp;grafico_sol1[[#This Row],[Numero Voltas]]</f>
        <v>0.985416666666667|3</v>
      </c>
    </row>
    <row r="903" spans="12:27" x14ac:dyDescent="0.25">
      <c r="L903" s="60" t="e">
        <f t="shared" si="28"/>
        <v>#N/A</v>
      </c>
      <c r="M903" s="42" t="e">
        <f t="shared" si="29"/>
        <v>#N/A</v>
      </c>
      <c r="U903">
        <v>3</v>
      </c>
      <c r="V903">
        <v>2</v>
      </c>
      <c r="W903" s="20" t="s">
        <v>203</v>
      </c>
      <c r="X903">
        <v>0</v>
      </c>
      <c r="Y903" s="20" t="s">
        <v>127</v>
      </c>
      <c r="Z903" s="7">
        <v>0.98541666666666672</v>
      </c>
      <c r="AA903" s="20" t="str">
        <f>grafico_sol1[[#This Row],[Value]]&amp;"|"&amp;grafico_sol1[[#This Row],[Numero Voltas]]</f>
        <v>0.985416666666667|3</v>
      </c>
    </row>
    <row r="904" spans="12:27" x14ac:dyDescent="0.25">
      <c r="L904" s="60" t="e">
        <f t="shared" si="28"/>
        <v>#N/A</v>
      </c>
      <c r="M904" s="42" t="e">
        <f t="shared" si="29"/>
        <v>#N/A</v>
      </c>
      <c r="U904">
        <v>3</v>
      </c>
      <c r="V904">
        <v>2</v>
      </c>
      <c r="W904" s="20" t="s">
        <v>200</v>
      </c>
      <c r="X904">
        <v>1</v>
      </c>
      <c r="Y904" s="20" t="s">
        <v>126</v>
      </c>
      <c r="Z904" s="7">
        <v>0.9868055555555556</v>
      </c>
      <c r="AA904" s="20" t="str">
        <f>grafico_sol1[[#This Row],[Value]]&amp;"|"&amp;grafico_sol1[[#This Row],[Numero Voltas]]</f>
        <v>0.986805555555556|3</v>
      </c>
    </row>
    <row r="905" spans="12:27" x14ac:dyDescent="0.25">
      <c r="L905" s="60" t="e">
        <f t="shared" si="28"/>
        <v>#N/A</v>
      </c>
      <c r="M905" s="42" t="e">
        <f t="shared" si="29"/>
        <v>#N/A</v>
      </c>
      <c r="U905">
        <v>3</v>
      </c>
      <c r="V905">
        <v>2</v>
      </c>
      <c r="W905" s="20" t="s">
        <v>200</v>
      </c>
      <c r="X905">
        <v>1</v>
      </c>
      <c r="Y905" s="20" t="s">
        <v>127</v>
      </c>
      <c r="Z905" s="7">
        <v>0.9868055555555556</v>
      </c>
      <c r="AA905" s="20" t="str">
        <f>grafico_sol1[[#This Row],[Value]]&amp;"|"&amp;grafico_sol1[[#This Row],[Numero Voltas]]</f>
        <v>0.986805555555556|3</v>
      </c>
    </row>
    <row r="906" spans="12:27" x14ac:dyDescent="0.25">
      <c r="L906" s="60" t="e">
        <f t="shared" si="28"/>
        <v>#N/A</v>
      </c>
      <c r="M906" s="42" t="e">
        <f t="shared" si="29"/>
        <v>#N/A</v>
      </c>
      <c r="U906">
        <v>3</v>
      </c>
      <c r="V906">
        <v>2</v>
      </c>
      <c r="W906" s="20" t="s">
        <v>228</v>
      </c>
      <c r="X906">
        <v>2</v>
      </c>
      <c r="Y906" s="20" t="s">
        <v>126</v>
      </c>
      <c r="Z906" s="7">
        <v>0.98750000000000004</v>
      </c>
      <c r="AA906" s="20" t="str">
        <f>grafico_sol1[[#This Row],[Value]]&amp;"|"&amp;grafico_sol1[[#This Row],[Numero Voltas]]</f>
        <v>0.9875|3</v>
      </c>
    </row>
    <row r="907" spans="12:27" x14ac:dyDescent="0.25">
      <c r="L907" s="60" t="e">
        <f t="shared" si="28"/>
        <v>#N/A</v>
      </c>
      <c r="M907" s="42" t="e">
        <f t="shared" si="29"/>
        <v>#N/A</v>
      </c>
      <c r="U907">
        <v>3</v>
      </c>
      <c r="V907">
        <v>2</v>
      </c>
      <c r="W907" s="20" t="s">
        <v>228</v>
      </c>
      <c r="X907">
        <v>2</v>
      </c>
      <c r="Y907" s="20" t="s">
        <v>127</v>
      </c>
      <c r="Z907" s="7">
        <v>0.98750000000000004</v>
      </c>
      <c r="AA907" s="20" t="str">
        <f>grafico_sol1[[#This Row],[Value]]&amp;"|"&amp;grafico_sol1[[#This Row],[Numero Voltas]]</f>
        <v>0.9875|3</v>
      </c>
    </row>
    <row r="908" spans="12:27" x14ac:dyDescent="0.25">
      <c r="L908" s="60" t="e">
        <f t="shared" si="28"/>
        <v>#N/A</v>
      </c>
      <c r="M908" s="42" t="e">
        <f t="shared" si="29"/>
        <v>#N/A</v>
      </c>
      <c r="U908">
        <v>3</v>
      </c>
      <c r="V908">
        <v>2</v>
      </c>
      <c r="W908" s="20" t="s">
        <v>208</v>
      </c>
      <c r="X908">
        <v>3</v>
      </c>
      <c r="Y908" s="20" t="s">
        <v>126</v>
      </c>
      <c r="Z908" s="7">
        <v>0.98958333333333337</v>
      </c>
      <c r="AA908" s="20" t="str">
        <f>grafico_sol1[[#This Row],[Value]]&amp;"|"&amp;grafico_sol1[[#This Row],[Numero Voltas]]</f>
        <v>0.989583333333333|3</v>
      </c>
    </row>
    <row r="909" spans="12:27" x14ac:dyDescent="0.25">
      <c r="L909" s="60" t="e">
        <f t="shared" si="28"/>
        <v>#N/A</v>
      </c>
      <c r="M909" s="42" t="e">
        <f t="shared" si="29"/>
        <v>#N/A</v>
      </c>
      <c r="U909">
        <v>3</v>
      </c>
      <c r="V909">
        <v>2</v>
      </c>
      <c r="W909" s="20" t="s">
        <v>208</v>
      </c>
      <c r="X909">
        <v>3</v>
      </c>
      <c r="Y909" s="20" t="s">
        <v>127</v>
      </c>
      <c r="Z909" s="7">
        <v>0.98958333333333337</v>
      </c>
      <c r="AA909" s="20" t="str">
        <f>grafico_sol1[[#This Row],[Value]]&amp;"|"&amp;grafico_sol1[[#This Row],[Numero Voltas]]</f>
        <v>0.989583333333333|3</v>
      </c>
    </row>
    <row r="910" spans="12:27" x14ac:dyDescent="0.25">
      <c r="L910" s="60" t="e">
        <f t="shared" si="28"/>
        <v>#N/A</v>
      </c>
      <c r="M910" s="42" t="e">
        <f t="shared" si="29"/>
        <v>#N/A</v>
      </c>
      <c r="U910">
        <v>3</v>
      </c>
      <c r="V910">
        <v>2</v>
      </c>
      <c r="W910" s="20" t="s">
        <v>2</v>
      </c>
      <c r="X910">
        <v>4</v>
      </c>
      <c r="Y910" s="20" t="s">
        <v>126</v>
      </c>
      <c r="Z910" s="7">
        <v>0.99305555555555558</v>
      </c>
      <c r="AA910" s="20" t="str">
        <f>grafico_sol1[[#This Row],[Value]]&amp;"|"&amp;grafico_sol1[[#This Row],[Numero Voltas]]</f>
        <v>0.993055555555556|3</v>
      </c>
    </row>
    <row r="911" spans="12:27" x14ac:dyDescent="0.25">
      <c r="L911" s="60" t="e">
        <f t="shared" si="28"/>
        <v>#N/A</v>
      </c>
      <c r="M911" s="42" t="e">
        <f t="shared" si="29"/>
        <v>#N/A</v>
      </c>
      <c r="U911">
        <v>3</v>
      </c>
      <c r="V911">
        <v>2</v>
      </c>
      <c r="W911" s="20" t="s">
        <v>2</v>
      </c>
      <c r="X911">
        <v>4</v>
      </c>
      <c r="Y911" s="20" t="s">
        <v>127</v>
      </c>
      <c r="Z911" s="7">
        <v>0.99305555555555558</v>
      </c>
      <c r="AA911" s="20" t="str">
        <f>grafico_sol1[[#This Row],[Value]]&amp;"|"&amp;grafico_sol1[[#This Row],[Numero Voltas]]</f>
        <v>0.993055555555556|3</v>
      </c>
    </row>
    <row r="912" spans="12:27" x14ac:dyDescent="0.25">
      <c r="L912" s="60" t="e">
        <f t="shared" si="28"/>
        <v>#N/A</v>
      </c>
      <c r="M912" s="42" t="e">
        <f t="shared" si="29"/>
        <v>#N/A</v>
      </c>
      <c r="U912">
        <v>3</v>
      </c>
      <c r="V912">
        <v>2</v>
      </c>
      <c r="W912" s="20" t="s">
        <v>2</v>
      </c>
      <c r="X912">
        <v>4</v>
      </c>
      <c r="Y912" s="20" t="s">
        <v>126</v>
      </c>
      <c r="Z912" s="7">
        <v>0.99305555555555558</v>
      </c>
      <c r="AA912" s="20" t="str">
        <f>grafico_sol1[[#This Row],[Value]]&amp;"|"&amp;grafico_sol1[[#This Row],[Numero Voltas]]</f>
        <v>0.993055555555556|3</v>
      </c>
    </row>
    <row r="913" spans="12:27" x14ac:dyDescent="0.25">
      <c r="L913" s="60" t="e">
        <f t="shared" si="28"/>
        <v>#N/A</v>
      </c>
      <c r="M913" s="42" t="e">
        <f t="shared" si="29"/>
        <v>#N/A</v>
      </c>
      <c r="U913">
        <v>2</v>
      </c>
      <c r="V913">
        <v>2</v>
      </c>
      <c r="W913" s="20" t="s">
        <v>203</v>
      </c>
      <c r="X913">
        <v>0</v>
      </c>
      <c r="Y913" s="20" t="s">
        <v>127</v>
      </c>
      <c r="Z913" s="7">
        <v>0.99722222222222223</v>
      </c>
      <c r="AA913" s="20" t="str">
        <f>grafico_sol1[[#This Row],[Value]]&amp;"|"&amp;grafico_sol1[[#This Row],[Numero Voltas]]</f>
        <v>0.997222222222222|2</v>
      </c>
    </row>
    <row r="914" spans="12:27" x14ac:dyDescent="0.25">
      <c r="L914" s="60" t="e">
        <f t="shared" si="28"/>
        <v>#N/A</v>
      </c>
      <c r="M914" s="42" t="e">
        <f t="shared" si="29"/>
        <v>#N/A</v>
      </c>
      <c r="U914">
        <v>2</v>
      </c>
      <c r="V914">
        <v>2</v>
      </c>
      <c r="W914" s="20" t="s">
        <v>203</v>
      </c>
      <c r="X914">
        <v>0</v>
      </c>
      <c r="Y914" s="20" t="s">
        <v>126</v>
      </c>
      <c r="Z914" s="7">
        <v>0.99722222222222223</v>
      </c>
      <c r="AA914" s="20" t="str">
        <f>grafico_sol1[[#This Row],[Value]]&amp;"|"&amp;grafico_sol1[[#This Row],[Numero Voltas]]</f>
        <v>0.997222222222222|2</v>
      </c>
    </row>
    <row r="915" spans="12:27" x14ac:dyDescent="0.25">
      <c r="L915" s="60" t="e">
        <f t="shared" si="28"/>
        <v>#N/A</v>
      </c>
      <c r="M915" s="42" t="e">
        <f t="shared" si="29"/>
        <v>#N/A</v>
      </c>
      <c r="U915">
        <v>2</v>
      </c>
      <c r="V915">
        <v>2</v>
      </c>
      <c r="W915" s="20" t="s">
        <v>203</v>
      </c>
      <c r="X915">
        <v>0</v>
      </c>
      <c r="Y915" s="20" t="s">
        <v>127</v>
      </c>
      <c r="Z915" s="7">
        <v>0.99722222222222223</v>
      </c>
      <c r="AA915" s="20" t="str">
        <f>grafico_sol1[[#This Row],[Value]]&amp;"|"&amp;grafico_sol1[[#This Row],[Numero Voltas]]</f>
        <v>0.997222222222222|2</v>
      </c>
    </row>
    <row r="916" spans="12:27" x14ac:dyDescent="0.25">
      <c r="L916" s="60" t="e">
        <f t="shared" si="28"/>
        <v>#N/A</v>
      </c>
      <c r="M916" s="42" t="e">
        <f t="shared" si="29"/>
        <v>#N/A</v>
      </c>
      <c r="U916">
        <v>2</v>
      </c>
      <c r="V916">
        <v>2</v>
      </c>
      <c r="W916" s="20" t="s">
        <v>200</v>
      </c>
      <c r="X916">
        <v>1</v>
      </c>
      <c r="Y916" s="20" t="s">
        <v>126</v>
      </c>
      <c r="Z916" s="7">
        <v>0.99861111111111112</v>
      </c>
      <c r="AA916" s="20" t="str">
        <f>grafico_sol1[[#This Row],[Value]]&amp;"|"&amp;grafico_sol1[[#This Row],[Numero Voltas]]</f>
        <v>0.998611111111111|2</v>
      </c>
    </row>
    <row r="917" spans="12:27" x14ac:dyDescent="0.25">
      <c r="L917" s="60" t="e">
        <f t="shared" si="28"/>
        <v>#N/A</v>
      </c>
      <c r="M917" s="42" t="e">
        <f t="shared" si="29"/>
        <v>#N/A</v>
      </c>
      <c r="U917">
        <v>2</v>
      </c>
      <c r="V917">
        <v>2</v>
      </c>
      <c r="W917" s="20" t="s">
        <v>200</v>
      </c>
      <c r="X917">
        <v>1</v>
      </c>
      <c r="Y917" s="20" t="s">
        <v>127</v>
      </c>
      <c r="Z917" s="7">
        <v>0.99861111111111112</v>
      </c>
      <c r="AA917" s="20" t="str">
        <f>grafico_sol1[[#This Row],[Value]]&amp;"|"&amp;grafico_sol1[[#This Row],[Numero Voltas]]</f>
        <v>0.998611111111111|2</v>
      </c>
    </row>
    <row r="918" spans="12:27" x14ac:dyDescent="0.25">
      <c r="L918" s="60" t="e">
        <f t="shared" si="28"/>
        <v>#N/A</v>
      </c>
      <c r="M918" s="42" t="e">
        <f t="shared" si="29"/>
        <v>#N/A</v>
      </c>
      <c r="U918">
        <v>2</v>
      </c>
      <c r="V918">
        <v>2</v>
      </c>
      <c r="W918" s="20" t="s">
        <v>200</v>
      </c>
      <c r="X918">
        <v>1</v>
      </c>
      <c r="Y918" s="20" t="s">
        <v>126</v>
      </c>
      <c r="Z918" s="7">
        <v>0.99861111111111112</v>
      </c>
      <c r="AA918" s="20" t="str">
        <f>grafico_sol1[[#This Row],[Value]]&amp;"|"&amp;grafico_sol1[[#This Row],[Numero Voltas]]</f>
        <v>0.998611111111111|2</v>
      </c>
    </row>
    <row r="919" spans="12:27" x14ac:dyDescent="0.25">
      <c r="L919" s="60" t="e">
        <f t="shared" si="28"/>
        <v>#N/A</v>
      </c>
      <c r="M919" s="42" t="e">
        <f t="shared" si="29"/>
        <v>#N/A</v>
      </c>
    </row>
    <row r="920" spans="12:27" x14ac:dyDescent="0.25">
      <c r="L920" s="60" t="e">
        <f t="shared" si="28"/>
        <v>#N/A</v>
      </c>
      <c r="M920" s="42" t="e">
        <f t="shared" si="29"/>
        <v>#N/A</v>
      </c>
    </row>
    <row r="921" spans="12:27" x14ac:dyDescent="0.25">
      <c r="L921" s="60" t="e">
        <f t="shared" si="28"/>
        <v>#N/A</v>
      </c>
      <c r="M921" s="42" t="e">
        <f t="shared" si="29"/>
        <v>#N/A</v>
      </c>
    </row>
    <row r="922" spans="12:27" x14ac:dyDescent="0.25">
      <c r="L922" s="60" t="e">
        <f t="shared" si="28"/>
        <v>#N/A</v>
      </c>
      <c r="M922" s="42" t="e">
        <f t="shared" si="29"/>
        <v>#N/A</v>
      </c>
    </row>
    <row r="923" spans="12:27" x14ac:dyDescent="0.25">
      <c r="L923" s="60" t="e">
        <f t="shared" si="28"/>
        <v>#N/A</v>
      </c>
      <c r="M923" s="42" t="e">
        <f t="shared" si="29"/>
        <v>#N/A</v>
      </c>
    </row>
    <row r="924" spans="12:27" x14ac:dyDescent="0.25">
      <c r="L924" s="60" t="e">
        <f t="shared" si="28"/>
        <v>#N/A</v>
      </c>
      <c r="M924" s="42" t="e">
        <f t="shared" si="29"/>
        <v>#N/A</v>
      </c>
    </row>
    <row r="925" spans="12:27" x14ac:dyDescent="0.25">
      <c r="L925" s="60" t="e">
        <f t="shared" si="28"/>
        <v>#N/A</v>
      </c>
      <c r="M925" s="42" t="e">
        <f t="shared" si="29"/>
        <v>#N/A</v>
      </c>
    </row>
    <row r="926" spans="12:27" x14ac:dyDescent="0.25">
      <c r="L926" s="60" t="e">
        <f t="shared" si="28"/>
        <v>#N/A</v>
      </c>
      <c r="M926" s="42" t="e">
        <f t="shared" si="29"/>
        <v>#N/A</v>
      </c>
    </row>
    <row r="927" spans="12:27" x14ac:dyDescent="0.25">
      <c r="L927" s="60" t="e">
        <f t="shared" si="28"/>
        <v>#N/A</v>
      </c>
      <c r="M927" s="42" t="e">
        <f t="shared" si="29"/>
        <v>#N/A</v>
      </c>
    </row>
    <row r="928" spans="12:27" x14ac:dyDescent="0.25">
      <c r="L928" s="60" t="e">
        <f t="shared" si="28"/>
        <v>#N/A</v>
      </c>
      <c r="M928" s="42" t="e">
        <f t="shared" si="29"/>
        <v>#N/A</v>
      </c>
    </row>
    <row r="929" spans="12:13" x14ac:dyDescent="0.25">
      <c r="L929" s="60" t="e">
        <f t="shared" si="28"/>
        <v>#N/A</v>
      </c>
      <c r="M929" s="42" t="e">
        <f t="shared" si="29"/>
        <v>#N/A</v>
      </c>
    </row>
    <row r="930" spans="12:13" x14ac:dyDescent="0.25">
      <c r="L930" s="60" t="e">
        <f t="shared" si="28"/>
        <v>#N/A</v>
      </c>
      <c r="M930" s="42" t="e">
        <f t="shared" si="29"/>
        <v>#N/A</v>
      </c>
    </row>
    <row r="931" spans="12:13" x14ac:dyDescent="0.25">
      <c r="L931" s="60" t="e">
        <f t="shared" si="28"/>
        <v>#N/A</v>
      </c>
      <c r="M931" s="42" t="e">
        <f t="shared" si="29"/>
        <v>#N/A</v>
      </c>
    </row>
    <row r="932" spans="12:13" x14ac:dyDescent="0.25">
      <c r="L932" s="60" t="e">
        <f t="shared" si="28"/>
        <v>#N/A</v>
      </c>
      <c r="M932" s="42" t="e">
        <f t="shared" si="29"/>
        <v>#N/A</v>
      </c>
    </row>
    <row r="933" spans="12:13" x14ac:dyDescent="0.25">
      <c r="L933" s="60" t="e">
        <f t="shared" si="28"/>
        <v>#N/A</v>
      </c>
      <c r="M933" s="42" t="e">
        <f t="shared" si="29"/>
        <v>#N/A</v>
      </c>
    </row>
    <row r="934" spans="12:13" x14ac:dyDescent="0.25">
      <c r="L934" s="60" t="e">
        <f t="shared" si="28"/>
        <v>#N/A</v>
      </c>
      <c r="M934" s="42" t="e">
        <f t="shared" si="29"/>
        <v>#N/A</v>
      </c>
    </row>
    <row r="935" spans="12:13" x14ac:dyDescent="0.25">
      <c r="L935" s="60" t="e">
        <f t="shared" si="28"/>
        <v>#N/A</v>
      </c>
      <c r="M935" s="42" t="e">
        <f t="shared" si="29"/>
        <v>#N/A</v>
      </c>
    </row>
    <row r="936" spans="12:13" x14ac:dyDescent="0.25">
      <c r="L936" s="60" t="e">
        <f t="shared" si="28"/>
        <v>#N/A</v>
      </c>
      <c r="M936" s="42" t="e">
        <f t="shared" si="29"/>
        <v>#N/A</v>
      </c>
    </row>
    <row r="937" spans="12:13" x14ac:dyDescent="0.25">
      <c r="L937" s="60" t="e">
        <f t="shared" si="28"/>
        <v>#N/A</v>
      </c>
      <c r="M937" s="42" t="e">
        <f t="shared" si="29"/>
        <v>#N/A</v>
      </c>
    </row>
    <row r="938" spans="12:13" x14ac:dyDescent="0.25">
      <c r="L938" s="60" t="e">
        <f t="shared" si="28"/>
        <v>#N/A</v>
      </c>
      <c r="M938" s="42" t="e">
        <f t="shared" si="29"/>
        <v>#N/A</v>
      </c>
    </row>
    <row r="939" spans="12:13" x14ac:dyDescent="0.25">
      <c r="L939" s="60" t="e">
        <f t="shared" si="28"/>
        <v>#N/A</v>
      </c>
      <c r="M939" s="42" t="e">
        <f t="shared" si="29"/>
        <v>#N/A</v>
      </c>
    </row>
    <row r="940" spans="12:13" x14ac:dyDescent="0.25">
      <c r="L940" s="60" t="e">
        <f t="shared" si="28"/>
        <v>#N/A</v>
      </c>
      <c r="M940" s="42" t="e">
        <f t="shared" si="29"/>
        <v>#N/A</v>
      </c>
    </row>
    <row r="941" spans="12:13" x14ac:dyDescent="0.25">
      <c r="L941" s="60" t="e">
        <f t="shared" si="28"/>
        <v>#N/A</v>
      </c>
      <c r="M941" s="42" t="e">
        <f t="shared" si="29"/>
        <v>#N/A</v>
      </c>
    </row>
    <row r="942" spans="12:13" x14ac:dyDescent="0.25">
      <c r="L942" s="60" t="e">
        <f t="shared" si="28"/>
        <v>#N/A</v>
      </c>
      <c r="M942" s="42" t="e">
        <f t="shared" si="29"/>
        <v>#N/A</v>
      </c>
    </row>
    <row r="943" spans="12:13" x14ac:dyDescent="0.25">
      <c r="L943" s="60" t="e">
        <f t="shared" si="28"/>
        <v>#N/A</v>
      </c>
      <c r="M943" s="42" t="e">
        <f t="shared" si="29"/>
        <v>#N/A</v>
      </c>
    </row>
    <row r="944" spans="12:13" x14ac:dyDescent="0.25">
      <c r="L944" s="60" t="e">
        <f t="shared" si="28"/>
        <v>#N/A</v>
      </c>
      <c r="M944" s="42" t="e">
        <f t="shared" si="29"/>
        <v>#N/A</v>
      </c>
    </row>
    <row r="945" spans="12:13" x14ac:dyDescent="0.25">
      <c r="L945" s="60" t="e">
        <f t="shared" si="28"/>
        <v>#N/A</v>
      </c>
      <c r="M945" s="42" t="e">
        <f t="shared" si="29"/>
        <v>#N/A</v>
      </c>
    </row>
    <row r="946" spans="12:13" x14ac:dyDescent="0.25">
      <c r="L946" s="60" t="e">
        <f t="shared" si="28"/>
        <v>#N/A</v>
      </c>
      <c r="M946" s="42" t="e">
        <f t="shared" si="29"/>
        <v>#N/A</v>
      </c>
    </row>
    <row r="947" spans="12:13" x14ac:dyDescent="0.25">
      <c r="L947" s="60" t="e">
        <f t="shared" si="28"/>
        <v>#N/A</v>
      </c>
      <c r="M947" s="42" t="e">
        <f t="shared" si="29"/>
        <v>#N/A</v>
      </c>
    </row>
    <row r="948" spans="12:13" x14ac:dyDescent="0.25">
      <c r="L948" s="60" t="e">
        <f t="shared" si="28"/>
        <v>#N/A</v>
      </c>
      <c r="M948" s="42" t="e">
        <f t="shared" si="29"/>
        <v>#N/A</v>
      </c>
    </row>
    <row r="949" spans="12:13" x14ac:dyDescent="0.25">
      <c r="L949" s="60" t="e">
        <f t="shared" si="28"/>
        <v>#N/A</v>
      </c>
      <c r="M949" s="42" t="e">
        <f t="shared" si="29"/>
        <v>#N/A</v>
      </c>
    </row>
    <row r="950" spans="12:13" x14ac:dyDescent="0.25">
      <c r="L950" s="60" t="e">
        <f t="shared" si="28"/>
        <v>#N/A</v>
      </c>
      <c r="M950" s="42" t="e">
        <f t="shared" si="29"/>
        <v>#N/A</v>
      </c>
    </row>
    <row r="951" spans="12:13" x14ac:dyDescent="0.25">
      <c r="L951" s="60" t="e">
        <f t="shared" ref="L951:L1014" si="30">IF(Q951&lt;&gt;"",Q951,#N/A)</f>
        <v>#N/A</v>
      </c>
      <c r="M951" s="42" t="e">
        <f t="shared" ref="M951:M1014" si="31">IF(R951&lt;&gt;"",R951,#N/A)</f>
        <v>#N/A</v>
      </c>
    </row>
    <row r="952" spans="12:13" x14ac:dyDescent="0.25">
      <c r="L952" s="60" t="e">
        <f t="shared" si="30"/>
        <v>#N/A</v>
      </c>
      <c r="M952" s="42" t="e">
        <f t="shared" si="31"/>
        <v>#N/A</v>
      </c>
    </row>
    <row r="953" spans="12:13" x14ac:dyDescent="0.25">
      <c r="L953" s="60" t="e">
        <f t="shared" si="30"/>
        <v>#N/A</v>
      </c>
      <c r="M953" s="42" t="e">
        <f t="shared" si="31"/>
        <v>#N/A</v>
      </c>
    </row>
    <row r="954" spans="12:13" x14ac:dyDescent="0.25">
      <c r="L954" s="60" t="e">
        <f t="shared" si="30"/>
        <v>#N/A</v>
      </c>
      <c r="M954" s="42" t="e">
        <f t="shared" si="31"/>
        <v>#N/A</v>
      </c>
    </row>
    <row r="955" spans="12:13" x14ac:dyDescent="0.25">
      <c r="L955" s="60" t="e">
        <f t="shared" si="30"/>
        <v>#N/A</v>
      </c>
      <c r="M955" s="42" t="e">
        <f t="shared" si="31"/>
        <v>#N/A</v>
      </c>
    </row>
    <row r="956" spans="12:13" x14ac:dyDescent="0.25">
      <c r="L956" s="60" t="e">
        <f t="shared" si="30"/>
        <v>#N/A</v>
      </c>
      <c r="M956" s="42" t="e">
        <f t="shared" si="31"/>
        <v>#N/A</v>
      </c>
    </row>
    <row r="957" spans="12:13" x14ac:dyDescent="0.25">
      <c r="L957" s="60" t="e">
        <f t="shared" si="30"/>
        <v>#N/A</v>
      </c>
      <c r="M957" s="42" t="e">
        <f t="shared" si="31"/>
        <v>#N/A</v>
      </c>
    </row>
    <row r="958" spans="12:13" x14ac:dyDescent="0.25">
      <c r="L958" s="60" t="e">
        <f t="shared" si="30"/>
        <v>#N/A</v>
      </c>
      <c r="M958" s="42" t="e">
        <f t="shared" si="31"/>
        <v>#N/A</v>
      </c>
    </row>
    <row r="959" spans="12:13" x14ac:dyDescent="0.25">
      <c r="L959" s="60" t="e">
        <f t="shared" si="30"/>
        <v>#N/A</v>
      </c>
      <c r="M959" s="42" t="e">
        <f t="shared" si="31"/>
        <v>#N/A</v>
      </c>
    </row>
    <row r="960" spans="12:13" x14ac:dyDescent="0.25">
      <c r="L960" s="60" t="e">
        <f t="shared" si="30"/>
        <v>#N/A</v>
      </c>
      <c r="M960" s="42" t="e">
        <f t="shared" si="31"/>
        <v>#N/A</v>
      </c>
    </row>
    <row r="961" spans="12:13" x14ac:dyDescent="0.25">
      <c r="L961" s="60" t="e">
        <f t="shared" si="30"/>
        <v>#N/A</v>
      </c>
      <c r="M961" s="42" t="e">
        <f t="shared" si="31"/>
        <v>#N/A</v>
      </c>
    </row>
    <row r="962" spans="12:13" x14ac:dyDescent="0.25">
      <c r="L962" s="60" t="e">
        <f t="shared" si="30"/>
        <v>#N/A</v>
      </c>
      <c r="M962" s="42" t="e">
        <f t="shared" si="31"/>
        <v>#N/A</v>
      </c>
    </row>
    <row r="963" spans="12:13" x14ac:dyDescent="0.25">
      <c r="L963" s="60" t="e">
        <f t="shared" si="30"/>
        <v>#N/A</v>
      </c>
      <c r="M963" s="42" t="e">
        <f t="shared" si="31"/>
        <v>#N/A</v>
      </c>
    </row>
    <row r="964" spans="12:13" x14ac:dyDescent="0.25">
      <c r="L964" s="60" t="e">
        <f t="shared" si="30"/>
        <v>#N/A</v>
      </c>
      <c r="M964" s="42" t="e">
        <f t="shared" si="31"/>
        <v>#N/A</v>
      </c>
    </row>
    <row r="965" spans="12:13" x14ac:dyDescent="0.25">
      <c r="L965" s="60" t="e">
        <f t="shared" si="30"/>
        <v>#N/A</v>
      </c>
      <c r="M965" s="42" t="e">
        <f t="shared" si="31"/>
        <v>#N/A</v>
      </c>
    </row>
    <row r="966" spans="12:13" x14ac:dyDescent="0.25">
      <c r="L966" s="60" t="e">
        <f t="shared" si="30"/>
        <v>#N/A</v>
      </c>
      <c r="M966" s="42" t="e">
        <f t="shared" si="31"/>
        <v>#N/A</v>
      </c>
    </row>
    <row r="967" spans="12:13" x14ac:dyDescent="0.25">
      <c r="L967" s="60" t="e">
        <f t="shared" si="30"/>
        <v>#N/A</v>
      </c>
      <c r="M967" s="42" t="e">
        <f t="shared" si="31"/>
        <v>#N/A</v>
      </c>
    </row>
    <row r="968" spans="12:13" x14ac:dyDescent="0.25">
      <c r="L968" s="60" t="e">
        <f t="shared" si="30"/>
        <v>#N/A</v>
      </c>
      <c r="M968" s="42" t="e">
        <f t="shared" si="31"/>
        <v>#N/A</v>
      </c>
    </row>
    <row r="969" spans="12:13" x14ac:dyDescent="0.25">
      <c r="L969" s="60" t="e">
        <f t="shared" si="30"/>
        <v>#N/A</v>
      </c>
      <c r="M969" s="42" t="e">
        <f t="shared" si="31"/>
        <v>#N/A</v>
      </c>
    </row>
    <row r="970" spans="12:13" x14ac:dyDescent="0.25">
      <c r="L970" s="60" t="e">
        <f t="shared" si="30"/>
        <v>#N/A</v>
      </c>
      <c r="M970" s="42" t="e">
        <f t="shared" si="31"/>
        <v>#N/A</v>
      </c>
    </row>
    <row r="971" spans="12:13" x14ac:dyDescent="0.25">
      <c r="L971" s="60" t="e">
        <f t="shared" si="30"/>
        <v>#N/A</v>
      </c>
      <c r="M971" s="42" t="e">
        <f t="shared" si="31"/>
        <v>#N/A</v>
      </c>
    </row>
    <row r="972" spans="12:13" x14ac:dyDescent="0.25">
      <c r="L972" s="60" t="e">
        <f t="shared" si="30"/>
        <v>#N/A</v>
      </c>
      <c r="M972" s="42" t="e">
        <f t="shared" si="31"/>
        <v>#N/A</v>
      </c>
    </row>
    <row r="973" spans="12:13" x14ac:dyDescent="0.25">
      <c r="L973" s="60" t="e">
        <f t="shared" si="30"/>
        <v>#N/A</v>
      </c>
      <c r="M973" s="42" t="e">
        <f t="shared" si="31"/>
        <v>#N/A</v>
      </c>
    </row>
    <row r="974" spans="12:13" x14ac:dyDescent="0.25">
      <c r="L974" s="60" t="e">
        <f t="shared" si="30"/>
        <v>#N/A</v>
      </c>
      <c r="M974" s="42" t="e">
        <f t="shared" si="31"/>
        <v>#N/A</v>
      </c>
    </row>
    <row r="975" spans="12:13" x14ac:dyDescent="0.25">
      <c r="L975" s="60" t="e">
        <f t="shared" si="30"/>
        <v>#N/A</v>
      </c>
      <c r="M975" s="42" t="e">
        <f t="shared" si="31"/>
        <v>#N/A</v>
      </c>
    </row>
    <row r="976" spans="12:13" x14ac:dyDescent="0.25">
      <c r="L976" s="60" t="e">
        <f t="shared" si="30"/>
        <v>#N/A</v>
      </c>
      <c r="M976" s="42" t="e">
        <f t="shared" si="31"/>
        <v>#N/A</v>
      </c>
    </row>
    <row r="977" spans="12:13" x14ac:dyDescent="0.25">
      <c r="L977" s="60" t="e">
        <f t="shared" si="30"/>
        <v>#N/A</v>
      </c>
      <c r="M977" s="42" t="e">
        <f t="shared" si="31"/>
        <v>#N/A</v>
      </c>
    </row>
    <row r="978" spans="12:13" x14ac:dyDescent="0.25">
      <c r="L978" s="60" t="e">
        <f t="shared" si="30"/>
        <v>#N/A</v>
      </c>
      <c r="M978" s="42" t="e">
        <f t="shared" si="31"/>
        <v>#N/A</v>
      </c>
    </row>
    <row r="979" spans="12:13" x14ac:dyDescent="0.25">
      <c r="L979" s="60" t="e">
        <f t="shared" si="30"/>
        <v>#N/A</v>
      </c>
      <c r="M979" s="42" t="e">
        <f t="shared" si="31"/>
        <v>#N/A</v>
      </c>
    </row>
    <row r="980" spans="12:13" x14ac:dyDescent="0.25">
      <c r="L980" s="60" t="e">
        <f t="shared" si="30"/>
        <v>#N/A</v>
      </c>
      <c r="M980" s="42" t="e">
        <f t="shared" si="31"/>
        <v>#N/A</v>
      </c>
    </row>
    <row r="981" spans="12:13" x14ac:dyDescent="0.25">
      <c r="L981" s="60" t="e">
        <f t="shared" si="30"/>
        <v>#N/A</v>
      </c>
      <c r="M981" s="42" t="e">
        <f t="shared" si="31"/>
        <v>#N/A</v>
      </c>
    </row>
    <row r="982" spans="12:13" x14ac:dyDescent="0.25">
      <c r="L982" s="60" t="e">
        <f t="shared" si="30"/>
        <v>#N/A</v>
      </c>
      <c r="M982" s="42" t="e">
        <f t="shared" si="31"/>
        <v>#N/A</v>
      </c>
    </row>
    <row r="983" spans="12:13" x14ac:dyDescent="0.25">
      <c r="L983" s="60" t="e">
        <f t="shared" si="30"/>
        <v>#N/A</v>
      </c>
      <c r="M983" s="42" t="e">
        <f t="shared" si="31"/>
        <v>#N/A</v>
      </c>
    </row>
    <row r="984" spans="12:13" x14ac:dyDescent="0.25">
      <c r="L984" s="60" t="e">
        <f t="shared" si="30"/>
        <v>#N/A</v>
      </c>
      <c r="M984" s="42" t="e">
        <f t="shared" si="31"/>
        <v>#N/A</v>
      </c>
    </row>
    <row r="985" spans="12:13" x14ac:dyDescent="0.25">
      <c r="L985" s="60" t="e">
        <f t="shared" si="30"/>
        <v>#N/A</v>
      </c>
      <c r="M985" s="42" t="e">
        <f t="shared" si="31"/>
        <v>#N/A</v>
      </c>
    </row>
    <row r="986" spans="12:13" x14ac:dyDescent="0.25">
      <c r="L986" s="60" t="e">
        <f t="shared" si="30"/>
        <v>#N/A</v>
      </c>
      <c r="M986" s="42" t="e">
        <f t="shared" si="31"/>
        <v>#N/A</v>
      </c>
    </row>
    <row r="987" spans="12:13" x14ac:dyDescent="0.25">
      <c r="L987" s="60" t="e">
        <f t="shared" si="30"/>
        <v>#N/A</v>
      </c>
      <c r="M987" s="42" t="e">
        <f t="shared" si="31"/>
        <v>#N/A</v>
      </c>
    </row>
    <row r="988" spans="12:13" x14ac:dyDescent="0.25">
      <c r="L988" s="60" t="e">
        <f t="shared" si="30"/>
        <v>#N/A</v>
      </c>
      <c r="M988" s="42" t="e">
        <f t="shared" si="31"/>
        <v>#N/A</v>
      </c>
    </row>
    <row r="989" spans="12:13" x14ac:dyDescent="0.25">
      <c r="L989" s="60" t="e">
        <f t="shared" si="30"/>
        <v>#N/A</v>
      </c>
      <c r="M989" s="42" t="e">
        <f t="shared" si="31"/>
        <v>#N/A</v>
      </c>
    </row>
    <row r="990" spans="12:13" x14ac:dyDescent="0.25">
      <c r="L990" s="60" t="e">
        <f t="shared" si="30"/>
        <v>#N/A</v>
      </c>
      <c r="M990" s="42" t="e">
        <f t="shared" si="31"/>
        <v>#N/A</v>
      </c>
    </row>
    <row r="991" spans="12:13" x14ac:dyDescent="0.25">
      <c r="L991" s="60" t="e">
        <f t="shared" si="30"/>
        <v>#N/A</v>
      </c>
      <c r="M991" s="42" t="e">
        <f t="shared" si="31"/>
        <v>#N/A</v>
      </c>
    </row>
    <row r="992" spans="12:13" x14ac:dyDescent="0.25">
      <c r="L992" s="60" t="e">
        <f t="shared" si="30"/>
        <v>#N/A</v>
      </c>
      <c r="M992" s="42" t="e">
        <f t="shared" si="31"/>
        <v>#N/A</v>
      </c>
    </row>
    <row r="993" spans="12:13" x14ac:dyDescent="0.25">
      <c r="L993" s="60" t="e">
        <f t="shared" si="30"/>
        <v>#N/A</v>
      </c>
      <c r="M993" s="42" t="e">
        <f t="shared" si="31"/>
        <v>#N/A</v>
      </c>
    </row>
    <row r="994" spans="12:13" x14ac:dyDescent="0.25">
      <c r="L994" s="60" t="e">
        <f t="shared" si="30"/>
        <v>#N/A</v>
      </c>
      <c r="M994" s="42" t="e">
        <f t="shared" si="31"/>
        <v>#N/A</v>
      </c>
    </row>
    <row r="995" spans="12:13" x14ac:dyDescent="0.25">
      <c r="L995" s="60" t="e">
        <f t="shared" si="30"/>
        <v>#N/A</v>
      </c>
      <c r="M995" s="42" t="e">
        <f t="shared" si="31"/>
        <v>#N/A</v>
      </c>
    </row>
    <row r="996" spans="12:13" x14ac:dyDescent="0.25">
      <c r="L996" s="60" t="e">
        <f t="shared" si="30"/>
        <v>#N/A</v>
      </c>
      <c r="M996" s="42" t="e">
        <f t="shared" si="31"/>
        <v>#N/A</v>
      </c>
    </row>
    <row r="997" spans="12:13" x14ac:dyDescent="0.25">
      <c r="L997" s="60" t="e">
        <f t="shared" si="30"/>
        <v>#N/A</v>
      </c>
      <c r="M997" s="42" t="e">
        <f t="shared" si="31"/>
        <v>#N/A</v>
      </c>
    </row>
    <row r="998" spans="12:13" x14ac:dyDescent="0.25">
      <c r="L998" s="60" t="e">
        <f t="shared" si="30"/>
        <v>#N/A</v>
      </c>
      <c r="M998" s="42" t="e">
        <f t="shared" si="31"/>
        <v>#N/A</v>
      </c>
    </row>
    <row r="999" spans="12:13" x14ac:dyDescent="0.25">
      <c r="L999" s="60" t="e">
        <f t="shared" si="30"/>
        <v>#N/A</v>
      </c>
      <c r="M999" s="42" t="e">
        <f t="shared" si="31"/>
        <v>#N/A</v>
      </c>
    </row>
    <row r="1000" spans="12:13" x14ac:dyDescent="0.25">
      <c r="L1000" s="60" t="e">
        <f t="shared" si="30"/>
        <v>#N/A</v>
      </c>
      <c r="M1000" s="42" t="e">
        <f t="shared" si="31"/>
        <v>#N/A</v>
      </c>
    </row>
    <row r="1001" spans="12:13" x14ac:dyDescent="0.25">
      <c r="L1001" s="60" t="e">
        <f t="shared" si="30"/>
        <v>#N/A</v>
      </c>
      <c r="M1001" s="42" t="e">
        <f t="shared" si="31"/>
        <v>#N/A</v>
      </c>
    </row>
    <row r="1002" spans="12:13" x14ac:dyDescent="0.25">
      <c r="L1002" s="60" t="e">
        <f t="shared" si="30"/>
        <v>#N/A</v>
      </c>
      <c r="M1002" s="42" t="e">
        <f t="shared" si="31"/>
        <v>#N/A</v>
      </c>
    </row>
    <row r="1003" spans="12:13" x14ac:dyDescent="0.25">
      <c r="L1003" s="60" t="e">
        <f t="shared" si="30"/>
        <v>#N/A</v>
      </c>
      <c r="M1003" s="42" t="e">
        <f t="shared" si="31"/>
        <v>#N/A</v>
      </c>
    </row>
    <row r="1004" spans="12:13" x14ac:dyDescent="0.25">
      <c r="L1004" s="60" t="e">
        <f t="shared" si="30"/>
        <v>#N/A</v>
      </c>
      <c r="M1004" s="42" t="e">
        <f t="shared" si="31"/>
        <v>#N/A</v>
      </c>
    </row>
    <row r="1005" spans="12:13" x14ac:dyDescent="0.25">
      <c r="L1005" s="60" t="e">
        <f t="shared" si="30"/>
        <v>#N/A</v>
      </c>
      <c r="M1005" s="42" t="e">
        <f t="shared" si="31"/>
        <v>#N/A</v>
      </c>
    </row>
    <row r="1006" spans="12:13" x14ac:dyDescent="0.25">
      <c r="L1006" s="60" t="e">
        <f t="shared" si="30"/>
        <v>#N/A</v>
      </c>
      <c r="M1006" s="42" t="e">
        <f t="shared" si="31"/>
        <v>#N/A</v>
      </c>
    </row>
    <row r="1007" spans="12:13" x14ac:dyDescent="0.25">
      <c r="L1007" s="60" t="e">
        <f t="shared" si="30"/>
        <v>#N/A</v>
      </c>
      <c r="M1007" s="42" t="e">
        <f t="shared" si="31"/>
        <v>#N/A</v>
      </c>
    </row>
    <row r="1008" spans="12:13" x14ac:dyDescent="0.25">
      <c r="L1008" s="60" t="e">
        <f t="shared" si="30"/>
        <v>#N/A</v>
      </c>
      <c r="M1008" s="42" t="e">
        <f t="shared" si="31"/>
        <v>#N/A</v>
      </c>
    </row>
    <row r="1009" spans="12:13" x14ac:dyDescent="0.25">
      <c r="L1009" s="60" t="e">
        <f t="shared" si="30"/>
        <v>#N/A</v>
      </c>
      <c r="M1009" s="42" t="e">
        <f t="shared" si="31"/>
        <v>#N/A</v>
      </c>
    </row>
    <row r="1010" spans="12:13" x14ac:dyDescent="0.25">
      <c r="L1010" s="60" t="e">
        <f t="shared" si="30"/>
        <v>#N/A</v>
      </c>
      <c r="M1010" s="42" t="e">
        <f t="shared" si="31"/>
        <v>#N/A</v>
      </c>
    </row>
    <row r="1011" spans="12:13" x14ac:dyDescent="0.25">
      <c r="L1011" s="60" t="e">
        <f t="shared" si="30"/>
        <v>#N/A</v>
      </c>
      <c r="M1011" s="42" t="e">
        <f t="shared" si="31"/>
        <v>#N/A</v>
      </c>
    </row>
    <row r="1012" spans="12:13" x14ac:dyDescent="0.25">
      <c r="L1012" s="60" t="e">
        <f t="shared" si="30"/>
        <v>#N/A</v>
      </c>
      <c r="M1012" s="42" t="e">
        <f t="shared" si="31"/>
        <v>#N/A</v>
      </c>
    </row>
    <row r="1013" spans="12:13" x14ac:dyDescent="0.25">
      <c r="L1013" s="60" t="e">
        <f t="shared" si="30"/>
        <v>#N/A</v>
      </c>
      <c r="M1013" s="42" t="e">
        <f t="shared" si="31"/>
        <v>#N/A</v>
      </c>
    </row>
    <row r="1014" spans="12:13" x14ac:dyDescent="0.25">
      <c r="L1014" s="60" t="e">
        <f t="shared" si="30"/>
        <v>#N/A</v>
      </c>
      <c r="M1014" s="42" t="e">
        <f t="shared" si="31"/>
        <v>#N/A</v>
      </c>
    </row>
    <row r="1015" spans="12:13" x14ac:dyDescent="0.25">
      <c r="L1015" s="60" t="e">
        <f t="shared" ref="L1015:L1078" si="32">IF(Q1015&lt;&gt;"",Q1015,#N/A)</f>
        <v>#N/A</v>
      </c>
      <c r="M1015" s="42" t="e">
        <f t="shared" ref="M1015:M1078" si="33">IF(R1015&lt;&gt;"",R1015,#N/A)</f>
        <v>#N/A</v>
      </c>
    </row>
    <row r="1016" spans="12:13" x14ac:dyDescent="0.25">
      <c r="L1016" s="60" t="e">
        <f t="shared" si="32"/>
        <v>#N/A</v>
      </c>
      <c r="M1016" s="42" t="e">
        <f t="shared" si="33"/>
        <v>#N/A</v>
      </c>
    </row>
    <row r="1017" spans="12:13" x14ac:dyDescent="0.25">
      <c r="L1017" s="60" t="e">
        <f t="shared" si="32"/>
        <v>#N/A</v>
      </c>
      <c r="M1017" s="42" t="e">
        <f t="shared" si="33"/>
        <v>#N/A</v>
      </c>
    </row>
    <row r="1018" spans="12:13" x14ac:dyDescent="0.25">
      <c r="L1018" s="60" t="e">
        <f t="shared" si="32"/>
        <v>#N/A</v>
      </c>
      <c r="M1018" s="42" t="e">
        <f t="shared" si="33"/>
        <v>#N/A</v>
      </c>
    </row>
    <row r="1019" spans="12:13" x14ac:dyDescent="0.25">
      <c r="L1019" s="60" t="e">
        <f t="shared" si="32"/>
        <v>#N/A</v>
      </c>
      <c r="M1019" s="42" t="e">
        <f t="shared" si="33"/>
        <v>#N/A</v>
      </c>
    </row>
    <row r="1020" spans="12:13" x14ac:dyDescent="0.25">
      <c r="L1020" s="60" t="e">
        <f t="shared" si="32"/>
        <v>#N/A</v>
      </c>
      <c r="M1020" s="42" t="e">
        <f t="shared" si="33"/>
        <v>#N/A</v>
      </c>
    </row>
    <row r="1021" spans="12:13" x14ac:dyDescent="0.25">
      <c r="L1021" s="60" t="e">
        <f t="shared" si="32"/>
        <v>#N/A</v>
      </c>
      <c r="M1021" s="42" t="e">
        <f t="shared" si="33"/>
        <v>#N/A</v>
      </c>
    </row>
    <row r="1022" spans="12:13" x14ac:dyDescent="0.25">
      <c r="L1022" s="60" t="e">
        <f t="shared" si="32"/>
        <v>#N/A</v>
      </c>
      <c r="M1022" s="42" t="e">
        <f t="shared" si="33"/>
        <v>#N/A</v>
      </c>
    </row>
    <row r="1023" spans="12:13" x14ac:dyDescent="0.25">
      <c r="L1023" s="60" t="e">
        <f t="shared" si="32"/>
        <v>#N/A</v>
      </c>
      <c r="M1023" s="42" t="e">
        <f t="shared" si="33"/>
        <v>#N/A</v>
      </c>
    </row>
    <row r="1024" spans="12:13" x14ac:dyDescent="0.25">
      <c r="L1024" s="60" t="e">
        <f t="shared" si="32"/>
        <v>#N/A</v>
      </c>
      <c r="M1024" s="42" t="e">
        <f t="shared" si="33"/>
        <v>#N/A</v>
      </c>
    </row>
    <row r="1025" spans="12:13" x14ac:dyDescent="0.25">
      <c r="L1025" s="60" t="e">
        <f t="shared" si="32"/>
        <v>#N/A</v>
      </c>
      <c r="M1025" s="42" t="e">
        <f t="shared" si="33"/>
        <v>#N/A</v>
      </c>
    </row>
    <row r="1026" spans="12:13" x14ac:dyDescent="0.25">
      <c r="L1026" s="60" t="e">
        <f t="shared" si="32"/>
        <v>#N/A</v>
      </c>
      <c r="M1026" s="42" t="e">
        <f t="shared" si="33"/>
        <v>#N/A</v>
      </c>
    </row>
    <row r="1027" spans="12:13" x14ac:dyDescent="0.25">
      <c r="L1027" s="60" t="e">
        <f t="shared" si="32"/>
        <v>#N/A</v>
      </c>
      <c r="M1027" s="42" t="e">
        <f t="shared" si="33"/>
        <v>#N/A</v>
      </c>
    </row>
    <row r="1028" spans="12:13" x14ac:dyDescent="0.25">
      <c r="L1028" s="60" t="e">
        <f t="shared" si="32"/>
        <v>#N/A</v>
      </c>
      <c r="M1028" s="42" t="e">
        <f t="shared" si="33"/>
        <v>#N/A</v>
      </c>
    </row>
    <row r="1029" spans="12:13" x14ac:dyDescent="0.25">
      <c r="L1029" s="60" t="e">
        <f t="shared" si="32"/>
        <v>#N/A</v>
      </c>
      <c r="M1029" s="42" t="e">
        <f t="shared" si="33"/>
        <v>#N/A</v>
      </c>
    </row>
    <row r="1030" spans="12:13" x14ac:dyDescent="0.25">
      <c r="L1030" s="60" t="e">
        <f t="shared" si="32"/>
        <v>#N/A</v>
      </c>
      <c r="M1030" s="42" t="e">
        <f t="shared" si="33"/>
        <v>#N/A</v>
      </c>
    </row>
    <row r="1031" spans="12:13" x14ac:dyDescent="0.25">
      <c r="L1031" s="60" t="e">
        <f t="shared" si="32"/>
        <v>#N/A</v>
      </c>
      <c r="M1031" s="42" t="e">
        <f t="shared" si="33"/>
        <v>#N/A</v>
      </c>
    </row>
    <row r="1032" spans="12:13" x14ac:dyDescent="0.25">
      <c r="L1032" s="60" t="e">
        <f t="shared" si="32"/>
        <v>#N/A</v>
      </c>
      <c r="M1032" s="42" t="e">
        <f t="shared" si="33"/>
        <v>#N/A</v>
      </c>
    </row>
    <row r="1033" spans="12:13" x14ac:dyDescent="0.25">
      <c r="L1033" s="60" t="e">
        <f t="shared" si="32"/>
        <v>#N/A</v>
      </c>
      <c r="M1033" s="42" t="e">
        <f t="shared" si="33"/>
        <v>#N/A</v>
      </c>
    </row>
    <row r="1034" spans="12:13" x14ac:dyDescent="0.25">
      <c r="L1034" s="60" t="e">
        <f t="shared" si="32"/>
        <v>#N/A</v>
      </c>
      <c r="M1034" s="42" t="e">
        <f t="shared" si="33"/>
        <v>#N/A</v>
      </c>
    </row>
    <row r="1035" spans="12:13" x14ac:dyDescent="0.25">
      <c r="L1035" s="60" t="e">
        <f t="shared" si="32"/>
        <v>#N/A</v>
      </c>
      <c r="M1035" s="42" t="e">
        <f t="shared" si="33"/>
        <v>#N/A</v>
      </c>
    </row>
    <row r="1036" spans="12:13" x14ac:dyDescent="0.25">
      <c r="L1036" s="60" t="e">
        <f t="shared" si="32"/>
        <v>#N/A</v>
      </c>
      <c r="M1036" s="42" t="e">
        <f t="shared" si="33"/>
        <v>#N/A</v>
      </c>
    </row>
    <row r="1037" spans="12:13" x14ac:dyDescent="0.25">
      <c r="L1037" s="60" t="e">
        <f t="shared" si="32"/>
        <v>#N/A</v>
      </c>
      <c r="M1037" s="42" t="e">
        <f t="shared" si="33"/>
        <v>#N/A</v>
      </c>
    </row>
    <row r="1038" spans="12:13" x14ac:dyDescent="0.25">
      <c r="L1038" s="60" t="e">
        <f t="shared" si="32"/>
        <v>#N/A</v>
      </c>
      <c r="M1038" s="42" t="e">
        <f t="shared" si="33"/>
        <v>#N/A</v>
      </c>
    </row>
    <row r="1039" spans="12:13" x14ac:dyDescent="0.25">
      <c r="L1039" s="60" t="e">
        <f t="shared" si="32"/>
        <v>#N/A</v>
      </c>
      <c r="M1039" s="42" t="e">
        <f t="shared" si="33"/>
        <v>#N/A</v>
      </c>
    </row>
    <row r="1040" spans="12:13" x14ac:dyDescent="0.25">
      <c r="L1040" s="60" t="e">
        <f t="shared" si="32"/>
        <v>#N/A</v>
      </c>
      <c r="M1040" s="42" t="e">
        <f t="shared" si="33"/>
        <v>#N/A</v>
      </c>
    </row>
    <row r="1041" spans="12:13" x14ac:dyDescent="0.25">
      <c r="L1041" s="60" t="e">
        <f t="shared" si="32"/>
        <v>#N/A</v>
      </c>
      <c r="M1041" s="42" t="e">
        <f t="shared" si="33"/>
        <v>#N/A</v>
      </c>
    </row>
    <row r="1042" spans="12:13" x14ac:dyDescent="0.25">
      <c r="L1042" s="60" t="e">
        <f t="shared" si="32"/>
        <v>#N/A</v>
      </c>
      <c r="M1042" s="42" t="e">
        <f t="shared" si="33"/>
        <v>#N/A</v>
      </c>
    </row>
    <row r="1043" spans="12:13" x14ac:dyDescent="0.25">
      <c r="L1043" s="60" t="e">
        <f t="shared" si="32"/>
        <v>#N/A</v>
      </c>
      <c r="M1043" s="42" t="e">
        <f t="shared" si="33"/>
        <v>#N/A</v>
      </c>
    </row>
    <row r="1044" spans="12:13" x14ac:dyDescent="0.25">
      <c r="L1044" s="60" t="e">
        <f t="shared" si="32"/>
        <v>#N/A</v>
      </c>
      <c r="M1044" s="42" t="e">
        <f t="shared" si="33"/>
        <v>#N/A</v>
      </c>
    </row>
    <row r="1045" spans="12:13" x14ac:dyDescent="0.25">
      <c r="L1045" s="60" t="e">
        <f t="shared" si="32"/>
        <v>#N/A</v>
      </c>
      <c r="M1045" s="42" t="e">
        <f t="shared" si="33"/>
        <v>#N/A</v>
      </c>
    </row>
    <row r="1046" spans="12:13" x14ac:dyDescent="0.25">
      <c r="L1046" s="60" t="e">
        <f t="shared" si="32"/>
        <v>#N/A</v>
      </c>
      <c r="M1046" s="42" t="e">
        <f t="shared" si="33"/>
        <v>#N/A</v>
      </c>
    </row>
    <row r="1047" spans="12:13" x14ac:dyDescent="0.25">
      <c r="L1047" s="60" t="e">
        <f t="shared" si="32"/>
        <v>#N/A</v>
      </c>
      <c r="M1047" s="42" t="e">
        <f t="shared" si="33"/>
        <v>#N/A</v>
      </c>
    </row>
    <row r="1048" spans="12:13" x14ac:dyDescent="0.25">
      <c r="L1048" s="60" t="e">
        <f t="shared" si="32"/>
        <v>#N/A</v>
      </c>
      <c r="M1048" s="42" t="e">
        <f t="shared" si="33"/>
        <v>#N/A</v>
      </c>
    </row>
    <row r="1049" spans="12:13" x14ac:dyDescent="0.25">
      <c r="L1049" s="60" t="e">
        <f t="shared" si="32"/>
        <v>#N/A</v>
      </c>
      <c r="M1049" s="42" t="e">
        <f t="shared" si="33"/>
        <v>#N/A</v>
      </c>
    </row>
    <row r="1050" spans="12:13" x14ac:dyDescent="0.25">
      <c r="L1050" s="60" t="e">
        <f t="shared" si="32"/>
        <v>#N/A</v>
      </c>
      <c r="M1050" s="42" t="e">
        <f t="shared" si="33"/>
        <v>#N/A</v>
      </c>
    </row>
    <row r="1051" spans="12:13" x14ac:dyDescent="0.25">
      <c r="L1051" s="60" t="e">
        <f t="shared" si="32"/>
        <v>#N/A</v>
      </c>
      <c r="M1051" s="42" t="e">
        <f t="shared" si="33"/>
        <v>#N/A</v>
      </c>
    </row>
    <row r="1052" spans="12:13" x14ac:dyDescent="0.25">
      <c r="L1052" s="60" t="e">
        <f t="shared" si="32"/>
        <v>#N/A</v>
      </c>
      <c r="M1052" s="42" t="e">
        <f t="shared" si="33"/>
        <v>#N/A</v>
      </c>
    </row>
    <row r="1053" spans="12:13" x14ac:dyDescent="0.25">
      <c r="L1053" s="60" t="e">
        <f t="shared" si="32"/>
        <v>#N/A</v>
      </c>
      <c r="M1053" s="42" t="e">
        <f t="shared" si="33"/>
        <v>#N/A</v>
      </c>
    </row>
    <row r="1054" spans="12:13" x14ac:dyDescent="0.25">
      <c r="L1054" s="60" t="e">
        <f t="shared" si="32"/>
        <v>#N/A</v>
      </c>
      <c r="M1054" s="42" t="e">
        <f t="shared" si="33"/>
        <v>#N/A</v>
      </c>
    </row>
    <row r="1055" spans="12:13" x14ac:dyDescent="0.25">
      <c r="L1055" s="60" t="e">
        <f t="shared" si="32"/>
        <v>#N/A</v>
      </c>
      <c r="M1055" s="42" t="e">
        <f t="shared" si="33"/>
        <v>#N/A</v>
      </c>
    </row>
    <row r="1056" spans="12:13" x14ac:dyDescent="0.25">
      <c r="L1056" s="60" t="e">
        <f t="shared" si="32"/>
        <v>#N/A</v>
      </c>
      <c r="M1056" s="42" t="e">
        <f t="shared" si="33"/>
        <v>#N/A</v>
      </c>
    </row>
    <row r="1057" spans="12:13" x14ac:dyDescent="0.25">
      <c r="L1057" s="60" t="e">
        <f t="shared" si="32"/>
        <v>#N/A</v>
      </c>
      <c r="M1057" s="42" t="e">
        <f t="shared" si="33"/>
        <v>#N/A</v>
      </c>
    </row>
    <row r="1058" spans="12:13" x14ac:dyDescent="0.25">
      <c r="L1058" s="60" t="e">
        <f t="shared" si="32"/>
        <v>#N/A</v>
      </c>
      <c r="M1058" s="42" t="e">
        <f t="shared" si="33"/>
        <v>#N/A</v>
      </c>
    </row>
    <row r="1059" spans="12:13" x14ac:dyDescent="0.25">
      <c r="L1059" s="60" t="e">
        <f t="shared" si="32"/>
        <v>#N/A</v>
      </c>
      <c r="M1059" s="42" t="e">
        <f t="shared" si="33"/>
        <v>#N/A</v>
      </c>
    </row>
    <row r="1060" spans="12:13" x14ac:dyDescent="0.25">
      <c r="L1060" s="60" t="e">
        <f t="shared" si="32"/>
        <v>#N/A</v>
      </c>
      <c r="M1060" s="42" t="e">
        <f t="shared" si="33"/>
        <v>#N/A</v>
      </c>
    </row>
    <row r="1061" spans="12:13" x14ac:dyDescent="0.25">
      <c r="L1061" s="60" t="e">
        <f t="shared" si="32"/>
        <v>#N/A</v>
      </c>
      <c r="M1061" s="42" t="e">
        <f t="shared" si="33"/>
        <v>#N/A</v>
      </c>
    </row>
    <row r="1062" spans="12:13" x14ac:dyDescent="0.25">
      <c r="L1062" s="60" t="e">
        <f t="shared" si="32"/>
        <v>#N/A</v>
      </c>
      <c r="M1062" s="42" t="e">
        <f t="shared" si="33"/>
        <v>#N/A</v>
      </c>
    </row>
    <row r="1063" spans="12:13" x14ac:dyDescent="0.25">
      <c r="L1063" s="60" t="e">
        <f t="shared" si="32"/>
        <v>#N/A</v>
      </c>
      <c r="M1063" s="42" t="e">
        <f t="shared" si="33"/>
        <v>#N/A</v>
      </c>
    </row>
    <row r="1064" spans="12:13" x14ac:dyDescent="0.25">
      <c r="L1064" s="60" t="e">
        <f t="shared" si="32"/>
        <v>#N/A</v>
      </c>
      <c r="M1064" s="42" t="e">
        <f t="shared" si="33"/>
        <v>#N/A</v>
      </c>
    </row>
    <row r="1065" spans="12:13" x14ac:dyDescent="0.25">
      <c r="L1065" s="60" t="e">
        <f t="shared" si="32"/>
        <v>#N/A</v>
      </c>
      <c r="M1065" s="42" t="e">
        <f t="shared" si="33"/>
        <v>#N/A</v>
      </c>
    </row>
    <row r="1066" spans="12:13" x14ac:dyDescent="0.25">
      <c r="L1066" s="60" t="e">
        <f t="shared" si="32"/>
        <v>#N/A</v>
      </c>
      <c r="M1066" s="42" t="e">
        <f t="shared" si="33"/>
        <v>#N/A</v>
      </c>
    </row>
    <row r="1067" spans="12:13" x14ac:dyDescent="0.25">
      <c r="L1067" s="60" t="e">
        <f t="shared" si="32"/>
        <v>#N/A</v>
      </c>
      <c r="M1067" s="42" t="e">
        <f t="shared" si="33"/>
        <v>#N/A</v>
      </c>
    </row>
    <row r="1068" spans="12:13" x14ac:dyDescent="0.25">
      <c r="L1068" s="60" t="e">
        <f t="shared" si="32"/>
        <v>#N/A</v>
      </c>
      <c r="M1068" s="42" t="e">
        <f t="shared" si="33"/>
        <v>#N/A</v>
      </c>
    </row>
    <row r="1069" spans="12:13" x14ac:dyDescent="0.25">
      <c r="L1069" s="60" t="e">
        <f t="shared" si="32"/>
        <v>#N/A</v>
      </c>
      <c r="M1069" s="42" t="e">
        <f t="shared" si="33"/>
        <v>#N/A</v>
      </c>
    </row>
    <row r="1070" spans="12:13" x14ac:dyDescent="0.25">
      <c r="L1070" s="60" t="e">
        <f t="shared" si="32"/>
        <v>#N/A</v>
      </c>
      <c r="M1070" s="42" t="e">
        <f t="shared" si="33"/>
        <v>#N/A</v>
      </c>
    </row>
    <row r="1071" spans="12:13" x14ac:dyDescent="0.25">
      <c r="L1071" s="60" t="e">
        <f t="shared" si="32"/>
        <v>#N/A</v>
      </c>
      <c r="M1071" s="42" t="e">
        <f t="shared" si="33"/>
        <v>#N/A</v>
      </c>
    </row>
    <row r="1072" spans="12:13" x14ac:dyDescent="0.25">
      <c r="L1072" s="60" t="e">
        <f t="shared" si="32"/>
        <v>#N/A</v>
      </c>
      <c r="M1072" s="42" t="e">
        <f t="shared" si="33"/>
        <v>#N/A</v>
      </c>
    </row>
    <row r="1073" spans="12:13" x14ac:dyDescent="0.25">
      <c r="L1073" s="60" t="e">
        <f t="shared" si="32"/>
        <v>#N/A</v>
      </c>
      <c r="M1073" s="42" t="e">
        <f t="shared" si="33"/>
        <v>#N/A</v>
      </c>
    </row>
    <row r="1074" spans="12:13" x14ac:dyDescent="0.25">
      <c r="L1074" s="60" t="e">
        <f t="shared" si="32"/>
        <v>#N/A</v>
      </c>
      <c r="M1074" s="42" t="e">
        <f t="shared" si="33"/>
        <v>#N/A</v>
      </c>
    </row>
    <row r="1075" spans="12:13" x14ac:dyDescent="0.25">
      <c r="L1075" s="60" t="e">
        <f t="shared" si="32"/>
        <v>#N/A</v>
      </c>
      <c r="M1075" s="42" t="e">
        <f t="shared" si="33"/>
        <v>#N/A</v>
      </c>
    </row>
    <row r="1076" spans="12:13" x14ac:dyDescent="0.25">
      <c r="L1076" s="60" t="e">
        <f t="shared" si="32"/>
        <v>#N/A</v>
      </c>
      <c r="M1076" s="42" t="e">
        <f t="shared" si="33"/>
        <v>#N/A</v>
      </c>
    </row>
    <row r="1077" spans="12:13" x14ac:dyDescent="0.25">
      <c r="L1077" s="60" t="e">
        <f t="shared" si="32"/>
        <v>#N/A</v>
      </c>
      <c r="M1077" s="42" t="e">
        <f t="shared" si="33"/>
        <v>#N/A</v>
      </c>
    </row>
    <row r="1078" spans="12:13" x14ac:dyDescent="0.25">
      <c r="L1078" s="60" t="e">
        <f t="shared" si="32"/>
        <v>#N/A</v>
      </c>
      <c r="M1078" s="42" t="e">
        <f t="shared" si="33"/>
        <v>#N/A</v>
      </c>
    </row>
    <row r="1079" spans="12:13" x14ac:dyDescent="0.25">
      <c r="L1079" s="60" t="e">
        <f t="shared" ref="L1079:L1142" si="34">IF(Q1079&lt;&gt;"",Q1079,#N/A)</f>
        <v>#N/A</v>
      </c>
      <c r="M1079" s="42" t="e">
        <f t="shared" ref="M1079:M1142" si="35">IF(R1079&lt;&gt;"",R1079,#N/A)</f>
        <v>#N/A</v>
      </c>
    </row>
    <row r="1080" spans="12:13" x14ac:dyDescent="0.25">
      <c r="L1080" s="60" t="e">
        <f t="shared" si="34"/>
        <v>#N/A</v>
      </c>
      <c r="M1080" s="42" t="e">
        <f t="shared" si="35"/>
        <v>#N/A</v>
      </c>
    </row>
    <row r="1081" spans="12:13" x14ac:dyDescent="0.25">
      <c r="L1081" s="60" t="e">
        <f t="shared" si="34"/>
        <v>#N/A</v>
      </c>
      <c r="M1081" s="42" t="e">
        <f t="shared" si="35"/>
        <v>#N/A</v>
      </c>
    </row>
    <row r="1082" spans="12:13" x14ac:dyDescent="0.25">
      <c r="L1082" s="60" t="e">
        <f t="shared" si="34"/>
        <v>#N/A</v>
      </c>
      <c r="M1082" s="42" t="e">
        <f t="shared" si="35"/>
        <v>#N/A</v>
      </c>
    </row>
    <row r="1083" spans="12:13" x14ac:dyDescent="0.25">
      <c r="L1083" s="60" t="e">
        <f t="shared" si="34"/>
        <v>#N/A</v>
      </c>
      <c r="M1083" s="42" t="e">
        <f t="shared" si="35"/>
        <v>#N/A</v>
      </c>
    </row>
    <row r="1084" spans="12:13" x14ac:dyDescent="0.25">
      <c r="L1084" s="60" t="e">
        <f t="shared" si="34"/>
        <v>#N/A</v>
      </c>
      <c r="M1084" s="42" t="e">
        <f t="shared" si="35"/>
        <v>#N/A</v>
      </c>
    </row>
    <row r="1085" spans="12:13" x14ac:dyDescent="0.25">
      <c r="L1085" s="60" t="e">
        <f t="shared" si="34"/>
        <v>#N/A</v>
      </c>
      <c r="M1085" s="42" t="e">
        <f t="shared" si="35"/>
        <v>#N/A</v>
      </c>
    </row>
    <row r="1086" spans="12:13" x14ac:dyDescent="0.25">
      <c r="L1086" s="60" t="e">
        <f t="shared" si="34"/>
        <v>#N/A</v>
      </c>
      <c r="M1086" s="42" t="e">
        <f t="shared" si="35"/>
        <v>#N/A</v>
      </c>
    </row>
    <row r="1087" spans="12:13" x14ac:dyDescent="0.25">
      <c r="L1087" s="60" t="e">
        <f t="shared" si="34"/>
        <v>#N/A</v>
      </c>
      <c r="M1087" s="42" t="e">
        <f t="shared" si="35"/>
        <v>#N/A</v>
      </c>
    </row>
    <row r="1088" spans="12:13" x14ac:dyDescent="0.25">
      <c r="L1088" s="60" t="e">
        <f t="shared" si="34"/>
        <v>#N/A</v>
      </c>
      <c r="M1088" s="42" t="e">
        <f t="shared" si="35"/>
        <v>#N/A</v>
      </c>
    </row>
    <row r="1089" spans="12:13" x14ac:dyDescent="0.25">
      <c r="L1089" s="60" t="e">
        <f t="shared" si="34"/>
        <v>#N/A</v>
      </c>
      <c r="M1089" s="42" t="e">
        <f t="shared" si="35"/>
        <v>#N/A</v>
      </c>
    </row>
    <row r="1090" spans="12:13" x14ac:dyDescent="0.25">
      <c r="L1090" s="60" t="e">
        <f t="shared" si="34"/>
        <v>#N/A</v>
      </c>
      <c r="M1090" s="42" t="e">
        <f t="shared" si="35"/>
        <v>#N/A</v>
      </c>
    </row>
    <row r="1091" spans="12:13" x14ac:dyDescent="0.25">
      <c r="L1091" s="60" t="e">
        <f t="shared" si="34"/>
        <v>#N/A</v>
      </c>
      <c r="M1091" s="42" t="e">
        <f t="shared" si="35"/>
        <v>#N/A</v>
      </c>
    </row>
    <row r="1092" spans="12:13" x14ac:dyDescent="0.25">
      <c r="L1092" s="60" t="e">
        <f t="shared" si="34"/>
        <v>#N/A</v>
      </c>
      <c r="M1092" s="42" t="e">
        <f t="shared" si="35"/>
        <v>#N/A</v>
      </c>
    </row>
    <row r="1093" spans="12:13" x14ac:dyDescent="0.25">
      <c r="L1093" s="60" t="e">
        <f t="shared" si="34"/>
        <v>#N/A</v>
      </c>
      <c r="M1093" s="42" t="e">
        <f t="shared" si="35"/>
        <v>#N/A</v>
      </c>
    </row>
    <row r="1094" spans="12:13" x14ac:dyDescent="0.25">
      <c r="L1094" s="60" t="e">
        <f t="shared" si="34"/>
        <v>#N/A</v>
      </c>
      <c r="M1094" s="42" t="e">
        <f t="shared" si="35"/>
        <v>#N/A</v>
      </c>
    </row>
    <row r="1095" spans="12:13" x14ac:dyDescent="0.25">
      <c r="L1095" s="60" t="e">
        <f t="shared" si="34"/>
        <v>#N/A</v>
      </c>
      <c r="M1095" s="42" t="e">
        <f t="shared" si="35"/>
        <v>#N/A</v>
      </c>
    </row>
    <row r="1096" spans="12:13" x14ac:dyDescent="0.25">
      <c r="L1096" s="60" t="e">
        <f t="shared" si="34"/>
        <v>#N/A</v>
      </c>
      <c r="M1096" s="42" t="e">
        <f t="shared" si="35"/>
        <v>#N/A</v>
      </c>
    </row>
    <row r="1097" spans="12:13" x14ac:dyDescent="0.25">
      <c r="L1097" s="60" t="e">
        <f t="shared" si="34"/>
        <v>#N/A</v>
      </c>
      <c r="M1097" s="42" t="e">
        <f t="shared" si="35"/>
        <v>#N/A</v>
      </c>
    </row>
    <row r="1098" spans="12:13" x14ac:dyDescent="0.25">
      <c r="L1098" s="60" t="e">
        <f t="shared" si="34"/>
        <v>#N/A</v>
      </c>
      <c r="M1098" s="42" t="e">
        <f t="shared" si="35"/>
        <v>#N/A</v>
      </c>
    </row>
    <row r="1099" spans="12:13" x14ac:dyDescent="0.25">
      <c r="L1099" s="60" t="e">
        <f t="shared" si="34"/>
        <v>#N/A</v>
      </c>
      <c r="M1099" s="42" t="e">
        <f t="shared" si="35"/>
        <v>#N/A</v>
      </c>
    </row>
    <row r="1100" spans="12:13" x14ac:dyDescent="0.25">
      <c r="L1100" s="60" t="e">
        <f t="shared" si="34"/>
        <v>#N/A</v>
      </c>
      <c r="M1100" s="42" t="e">
        <f t="shared" si="35"/>
        <v>#N/A</v>
      </c>
    </row>
    <row r="1101" spans="12:13" x14ac:dyDescent="0.25">
      <c r="L1101" s="60" t="e">
        <f t="shared" si="34"/>
        <v>#N/A</v>
      </c>
      <c r="M1101" s="42" t="e">
        <f t="shared" si="35"/>
        <v>#N/A</v>
      </c>
    </row>
    <row r="1102" spans="12:13" x14ac:dyDescent="0.25">
      <c r="L1102" s="60" t="e">
        <f t="shared" si="34"/>
        <v>#N/A</v>
      </c>
      <c r="M1102" s="42" t="e">
        <f t="shared" si="35"/>
        <v>#N/A</v>
      </c>
    </row>
    <row r="1103" spans="12:13" x14ac:dyDescent="0.25">
      <c r="L1103" s="60" t="e">
        <f t="shared" si="34"/>
        <v>#N/A</v>
      </c>
      <c r="M1103" s="42" t="e">
        <f t="shared" si="35"/>
        <v>#N/A</v>
      </c>
    </row>
    <row r="1104" spans="12:13" x14ac:dyDescent="0.25">
      <c r="L1104" s="60" t="e">
        <f t="shared" si="34"/>
        <v>#N/A</v>
      </c>
      <c r="M1104" s="42" t="e">
        <f t="shared" si="35"/>
        <v>#N/A</v>
      </c>
    </row>
    <row r="1105" spans="12:13" x14ac:dyDescent="0.25">
      <c r="L1105" s="60" t="e">
        <f t="shared" si="34"/>
        <v>#N/A</v>
      </c>
      <c r="M1105" s="42" t="e">
        <f t="shared" si="35"/>
        <v>#N/A</v>
      </c>
    </row>
    <row r="1106" spans="12:13" x14ac:dyDescent="0.25">
      <c r="L1106" s="60" t="e">
        <f t="shared" si="34"/>
        <v>#N/A</v>
      </c>
      <c r="M1106" s="42" t="e">
        <f t="shared" si="35"/>
        <v>#N/A</v>
      </c>
    </row>
    <row r="1107" spans="12:13" x14ac:dyDescent="0.25">
      <c r="L1107" s="60" t="e">
        <f t="shared" si="34"/>
        <v>#N/A</v>
      </c>
      <c r="M1107" s="42" t="e">
        <f t="shared" si="35"/>
        <v>#N/A</v>
      </c>
    </row>
    <row r="1108" spans="12:13" x14ac:dyDescent="0.25">
      <c r="L1108" s="60" t="e">
        <f t="shared" si="34"/>
        <v>#N/A</v>
      </c>
      <c r="M1108" s="42" t="e">
        <f t="shared" si="35"/>
        <v>#N/A</v>
      </c>
    </row>
    <row r="1109" spans="12:13" x14ac:dyDescent="0.25">
      <c r="L1109" s="60" t="e">
        <f t="shared" si="34"/>
        <v>#N/A</v>
      </c>
      <c r="M1109" s="42" t="e">
        <f t="shared" si="35"/>
        <v>#N/A</v>
      </c>
    </row>
    <row r="1110" spans="12:13" x14ac:dyDescent="0.25">
      <c r="L1110" s="60" t="e">
        <f t="shared" si="34"/>
        <v>#N/A</v>
      </c>
      <c r="M1110" s="42" t="e">
        <f t="shared" si="35"/>
        <v>#N/A</v>
      </c>
    </row>
    <row r="1111" spans="12:13" x14ac:dyDescent="0.25">
      <c r="L1111" s="60" t="e">
        <f t="shared" si="34"/>
        <v>#N/A</v>
      </c>
      <c r="M1111" s="42" t="e">
        <f t="shared" si="35"/>
        <v>#N/A</v>
      </c>
    </row>
    <row r="1112" spans="12:13" x14ac:dyDescent="0.25">
      <c r="L1112" s="60" t="e">
        <f t="shared" si="34"/>
        <v>#N/A</v>
      </c>
      <c r="M1112" s="42" t="e">
        <f t="shared" si="35"/>
        <v>#N/A</v>
      </c>
    </row>
    <row r="1113" spans="12:13" x14ac:dyDescent="0.25">
      <c r="L1113" s="60" t="e">
        <f t="shared" si="34"/>
        <v>#N/A</v>
      </c>
      <c r="M1113" s="42" t="e">
        <f t="shared" si="35"/>
        <v>#N/A</v>
      </c>
    </row>
    <row r="1114" spans="12:13" x14ac:dyDescent="0.25">
      <c r="L1114" s="60" t="e">
        <f t="shared" si="34"/>
        <v>#N/A</v>
      </c>
      <c r="M1114" s="42" t="e">
        <f t="shared" si="35"/>
        <v>#N/A</v>
      </c>
    </row>
    <row r="1115" spans="12:13" x14ac:dyDescent="0.25">
      <c r="L1115" s="60" t="e">
        <f t="shared" si="34"/>
        <v>#N/A</v>
      </c>
      <c r="M1115" s="42" t="e">
        <f t="shared" si="35"/>
        <v>#N/A</v>
      </c>
    </row>
    <row r="1116" spans="12:13" x14ac:dyDescent="0.25">
      <c r="L1116" s="60" t="e">
        <f t="shared" si="34"/>
        <v>#N/A</v>
      </c>
      <c r="M1116" s="42" t="e">
        <f t="shared" si="35"/>
        <v>#N/A</v>
      </c>
    </row>
    <row r="1117" spans="12:13" x14ac:dyDescent="0.25">
      <c r="L1117" s="60" t="e">
        <f t="shared" si="34"/>
        <v>#N/A</v>
      </c>
      <c r="M1117" s="42" t="e">
        <f t="shared" si="35"/>
        <v>#N/A</v>
      </c>
    </row>
    <row r="1118" spans="12:13" x14ac:dyDescent="0.25">
      <c r="L1118" s="60" t="e">
        <f t="shared" si="34"/>
        <v>#N/A</v>
      </c>
      <c r="M1118" s="42" t="e">
        <f t="shared" si="35"/>
        <v>#N/A</v>
      </c>
    </row>
    <row r="1119" spans="12:13" x14ac:dyDescent="0.25">
      <c r="L1119" s="60" t="e">
        <f t="shared" si="34"/>
        <v>#N/A</v>
      </c>
      <c r="M1119" s="42" t="e">
        <f t="shared" si="35"/>
        <v>#N/A</v>
      </c>
    </row>
    <row r="1120" spans="12:13" x14ac:dyDescent="0.25">
      <c r="L1120" s="60" t="e">
        <f t="shared" si="34"/>
        <v>#N/A</v>
      </c>
      <c r="M1120" s="42" t="e">
        <f t="shared" si="35"/>
        <v>#N/A</v>
      </c>
    </row>
    <row r="1121" spans="12:13" x14ac:dyDescent="0.25">
      <c r="L1121" s="60" t="e">
        <f t="shared" si="34"/>
        <v>#N/A</v>
      </c>
      <c r="M1121" s="42" t="e">
        <f t="shared" si="35"/>
        <v>#N/A</v>
      </c>
    </row>
    <row r="1122" spans="12:13" x14ac:dyDescent="0.25">
      <c r="L1122" s="60" t="e">
        <f t="shared" si="34"/>
        <v>#N/A</v>
      </c>
      <c r="M1122" s="42" t="e">
        <f t="shared" si="35"/>
        <v>#N/A</v>
      </c>
    </row>
    <row r="1123" spans="12:13" x14ac:dyDescent="0.25">
      <c r="L1123" s="60" t="e">
        <f t="shared" si="34"/>
        <v>#N/A</v>
      </c>
      <c r="M1123" s="42" t="e">
        <f t="shared" si="35"/>
        <v>#N/A</v>
      </c>
    </row>
    <row r="1124" spans="12:13" x14ac:dyDescent="0.25">
      <c r="L1124" s="60" t="e">
        <f t="shared" si="34"/>
        <v>#N/A</v>
      </c>
      <c r="M1124" s="42" t="e">
        <f t="shared" si="35"/>
        <v>#N/A</v>
      </c>
    </row>
    <row r="1125" spans="12:13" x14ac:dyDescent="0.25">
      <c r="L1125" s="60" t="e">
        <f t="shared" si="34"/>
        <v>#N/A</v>
      </c>
      <c r="M1125" s="42" t="e">
        <f t="shared" si="35"/>
        <v>#N/A</v>
      </c>
    </row>
    <row r="1126" spans="12:13" x14ac:dyDescent="0.25">
      <c r="L1126" s="60" t="e">
        <f t="shared" si="34"/>
        <v>#N/A</v>
      </c>
      <c r="M1126" s="42" t="e">
        <f t="shared" si="35"/>
        <v>#N/A</v>
      </c>
    </row>
    <row r="1127" spans="12:13" x14ac:dyDescent="0.25">
      <c r="L1127" s="60" t="e">
        <f t="shared" si="34"/>
        <v>#N/A</v>
      </c>
      <c r="M1127" s="42" t="e">
        <f t="shared" si="35"/>
        <v>#N/A</v>
      </c>
    </row>
    <row r="1128" spans="12:13" x14ac:dyDescent="0.25">
      <c r="L1128" s="60" t="e">
        <f t="shared" si="34"/>
        <v>#N/A</v>
      </c>
      <c r="M1128" s="42" t="e">
        <f t="shared" si="35"/>
        <v>#N/A</v>
      </c>
    </row>
    <row r="1129" spans="12:13" x14ac:dyDescent="0.25">
      <c r="L1129" s="60" t="e">
        <f t="shared" si="34"/>
        <v>#N/A</v>
      </c>
      <c r="M1129" s="42" t="e">
        <f t="shared" si="35"/>
        <v>#N/A</v>
      </c>
    </row>
    <row r="1130" spans="12:13" x14ac:dyDescent="0.25">
      <c r="L1130" s="60" t="e">
        <f t="shared" si="34"/>
        <v>#N/A</v>
      </c>
      <c r="M1130" s="42" t="e">
        <f t="shared" si="35"/>
        <v>#N/A</v>
      </c>
    </row>
    <row r="1131" spans="12:13" x14ac:dyDescent="0.25">
      <c r="L1131" s="60" t="e">
        <f t="shared" si="34"/>
        <v>#N/A</v>
      </c>
      <c r="M1131" s="42" t="e">
        <f t="shared" si="35"/>
        <v>#N/A</v>
      </c>
    </row>
    <row r="1132" spans="12:13" x14ac:dyDescent="0.25">
      <c r="L1132" s="60" t="e">
        <f t="shared" si="34"/>
        <v>#N/A</v>
      </c>
      <c r="M1132" s="42" t="e">
        <f t="shared" si="35"/>
        <v>#N/A</v>
      </c>
    </row>
    <row r="1133" spans="12:13" x14ac:dyDescent="0.25">
      <c r="L1133" s="60" t="e">
        <f t="shared" si="34"/>
        <v>#N/A</v>
      </c>
      <c r="M1133" s="42" t="e">
        <f t="shared" si="35"/>
        <v>#N/A</v>
      </c>
    </row>
    <row r="1134" spans="12:13" x14ac:dyDescent="0.25">
      <c r="L1134" s="60" t="e">
        <f t="shared" si="34"/>
        <v>#N/A</v>
      </c>
      <c r="M1134" s="42" t="e">
        <f t="shared" si="35"/>
        <v>#N/A</v>
      </c>
    </row>
    <row r="1135" spans="12:13" x14ac:dyDescent="0.25">
      <c r="L1135" s="60" t="e">
        <f t="shared" si="34"/>
        <v>#N/A</v>
      </c>
      <c r="M1135" s="42" t="e">
        <f t="shared" si="35"/>
        <v>#N/A</v>
      </c>
    </row>
    <row r="1136" spans="12:13" x14ac:dyDescent="0.25">
      <c r="L1136" s="60" t="e">
        <f t="shared" si="34"/>
        <v>#N/A</v>
      </c>
      <c r="M1136" s="42" t="e">
        <f t="shared" si="35"/>
        <v>#N/A</v>
      </c>
    </row>
    <row r="1137" spans="12:13" x14ac:dyDescent="0.25">
      <c r="L1137" s="60" t="e">
        <f t="shared" si="34"/>
        <v>#N/A</v>
      </c>
      <c r="M1137" s="42" t="e">
        <f t="shared" si="35"/>
        <v>#N/A</v>
      </c>
    </row>
    <row r="1138" spans="12:13" x14ac:dyDescent="0.25">
      <c r="L1138" s="60" t="e">
        <f t="shared" si="34"/>
        <v>#N/A</v>
      </c>
      <c r="M1138" s="42" t="e">
        <f t="shared" si="35"/>
        <v>#N/A</v>
      </c>
    </row>
    <row r="1139" spans="12:13" x14ac:dyDescent="0.25">
      <c r="L1139" s="60" t="e">
        <f t="shared" si="34"/>
        <v>#N/A</v>
      </c>
      <c r="M1139" s="42" t="e">
        <f t="shared" si="35"/>
        <v>#N/A</v>
      </c>
    </row>
    <row r="1140" spans="12:13" x14ac:dyDescent="0.25">
      <c r="L1140" s="60" t="e">
        <f t="shared" si="34"/>
        <v>#N/A</v>
      </c>
      <c r="M1140" s="42" t="e">
        <f t="shared" si="35"/>
        <v>#N/A</v>
      </c>
    </row>
    <row r="1141" spans="12:13" x14ac:dyDescent="0.25">
      <c r="L1141" s="60" t="e">
        <f t="shared" si="34"/>
        <v>#N/A</v>
      </c>
      <c r="M1141" s="42" t="e">
        <f t="shared" si="35"/>
        <v>#N/A</v>
      </c>
    </row>
    <row r="1142" spans="12:13" x14ac:dyDescent="0.25">
      <c r="L1142" s="60" t="e">
        <f t="shared" si="34"/>
        <v>#N/A</v>
      </c>
      <c r="M1142" s="42" t="e">
        <f t="shared" si="35"/>
        <v>#N/A</v>
      </c>
    </row>
    <row r="1143" spans="12:13" x14ac:dyDescent="0.25">
      <c r="L1143" s="60" t="e">
        <f t="shared" ref="L1143:L1206" si="36">IF(Q1143&lt;&gt;"",Q1143,#N/A)</f>
        <v>#N/A</v>
      </c>
      <c r="M1143" s="42" t="e">
        <f t="shared" ref="M1143:M1206" si="37">IF(R1143&lt;&gt;"",R1143,#N/A)</f>
        <v>#N/A</v>
      </c>
    </row>
    <row r="1144" spans="12:13" x14ac:dyDescent="0.25">
      <c r="L1144" s="60" t="e">
        <f t="shared" si="36"/>
        <v>#N/A</v>
      </c>
      <c r="M1144" s="42" t="e">
        <f t="shared" si="37"/>
        <v>#N/A</v>
      </c>
    </row>
    <row r="1145" spans="12:13" x14ac:dyDescent="0.25">
      <c r="L1145" s="60" t="e">
        <f t="shared" si="36"/>
        <v>#N/A</v>
      </c>
      <c r="M1145" s="42" t="e">
        <f t="shared" si="37"/>
        <v>#N/A</v>
      </c>
    </row>
    <row r="1146" spans="12:13" x14ac:dyDescent="0.25">
      <c r="L1146" s="60" t="e">
        <f t="shared" si="36"/>
        <v>#N/A</v>
      </c>
      <c r="M1146" s="42" t="e">
        <f t="shared" si="37"/>
        <v>#N/A</v>
      </c>
    </row>
    <row r="1147" spans="12:13" x14ac:dyDescent="0.25">
      <c r="L1147" s="60" t="e">
        <f t="shared" si="36"/>
        <v>#N/A</v>
      </c>
      <c r="M1147" s="42" t="e">
        <f t="shared" si="37"/>
        <v>#N/A</v>
      </c>
    </row>
    <row r="1148" spans="12:13" x14ac:dyDescent="0.25">
      <c r="L1148" s="60" t="e">
        <f t="shared" si="36"/>
        <v>#N/A</v>
      </c>
      <c r="M1148" s="42" t="e">
        <f t="shared" si="37"/>
        <v>#N/A</v>
      </c>
    </row>
    <row r="1149" spans="12:13" x14ac:dyDescent="0.25">
      <c r="L1149" s="60" t="e">
        <f t="shared" si="36"/>
        <v>#N/A</v>
      </c>
      <c r="M1149" s="42" t="e">
        <f t="shared" si="37"/>
        <v>#N/A</v>
      </c>
    </row>
    <row r="1150" spans="12:13" x14ac:dyDescent="0.25">
      <c r="L1150" s="60" t="e">
        <f t="shared" si="36"/>
        <v>#N/A</v>
      </c>
      <c r="M1150" s="42" t="e">
        <f t="shared" si="37"/>
        <v>#N/A</v>
      </c>
    </row>
    <row r="1151" spans="12:13" x14ac:dyDescent="0.25">
      <c r="L1151" s="60" t="e">
        <f t="shared" si="36"/>
        <v>#N/A</v>
      </c>
      <c r="M1151" s="42" t="e">
        <f t="shared" si="37"/>
        <v>#N/A</v>
      </c>
    </row>
    <row r="1152" spans="12:13" x14ac:dyDescent="0.25">
      <c r="L1152" s="60" t="e">
        <f t="shared" si="36"/>
        <v>#N/A</v>
      </c>
      <c r="M1152" s="42" t="e">
        <f t="shared" si="37"/>
        <v>#N/A</v>
      </c>
    </row>
    <row r="1153" spans="12:13" x14ac:dyDescent="0.25">
      <c r="L1153" s="60" t="e">
        <f t="shared" si="36"/>
        <v>#N/A</v>
      </c>
      <c r="M1153" s="42" t="e">
        <f t="shared" si="37"/>
        <v>#N/A</v>
      </c>
    </row>
    <row r="1154" spans="12:13" x14ac:dyDescent="0.25">
      <c r="L1154" s="60" t="e">
        <f t="shared" si="36"/>
        <v>#N/A</v>
      </c>
      <c r="M1154" s="42" t="e">
        <f t="shared" si="37"/>
        <v>#N/A</v>
      </c>
    </row>
    <row r="1155" spans="12:13" x14ac:dyDescent="0.25">
      <c r="L1155" s="60" t="e">
        <f t="shared" si="36"/>
        <v>#N/A</v>
      </c>
      <c r="M1155" s="42" t="e">
        <f t="shared" si="37"/>
        <v>#N/A</v>
      </c>
    </row>
    <row r="1156" spans="12:13" x14ac:dyDescent="0.25">
      <c r="L1156" s="60" t="e">
        <f t="shared" si="36"/>
        <v>#N/A</v>
      </c>
      <c r="M1156" s="42" t="e">
        <f t="shared" si="37"/>
        <v>#N/A</v>
      </c>
    </row>
    <row r="1157" spans="12:13" x14ac:dyDescent="0.25">
      <c r="L1157" s="60" t="e">
        <f t="shared" si="36"/>
        <v>#N/A</v>
      </c>
      <c r="M1157" s="42" t="e">
        <f t="shared" si="37"/>
        <v>#N/A</v>
      </c>
    </row>
    <row r="1158" spans="12:13" x14ac:dyDescent="0.25">
      <c r="L1158" s="60" t="e">
        <f t="shared" si="36"/>
        <v>#N/A</v>
      </c>
      <c r="M1158" s="42" t="e">
        <f t="shared" si="37"/>
        <v>#N/A</v>
      </c>
    </row>
    <row r="1159" spans="12:13" x14ac:dyDescent="0.25">
      <c r="L1159" s="60" t="e">
        <f t="shared" si="36"/>
        <v>#N/A</v>
      </c>
      <c r="M1159" s="42" t="e">
        <f t="shared" si="37"/>
        <v>#N/A</v>
      </c>
    </row>
    <row r="1160" spans="12:13" x14ac:dyDescent="0.25">
      <c r="L1160" s="60" t="e">
        <f t="shared" si="36"/>
        <v>#N/A</v>
      </c>
      <c r="M1160" s="42" t="e">
        <f t="shared" si="37"/>
        <v>#N/A</v>
      </c>
    </row>
    <row r="1161" spans="12:13" x14ac:dyDescent="0.25">
      <c r="L1161" s="60" t="e">
        <f t="shared" si="36"/>
        <v>#N/A</v>
      </c>
      <c r="M1161" s="42" t="e">
        <f t="shared" si="37"/>
        <v>#N/A</v>
      </c>
    </row>
    <row r="1162" spans="12:13" x14ac:dyDescent="0.25">
      <c r="L1162" s="60" t="e">
        <f t="shared" si="36"/>
        <v>#N/A</v>
      </c>
      <c r="M1162" s="42" t="e">
        <f t="shared" si="37"/>
        <v>#N/A</v>
      </c>
    </row>
    <row r="1163" spans="12:13" x14ac:dyDescent="0.25">
      <c r="L1163" s="60" t="e">
        <f t="shared" si="36"/>
        <v>#N/A</v>
      </c>
      <c r="M1163" s="42" t="e">
        <f t="shared" si="37"/>
        <v>#N/A</v>
      </c>
    </row>
    <row r="1164" spans="12:13" x14ac:dyDescent="0.25">
      <c r="L1164" s="60" t="e">
        <f t="shared" si="36"/>
        <v>#N/A</v>
      </c>
      <c r="M1164" s="42" t="e">
        <f t="shared" si="37"/>
        <v>#N/A</v>
      </c>
    </row>
    <row r="1165" spans="12:13" x14ac:dyDescent="0.25">
      <c r="L1165" s="60" t="e">
        <f t="shared" si="36"/>
        <v>#N/A</v>
      </c>
      <c r="M1165" s="42" t="e">
        <f t="shared" si="37"/>
        <v>#N/A</v>
      </c>
    </row>
    <row r="1166" spans="12:13" x14ac:dyDescent="0.25">
      <c r="L1166" s="60" t="e">
        <f t="shared" si="36"/>
        <v>#N/A</v>
      </c>
      <c r="M1166" s="42" t="e">
        <f t="shared" si="37"/>
        <v>#N/A</v>
      </c>
    </row>
    <row r="1167" spans="12:13" x14ac:dyDescent="0.25">
      <c r="L1167" s="60" t="e">
        <f t="shared" si="36"/>
        <v>#N/A</v>
      </c>
      <c r="M1167" s="42" t="e">
        <f t="shared" si="37"/>
        <v>#N/A</v>
      </c>
    </row>
    <row r="1168" spans="12:13" x14ac:dyDescent="0.25">
      <c r="L1168" s="60" t="e">
        <f t="shared" si="36"/>
        <v>#N/A</v>
      </c>
      <c r="M1168" s="42" t="e">
        <f t="shared" si="37"/>
        <v>#N/A</v>
      </c>
    </row>
    <row r="1169" spans="12:13" x14ac:dyDescent="0.25">
      <c r="L1169" s="60" t="e">
        <f t="shared" si="36"/>
        <v>#N/A</v>
      </c>
      <c r="M1169" s="42" t="e">
        <f t="shared" si="37"/>
        <v>#N/A</v>
      </c>
    </row>
    <row r="1170" spans="12:13" x14ac:dyDescent="0.25">
      <c r="L1170" s="60" t="e">
        <f t="shared" si="36"/>
        <v>#N/A</v>
      </c>
      <c r="M1170" s="42" t="e">
        <f t="shared" si="37"/>
        <v>#N/A</v>
      </c>
    </row>
    <row r="1171" spans="12:13" x14ac:dyDescent="0.25">
      <c r="L1171" s="60" t="e">
        <f t="shared" si="36"/>
        <v>#N/A</v>
      </c>
      <c r="M1171" s="42" t="e">
        <f t="shared" si="37"/>
        <v>#N/A</v>
      </c>
    </row>
    <row r="1172" spans="12:13" x14ac:dyDescent="0.25">
      <c r="L1172" s="60" t="e">
        <f t="shared" si="36"/>
        <v>#N/A</v>
      </c>
      <c r="M1172" s="42" t="e">
        <f t="shared" si="37"/>
        <v>#N/A</v>
      </c>
    </row>
    <row r="1173" spans="12:13" x14ac:dyDescent="0.25">
      <c r="L1173" s="60" t="e">
        <f t="shared" si="36"/>
        <v>#N/A</v>
      </c>
      <c r="M1173" s="42" t="e">
        <f t="shared" si="37"/>
        <v>#N/A</v>
      </c>
    </row>
    <row r="1174" spans="12:13" x14ac:dyDescent="0.25">
      <c r="L1174" s="60" t="e">
        <f t="shared" si="36"/>
        <v>#N/A</v>
      </c>
      <c r="M1174" s="42" t="e">
        <f t="shared" si="37"/>
        <v>#N/A</v>
      </c>
    </row>
    <row r="1175" spans="12:13" x14ac:dyDescent="0.25">
      <c r="L1175" s="60" t="e">
        <f t="shared" si="36"/>
        <v>#N/A</v>
      </c>
      <c r="M1175" s="42" t="e">
        <f t="shared" si="37"/>
        <v>#N/A</v>
      </c>
    </row>
    <row r="1176" spans="12:13" x14ac:dyDescent="0.25">
      <c r="L1176" s="60" t="e">
        <f t="shared" si="36"/>
        <v>#N/A</v>
      </c>
      <c r="M1176" s="42" t="e">
        <f t="shared" si="37"/>
        <v>#N/A</v>
      </c>
    </row>
    <row r="1177" spans="12:13" x14ac:dyDescent="0.25">
      <c r="L1177" s="60" t="e">
        <f t="shared" si="36"/>
        <v>#N/A</v>
      </c>
      <c r="M1177" s="42" t="e">
        <f t="shared" si="37"/>
        <v>#N/A</v>
      </c>
    </row>
    <row r="1178" spans="12:13" x14ac:dyDescent="0.25">
      <c r="L1178" s="60" t="e">
        <f t="shared" si="36"/>
        <v>#N/A</v>
      </c>
      <c r="M1178" s="42" t="e">
        <f t="shared" si="37"/>
        <v>#N/A</v>
      </c>
    </row>
    <row r="1179" spans="12:13" x14ac:dyDescent="0.25">
      <c r="L1179" s="60" t="e">
        <f t="shared" si="36"/>
        <v>#N/A</v>
      </c>
      <c r="M1179" s="42" t="e">
        <f t="shared" si="37"/>
        <v>#N/A</v>
      </c>
    </row>
    <row r="1180" spans="12:13" x14ac:dyDescent="0.25">
      <c r="L1180" s="60" t="e">
        <f t="shared" si="36"/>
        <v>#N/A</v>
      </c>
      <c r="M1180" s="42" t="e">
        <f t="shared" si="37"/>
        <v>#N/A</v>
      </c>
    </row>
    <row r="1181" spans="12:13" x14ac:dyDescent="0.25">
      <c r="L1181" s="60" t="e">
        <f t="shared" si="36"/>
        <v>#N/A</v>
      </c>
      <c r="M1181" s="42" t="e">
        <f t="shared" si="37"/>
        <v>#N/A</v>
      </c>
    </row>
    <row r="1182" spans="12:13" x14ac:dyDescent="0.25">
      <c r="L1182" s="60" t="e">
        <f t="shared" si="36"/>
        <v>#N/A</v>
      </c>
      <c r="M1182" s="42" t="e">
        <f t="shared" si="37"/>
        <v>#N/A</v>
      </c>
    </row>
    <row r="1183" spans="12:13" x14ac:dyDescent="0.25">
      <c r="L1183" s="60" t="e">
        <f t="shared" si="36"/>
        <v>#N/A</v>
      </c>
      <c r="M1183" s="42" t="e">
        <f t="shared" si="37"/>
        <v>#N/A</v>
      </c>
    </row>
    <row r="1184" spans="12:13" x14ac:dyDescent="0.25">
      <c r="L1184" s="60" t="e">
        <f t="shared" si="36"/>
        <v>#N/A</v>
      </c>
      <c r="M1184" s="42" t="e">
        <f t="shared" si="37"/>
        <v>#N/A</v>
      </c>
    </row>
    <row r="1185" spans="12:13" x14ac:dyDescent="0.25">
      <c r="L1185" s="60" t="e">
        <f t="shared" si="36"/>
        <v>#N/A</v>
      </c>
      <c r="M1185" s="42" t="e">
        <f t="shared" si="37"/>
        <v>#N/A</v>
      </c>
    </row>
    <row r="1186" spans="12:13" x14ac:dyDescent="0.25">
      <c r="L1186" s="60" t="e">
        <f t="shared" si="36"/>
        <v>#N/A</v>
      </c>
      <c r="M1186" s="42" t="e">
        <f t="shared" si="37"/>
        <v>#N/A</v>
      </c>
    </row>
    <row r="1187" spans="12:13" x14ac:dyDescent="0.25">
      <c r="L1187" s="60" t="e">
        <f t="shared" si="36"/>
        <v>#N/A</v>
      </c>
      <c r="M1187" s="42" t="e">
        <f t="shared" si="37"/>
        <v>#N/A</v>
      </c>
    </row>
    <row r="1188" spans="12:13" x14ac:dyDescent="0.25">
      <c r="L1188" s="60" t="e">
        <f t="shared" si="36"/>
        <v>#N/A</v>
      </c>
      <c r="M1188" s="42" t="e">
        <f t="shared" si="37"/>
        <v>#N/A</v>
      </c>
    </row>
    <row r="1189" spans="12:13" x14ac:dyDescent="0.25">
      <c r="L1189" s="60" t="e">
        <f t="shared" si="36"/>
        <v>#N/A</v>
      </c>
      <c r="M1189" s="42" t="e">
        <f t="shared" si="37"/>
        <v>#N/A</v>
      </c>
    </row>
    <row r="1190" spans="12:13" x14ac:dyDescent="0.25">
      <c r="L1190" s="60" t="e">
        <f t="shared" si="36"/>
        <v>#N/A</v>
      </c>
      <c r="M1190" s="42" t="e">
        <f t="shared" si="37"/>
        <v>#N/A</v>
      </c>
    </row>
    <row r="1191" spans="12:13" x14ac:dyDescent="0.25">
      <c r="L1191" s="60" t="e">
        <f t="shared" si="36"/>
        <v>#N/A</v>
      </c>
      <c r="M1191" s="42" t="e">
        <f t="shared" si="37"/>
        <v>#N/A</v>
      </c>
    </row>
    <row r="1192" spans="12:13" x14ac:dyDescent="0.25">
      <c r="L1192" s="60" t="e">
        <f t="shared" si="36"/>
        <v>#N/A</v>
      </c>
      <c r="M1192" s="42" t="e">
        <f t="shared" si="37"/>
        <v>#N/A</v>
      </c>
    </row>
    <row r="1193" spans="12:13" x14ac:dyDescent="0.25">
      <c r="L1193" s="60" t="e">
        <f t="shared" si="36"/>
        <v>#N/A</v>
      </c>
      <c r="M1193" s="42" t="e">
        <f t="shared" si="37"/>
        <v>#N/A</v>
      </c>
    </row>
    <row r="1194" spans="12:13" x14ac:dyDescent="0.25">
      <c r="L1194" s="60" t="e">
        <f t="shared" si="36"/>
        <v>#N/A</v>
      </c>
      <c r="M1194" s="42" t="e">
        <f t="shared" si="37"/>
        <v>#N/A</v>
      </c>
    </row>
    <row r="1195" spans="12:13" x14ac:dyDescent="0.25">
      <c r="L1195" s="60" t="e">
        <f t="shared" si="36"/>
        <v>#N/A</v>
      </c>
      <c r="M1195" s="42" t="e">
        <f t="shared" si="37"/>
        <v>#N/A</v>
      </c>
    </row>
    <row r="1196" spans="12:13" x14ac:dyDescent="0.25">
      <c r="L1196" s="60" t="e">
        <f t="shared" si="36"/>
        <v>#N/A</v>
      </c>
      <c r="M1196" s="42" t="e">
        <f t="shared" si="37"/>
        <v>#N/A</v>
      </c>
    </row>
    <row r="1197" spans="12:13" x14ac:dyDescent="0.25">
      <c r="L1197" s="60" t="e">
        <f t="shared" si="36"/>
        <v>#N/A</v>
      </c>
      <c r="M1197" s="42" t="e">
        <f t="shared" si="37"/>
        <v>#N/A</v>
      </c>
    </row>
    <row r="1198" spans="12:13" x14ac:dyDescent="0.25">
      <c r="L1198" s="60" t="e">
        <f t="shared" si="36"/>
        <v>#N/A</v>
      </c>
      <c r="M1198" s="42" t="e">
        <f t="shared" si="37"/>
        <v>#N/A</v>
      </c>
    </row>
    <row r="1199" spans="12:13" x14ac:dyDescent="0.25">
      <c r="L1199" s="60" t="e">
        <f t="shared" si="36"/>
        <v>#N/A</v>
      </c>
      <c r="M1199" s="42" t="e">
        <f t="shared" si="37"/>
        <v>#N/A</v>
      </c>
    </row>
    <row r="1200" spans="12:13" x14ac:dyDescent="0.25">
      <c r="L1200" s="60" t="e">
        <f t="shared" si="36"/>
        <v>#N/A</v>
      </c>
      <c r="M1200" s="42" t="e">
        <f t="shared" si="37"/>
        <v>#N/A</v>
      </c>
    </row>
    <row r="1201" spans="12:13" x14ac:dyDescent="0.25">
      <c r="L1201" s="60" t="e">
        <f t="shared" si="36"/>
        <v>#N/A</v>
      </c>
      <c r="M1201" s="42" t="e">
        <f t="shared" si="37"/>
        <v>#N/A</v>
      </c>
    </row>
    <row r="1202" spans="12:13" x14ac:dyDescent="0.25">
      <c r="L1202" s="60" t="e">
        <f t="shared" si="36"/>
        <v>#N/A</v>
      </c>
      <c r="M1202" s="42" t="e">
        <f t="shared" si="37"/>
        <v>#N/A</v>
      </c>
    </row>
    <row r="1203" spans="12:13" x14ac:dyDescent="0.25">
      <c r="L1203" s="60" t="e">
        <f t="shared" si="36"/>
        <v>#N/A</v>
      </c>
      <c r="M1203" s="42" t="e">
        <f t="shared" si="37"/>
        <v>#N/A</v>
      </c>
    </row>
    <row r="1204" spans="12:13" x14ac:dyDescent="0.25">
      <c r="L1204" s="60" t="e">
        <f t="shared" si="36"/>
        <v>#N/A</v>
      </c>
      <c r="M1204" s="42" t="e">
        <f t="shared" si="37"/>
        <v>#N/A</v>
      </c>
    </row>
    <row r="1205" spans="12:13" x14ac:dyDescent="0.25">
      <c r="L1205" s="60" t="e">
        <f t="shared" si="36"/>
        <v>#N/A</v>
      </c>
      <c r="M1205" s="42" t="e">
        <f t="shared" si="37"/>
        <v>#N/A</v>
      </c>
    </row>
    <row r="1206" spans="12:13" x14ac:dyDescent="0.25">
      <c r="L1206" s="60" t="e">
        <f t="shared" si="36"/>
        <v>#N/A</v>
      </c>
      <c r="M1206" s="42" t="e">
        <f t="shared" si="37"/>
        <v>#N/A</v>
      </c>
    </row>
    <row r="1207" spans="12:13" x14ac:dyDescent="0.25">
      <c r="L1207" s="60" t="e">
        <f t="shared" ref="L1207:L1270" si="38">IF(Q1207&lt;&gt;"",Q1207,#N/A)</f>
        <v>#N/A</v>
      </c>
      <c r="M1207" s="42" t="e">
        <f t="shared" ref="M1207:M1270" si="39">IF(R1207&lt;&gt;"",R1207,#N/A)</f>
        <v>#N/A</v>
      </c>
    </row>
    <row r="1208" spans="12:13" x14ac:dyDescent="0.25">
      <c r="L1208" s="60" t="e">
        <f t="shared" si="38"/>
        <v>#N/A</v>
      </c>
      <c r="M1208" s="42" t="e">
        <f t="shared" si="39"/>
        <v>#N/A</v>
      </c>
    </row>
    <row r="1209" spans="12:13" x14ac:dyDescent="0.25">
      <c r="L1209" s="60" t="e">
        <f t="shared" si="38"/>
        <v>#N/A</v>
      </c>
      <c r="M1209" s="42" t="e">
        <f t="shared" si="39"/>
        <v>#N/A</v>
      </c>
    </row>
    <row r="1210" spans="12:13" x14ac:dyDescent="0.25">
      <c r="L1210" s="60" t="e">
        <f t="shared" si="38"/>
        <v>#N/A</v>
      </c>
      <c r="M1210" s="42" t="e">
        <f t="shared" si="39"/>
        <v>#N/A</v>
      </c>
    </row>
    <row r="1211" spans="12:13" x14ac:dyDescent="0.25">
      <c r="L1211" s="60" t="e">
        <f t="shared" si="38"/>
        <v>#N/A</v>
      </c>
      <c r="M1211" s="42" t="e">
        <f t="shared" si="39"/>
        <v>#N/A</v>
      </c>
    </row>
    <row r="1212" spans="12:13" x14ac:dyDescent="0.25">
      <c r="L1212" s="60" t="e">
        <f t="shared" si="38"/>
        <v>#N/A</v>
      </c>
      <c r="M1212" s="42" t="e">
        <f t="shared" si="39"/>
        <v>#N/A</v>
      </c>
    </row>
    <row r="1213" spans="12:13" x14ac:dyDescent="0.25">
      <c r="L1213" s="60" t="e">
        <f t="shared" si="38"/>
        <v>#N/A</v>
      </c>
      <c r="M1213" s="42" t="e">
        <f t="shared" si="39"/>
        <v>#N/A</v>
      </c>
    </row>
    <row r="1214" spans="12:13" x14ac:dyDescent="0.25">
      <c r="L1214" s="60" t="e">
        <f t="shared" si="38"/>
        <v>#N/A</v>
      </c>
      <c r="M1214" s="42" t="e">
        <f t="shared" si="39"/>
        <v>#N/A</v>
      </c>
    </row>
    <row r="1215" spans="12:13" x14ac:dyDescent="0.25">
      <c r="L1215" s="60" t="e">
        <f t="shared" si="38"/>
        <v>#N/A</v>
      </c>
      <c r="M1215" s="42" t="e">
        <f t="shared" si="39"/>
        <v>#N/A</v>
      </c>
    </row>
    <row r="1216" spans="12:13" x14ac:dyDescent="0.25">
      <c r="L1216" s="60" t="e">
        <f t="shared" si="38"/>
        <v>#N/A</v>
      </c>
      <c r="M1216" s="42" t="e">
        <f t="shared" si="39"/>
        <v>#N/A</v>
      </c>
    </row>
    <row r="1217" spans="12:13" x14ac:dyDescent="0.25">
      <c r="L1217" s="60" t="e">
        <f t="shared" si="38"/>
        <v>#N/A</v>
      </c>
      <c r="M1217" s="42" t="e">
        <f t="shared" si="39"/>
        <v>#N/A</v>
      </c>
    </row>
    <row r="1218" spans="12:13" x14ac:dyDescent="0.25">
      <c r="L1218" s="60" t="e">
        <f t="shared" si="38"/>
        <v>#N/A</v>
      </c>
      <c r="M1218" s="42" t="e">
        <f t="shared" si="39"/>
        <v>#N/A</v>
      </c>
    </row>
    <row r="1219" spans="12:13" x14ac:dyDescent="0.25">
      <c r="L1219" s="60" t="e">
        <f t="shared" si="38"/>
        <v>#N/A</v>
      </c>
      <c r="M1219" s="42" t="e">
        <f t="shared" si="39"/>
        <v>#N/A</v>
      </c>
    </row>
    <row r="1220" spans="12:13" x14ac:dyDescent="0.25">
      <c r="L1220" s="60" t="e">
        <f t="shared" si="38"/>
        <v>#N/A</v>
      </c>
      <c r="M1220" s="42" t="e">
        <f t="shared" si="39"/>
        <v>#N/A</v>
      </c>
    </row>
    <row r="1221" spans="12:13" x14ac:dyDescent="0.25">
      <c r="L1221" s="60" t="e">
        <f t="shared" si="38"/>
        <v>#N/A</v>
      </c>
      <c r="M1221" s="42" t="e">
        <f t="shared" si="39"/>
        <v>#N/A</v>
      </c>
    </row>
    <row r="1222" spans="12:13" x14ac:dyDescent="0.25">
      <c r="L1222" s="60" t="e">
        <f t="shared" si="38"/>
        <v>#N/A</v>
      </c>
      <c r="M1222" s="42" t="e">
        <f t="shared" si="39"/>
        <v>#N/A</v>
      </c>
    </row>
    <row r="1223" spans="12:13" x14ac:dyDescent="0.25">
      <c r="L1223" s="60" t="e">
        <f t="shared" si="38"/>
        <v>#N/A</v>
      </c>
      <c r="M1223" s="42" t="e">
        <f t="shared" si="39"/>
        <v>#N/A</v>
      </c>
    </row>
    <row r="1224" spans="12:13" x14ac:dyDescent="0.25">
      <c r="L1224" s="60" t="e">
        <f t="shared" si="38"/>
        <v>#N/A</v>
      </c>
      <c r="M1224" s="42" t="e">
        <f t="shared" si="39"/>
        <v>#N/A</v>
      </c>
    </row>
    <row r="1225" spans="12:13" x14ac:dyDescent="0.25">
      <c r="L1225" s="60" t="e">
        <f t="shared" si="38"/>
        <v>#N/A</v>
      </c>
      <c r="M1225" s="42" t="e">
        <f t="shared" si="39"/>
        <v>#N/A</v>
      </c>
    </row>
    <row r="1226" spans="12:13" x14ac:dyDescent="0.25">
      <c r="L1226" s="60" t="e">
        <f t="shared" si="38"/>
        <v>#N/A</v>
      </c>
      <c r="M1226" s="42" t="e">
        <f t="shared" si="39"/>
        <v>#N/A</v>
      </c>
    </row>
    <row r="1227" spans="12:13" x14ac:dyDescent="0.25">
      <c r="L1227" s="60" t="e">
        <f t="shared" si="38"/>
        <v>#N/A</v>
      </c>
      <c r="M1227" s="42" t="e">
        <f t="shared" si="39"/>
        <v>#N/A</v>
      </c>
    </row>
    <row r="1228" spans="12:13" x14ac:dyDescent="0.25">
      <c r="L1228" s="60" t="e">
        <f t="shared" si="38"/>
        <v>#N/A</v>
      </c>
      <c r="M1228" s="42" t="e">
        <f t="shared" si="39"/>
        <v>#N/A</v>
      </c>
    </row>
    <row r="1229" spans="12:13" x14ac:dyDescent="0.25">
      <c r="L1229" s="60" t="e">
        <f t="shared" si="38"/>
        <v>#N/A</v>
      </c>
      <c r="M1229" s="42" t="e">
        <f t="shared" si="39"/>
        <v>#N/A</v>
      </c>
    </row>
    <row r="1230" spans="12:13" x14ac:dyDescent="0.25">
      <c r="L1230" s="60" t="e">
        <f t="shared" si="38"/>
        <v>#N/A</v>
      </c>
      <c r="M1230" s="42" t="e">
        <f t="shared" si="39"/>
        <v>#N/A</v>
      </c>
    </row>
    <row r="1231" spans="12:13" x14ac:dyDescent="0.25">
      <c r="L1231" s="60" t="e">
        <f t="shared" si="38"/>
        <v>#N/A</v>
      </c>
      <c r="M1231" s="42" t="e">
        <f t="shared" si="39"/>
        <v>#N/A</v>
      </c>
    </row>
    <row r="1232" spans="12:13" x14ac:dyDescent="0.25">
      <c r="L1232" s="60" t="e">
        <f t="shared" si="38"/>
        <v>#N/A</v>
      </c>
      <c r="M1232" s="42" t="e">
        <f t="shared" si="39"/>
        <v>#N/A</v>
      </c>
    </row>
    <row r="1233" spans="12:13" x14ac:dyDescent="0.25">
      <c r="L1233" s="60" t="e">
        <f t="shared" si="38"/>
        <v>#N/A</v>
      </c>
      <c r="M1233" s="42" t="e">
        <f t="shared" si="39"/>
        <v>#N/A</v>
      </c>
    </row>
    <row r="1234" spans="12:13" x14ac:dyDescent="0.25">
      <c r="L1234" s="60" t="e">
        <f t="shared" si="38"/>
        <v>#N/A</v>
      </c>
      <c r="M1234" s="42" t="e">
        <f t="shared" si="39"/>
        <v>#N/A</v>
      </c>
    </row>
    <row r="1235" spans="12:13" x14ac:dyDescent="0.25">
      <c r="L1235" s="60" t="e">
        <f t="shared" si="38"/>
        <v>#N/A</v>
      </c>
      <c r="M1235" s="42" t="e">
        <f t="shared" si="39"/>
        <v>#N/A</v>
      </c>
    </row>
    <row r="1236" spans="12:13" x14ac:dyDescent="0.25">
      <c r="L1236" s="60" t="e">
        <f t="shared" si="38"/>
        <v>#N/A</v>
      </c>
      <c r="M1236" s="42" t="e">
        <f t="shared" si="39"/>
        <v>#N/A</v>
      </c>
    </row>
    <row r="1237" spans="12:13" x14ac:dyDescent="0.25">
      <c r="L1237" s="60" t="e">
        <f t="shared" si="38"/>
        <v>#N/A</v>
      </c>
      <c r="M1237" s="42" t="e">
        <f t="shared" si="39"/>
        <v>#N/A</v>
      </c>
    </row>
    <row r="1238" spans="12:13" x14ac:dyDescent="0.25">
      <c r="L1238" s="60" t="e">
        <f t="shared" si="38"/>
        <v>#N/A</v>
      </c>
      <c r="M1238" s="42" t="e">
        <f t="shared" si="39"/>
        <v>#N/A</v>
      </c>
    </row>
    <row r="1239" spans="12:13" x14ac:dyDescent="0.25">
      <c r="L1239" s="60" t="e">
        <f t="shared" si="38"/>
        <v>#N/A</v>
      </c>
      <c r="M1239" s="42" t="e">
        <f t="shared" si="39"/>
        <v>#N/A</v>
      </c>
    </row>
    <row r="1240" spans="12:13" x14ac:dyDescent="0.25">
      <c r="L1240" s="60" t="e">
        <f t="shared" si="38"/>
        <v>#N/A</v>
      </c>
      <c r="M1240" s="42" t="e">
        <f t="shared" si="39"/>
        <v>#N/A</v>
      </c>
    </row>
    <row r="1241" spans="12:13" x14ac:dyDescent="0.25">
      <c r="L1241" s="60" t="e">
        <f t="shared" si="38"/>
        <v>#N/A</v>
      </c>
      <c r="M1241" s="42" t="e">
        <f t="shared" si="39"/>
        <v>#N/A</v>
      </c>
    </row>
    <row r="1242" spans="12:13" x14ac:dyDescent="0.25">
      <c r="L1242" s="60" t="e">
        <f t="shared" si="38"/>
        <v>#N/A</v>
      </c>
      <c r="M1242" s="42" t="e">
        <f t="shared" si="39"/>
        <v>#N/A</v>
      </c>
    </row>
    <row r="1243" spans="12:13" x14ac:dyDescent="0.25">
      <c r="L1243" s="60" t="e">
        <f t="shared" si="38"/>
        <v>#N/A</v>
      </c>
      <c r="M1243" s="42" t="e">
        <f t="shared" si="39"/>
        <v>#N/A</v>
      </c>
    </row>
    <row r="1244" spans="12:13" x14ac:dyDescent="0.25">
      <c r="L1244" s="60" t="e">
        <f t="shared" si="38"/>
        <v>#N/A</v>
      </c>
      <c r="M1244" s="42" t="e">
        <f t="shared" si="39"/>
        <v>#N/A</v>
      </c>
    </row>
    <row r="1245" spans="12:13" x14ac:dyDescent="0.25">
      <c r="L1245" s="60" t="e">
        <f t="shared" si="38"/>
        <v>#N/A</v>
      </c>
      <c r="M1245" s="42" t="e">
        <f t="shared" si="39"/>
        <v>#N/A</v>
      </c>
    </row>
    <row r="1246" spans="12:13" x14ac:dyDescent="0.25">
      <c r="L1246" s="60" t="e">
        <f t="shared" si="38"/>
        <v>#N/A</v>
      </c>
      <c r="M1246" s="42" t="e">
        <f t="shared" si="39"/>
        <v>#N/A</v>
      </c>
    </row>
    <row r="1247" spans="12:13" x14ac:dyDescent="0.25">
      <c r="L1247" s="60" t="e">
        <f t="shared" si="38"/>
        <v>#N/A</v>
      </c>
      <c r="M1247" s="42" t="e">
        <f t="shared" si="39"/>
        <v>#N/A</v>
      </c>
    </row>
    <row r="1248" spans="12:13" x14ac:dyDescent="0.25">
      <c r="L1248" s="60" t="e">
        <f t="shared" si="38"/>
        <v>#N/A</v>
      </c>
      <c r="M1248" s="42" t="e">
        <f t="shared" si="39"/>
        <v>#N/A</v>
      </c>
    </row>
    <row r="1249" spans="12:13" x14ac:dyDescent="0.25">
      <c r="L1249" s="60" t="e">
        <f t="shared" si="38"/>
        <v>#N/A</v>
      </c>
      <c r="M1249" s="42" t="e">
        <f t="shared" si="39"/>
        <v>#N/A</v>
      </c>
    </row>
    <row r="1250" spans="12:13" x14ac:dyDescent="0.25">
      <c r="L1250" s="60" t="e">
        <f t="shared" si="38"/>
        <v>#N/A</v>
      </c>
      <c r="M1250" s="42" t="e">
        <f t="shared" si="39"/>
        <v>#N/A</v>
      </c>
    </row>
    <row r="1251" spans="12:13" x14ac:dyDescent="0.25">
      <c r="L1251" s="60" t="e">
        <f t="shared" si="38"/>
        <v>#N/A</v>
      </c>
      <c r="M1251" s="42" t="e">
        <f t="shared" si="39"/>
        <v>#N/A</v>
      </c>
    </row>
    <row r="1252" spans="12:13" x14ac:dyDescent="0.25">
      <c r="L1252" s="60" t="e">
        <f t="shared" si="38"/>
        <v>#N/A</v>
      </c>
      <c r="M1252" s="42" t="e">
        <f t="shared" si="39"/>
        <v>#N/A</v>
      </c>
    </row>
    <row r="1253" spans="12:13" x14ac:dyDescent="0.25">
      <c r="L1253" s="60" t="e">
        <f t="shared" si="38"/>
        <v>#N/A</v>
      </c>
      <c r="M1253" s="42" t="e">
        <f t="shared" si="39"/>
        <v>#N/A</v>
      </c>
    </row>
    <row r="1254" spans="12:13" x14ac:dyDescent="0.25">
      <c r="L1254" s="60" t="e">
        <f t="shared" si="38"/>
        <v>#N/A</v>
      </c>
      <c r="M1254" s="42" t="e">
        <f t="shared" si="39"/>
        <v>#N/A</v>
      </c>
    </row>
    <row r="1255" spans="12:13" x14ac:dyDescent="0.25">
      <c r="L1255" s="60" t="e">
        <f t="shared" si="38"/>
        <v>#N/A</v>
      </c>
      <c r="M1255" s="42" t="e">
        <f t="shared" si="39"/>
        <v>#N/A</v>
      </c>
    </row>
    <row r="1256" spans="12:13" x14ac:dyDescent="0.25">
      <c r="L1256" s="60" t="e">
        <f t="shared" si="38"/>
        <v>#N/A</v>
      </c>
      <c r="M1256" s="42" t="e">
        <f t="shared" si="39"/>
        <v>#N/A</v>
      </c>
    </row>
    <row r="1257" spans="12:13" x14ac:dyDescent="0.25">
      <c r="L1257" s="60" t="e">
        <f t="shared" si="38"/>
        <v>#N/A</v>
      </c>
      <c r="M1257" s="42" t="e">
        <f t="shared" si="39"/>
        <v>#N/A</v>
      </c>
    </row>
    <row r="1258" spans="12:13" x14ac:dyDescent="0.25">
      <c r="L1258" s="60" t="e">
        <f t="shared" si="38"/>
        <v>#N/A</v>
      </c>
      <c r="M1258" s="42" t="e">
        <f t="shared" si="39"/>
        <v>#N/A</v>
      </c>
    </row>
    <row r="1259" spans="12:13" x14ac:dyDescent="0.25">
      <c r="L1259" s="60" t="e">
        <f t="shared" si="38"/>
        <v>#N/A</v>
      </c>
      <c r="M1259" s="42" t="e">
        <f t="shared" si="39"/>
        <v>#N/A</v>
      </c>
    </row>
    <row r="1260" spans="12:13" x14ac:dyDescent="0.25">
      <c r="L1260" s="60" t="e">
        <f t="shared" si="38"/>
        <v>#N/A</v>
      </c>
      <c r="M1260" s="42" t="e">
        <f t="shared" si="39"/>
        <v>#N/A</v>
      </c>
    </row>
    <row r="1261" spans="12:13" x14ac:dyDescent="0.25">
      <c r="L1261" s="60" t="e">
        <f t="shared" si="38"/>
        <v>#N/A</v>
      </c>
      <c r="M1261" s="42" t="e">
        <f t="shared" si="39"/>
        <v>#N/A</v>
      </c>
    </row>
    <row r="1262" spans="12:13" x14ac:dyDescent="0.25">
      <c r="L1262" s="60" t="e">
        <f t="shared" si="38"/>
        <v>#N/A</v>
      </c>
      <c r="M1262" s="42" t="e">
        <f t="shared" si="39"/>
        <v>#N/A</v>
      </c>
    </row>
    <row r="1263" spans="12:13" x14ac:dyDescent="0.25">
      <c r="L1263" s="60" t="e">
        <f t="shared" si="38"/>
        <v>#N/A</v>
      </c>
      <c r="M1263" s="42" t="e">
        <f t="shared" si="39"/>
        <v>#N/A</v>
      </c>
    </row>
    <row r="1264" spans="12:13" x14ac:dyDescent="0.25">
      <c r="L1264" s="60" t="e">
        <f t="shared" si="38"/>
        <v>#N/A</v>
      </c>
      <c r="M1264" s="42" t="e">
        <f t="shared" si="39"/>
        <v>#N/A</v>
      </c>
    </row>
    <row r="1265" spans="12:13" x14ac:dyDescent="0.25">
      <c r="L1265" s="60" t="e">
        <f t="shared" si="38"/>
        <v>#N/A</v>
      </c>
      <c r="M1265" s="42" t="e">
        <f t="shared" si="39"/>
        <v>#N/A</v>
      </c>
    </row>
    <row r="1266" spans="12:13" x14ac:dyDescent="0.25">
      <c r="L1266" s="60" t="e">
        <f t="shared" si="38"/>
        <v>#N/A</v>
      </c>
      <c r="M1266" s="42" t="e">
        <f t="shared" si="39"/>
        <v>#N/A</v>
      </c>
    </row>
    <row r="1267" spans="12:13" x14ac:dyDescent="0.25">
      <c r="L1267" s="60" t="e">
        <f t="shared" si="38"/>
        <v>#N/A</v>
      </c>
      <c r="M1267" s="42" t="e">
        <f t="shared" si="39"/>
        <v>#N/A</v>
      </c>
    </row>
    <row r="1268" spans="12:13" x14ac:dyDescent="0.25">
      <c r="L1268" s="60" t="e">
        <f t="shared" si="38"/>
        <v>#N/A</v>
      </c>
      <c r="M1268" s="42" t="e">
        <f t="shared" si="39"/>
        <v>#N/A</v>
      </c>
    </row>
    <row r="1269" spans="12:13" x14ac:dyDescent="0.25">
      <c r="L1269" s="60" t="e">
        <f t="shared" si="38"/>
        <v>#N/A</v>
      </c>
      <c r="M1269" s="42" t="e">
        <f t="shared" si="39"/>
        <v>#N/A</v>
      </c>
    </row>
    <row r="1270" spans="12:13" x14ac:dyDescent="0.25">
      <c r="L1270" s="60" t="e">
        <f t="shared" si="38"/>
        <v>#N/A</v>
      </c>
      <c r="M1270" s="42" t="e">
        <f t="shared" si="39"/>
        <v>#N/A</v>
      </c>
    </row>
    <row r="1271" spans="12:13" x14ac:dyDescent="0.25">
      <c r="L1271" s="60" t="e">
        <f t="shared" ref="L1271:L1334" si="40">IF(Q1271&lt;&gt;"",Q1271,#N/A)</f>
        <v>#N/A</v>
      </c>
      <c r="M1271" s="42" t="e">
        <f t="shared" ref="M1271:M1334" si="41">IF(R1271&lt;&gt;"",R1271,#N/A)</f>
        <v>#N/A</v>
      </c>
    </row>
    <row r="1272" spans="12:13" x14ac:dyDescent="0.25">
      <c r="L1272" s="60" t="e">
        <f t="shared" si="40"/>
        <v>#N/A</v>
      </c>
      <c r="M1272" s="42" t="e">
        <f t="shared" si="41"/>
        <v>#N/A</v>
      </c>
    </row>
    <row r="1273" spans="12:13" x14ac:dyDescent="0.25">
      <c r="L1273" s="60" t="e">
        <f t="shared" si="40"/>
        <v>#N/A</v>
      </c>
      <c r="M1273" s="42" t="e">
        <f t="shared" si="41"/>
        <v>#N/A</v>
      </c>
    </row>
    <row r="1274" spans="12:13" x14ac:dyDescent="0.25">
      <c r="L1274" s="60" t="e">
        <f t="shared" si="40"/>
        <v>#N/A</v>
      </c>
      <c r="M1274" s="42" t="e">
        <f t="shared" si="41"/>
        <v>#N/A</v>
      </c>
    </row>
    <row r="1275" spans="12:13" x14ac:dyDescent="0.25">
      <c r="L1275" s="60" t="e">
        <f t="shared" si="40"/>
        <v>#N/A</v>
      </c>
      <c r="M1275" s="42" t="e">
        <f t="shared" si="41"/>
        <v>#N/A</v>
      </c>
    </row>
    <row r="1276" spans="12:13" x14ac:dyDescent="0.25">
      <c r="L1276" s="60" t="e">
        <f t="shared" si="40"/>
        <v>#N/A</v>
      </c>
      <c r="M1276" s="42" t="e">
        <f t="shared" si="41"/>
        <v>#N/A</v>
      </c>
    </row>
    <row r="1277" spans="12:13" x14ac:dyDescent="0.25">
      <c r="L1277" s="60" t="e">
        <f t="shared" si="40"/>
        <v>#N/A</v>
      </c>
      <c r="M1277" s="42" t="e">
        <f t="shared" si="41"/>
        <v>#N/A</v>
      </c>
    </row>
    <row r="1278" spans="12:13" x14ac:dyDescent="0.25">
      <c r="L1278" s="60" t="e">
        <f t="shared" si="40"/>
        <v>#N/A</v>
      </c>
      <c r="M1278" s="42" t="e">
        <f t="shared" si="41"/>
        <v>#N/A</v>
      </c>
    </row>
    <row r="1279" spans="12:13" x14ac:dyDescent="0.25">
      <c r="L1279" s="60" t="e">
        <f t="shared" si="40"/>
        <v>#N/A</v>
      </c>
      <c r="M1279" s="42" t="e">
        <f t="shared" si="41"/>
        <v>#N/A</v>
      </c>
    </row>
    <row r="1280" spans="12:13" x14ac:dyDescent="0.25">
      <c r="L1280" s="60" t="e">
        <f t="shared" si="40"/>
        <v>#N/A</v>
      </c>
      <c r="M1280" s="42" t="e">
        <f t="shared" si="41"/>
        <v>#N/A</v>
      </c>
    </row>
    <row r="1281" spans="12:13" x14ac:dyDescent="0.25">
      <c r="L1281" s="60" t="e">
        <f t="shared" si="40"/>
        <v>#N/A</v>
      </c>
      <c r="M1281" s="42" t="e">
        <f t="shared" si="41"/>
        <v>#N/A</v>
      </c>
    </row>
    <row r="1282" spans="12:13" x14ac:dyDescent="0.25">
      <c r="L1282" s="60" t="e">
        <f t="shared" si="40"/>
        <v>#N/A</v>
      </c>
      <c r="M1282" s="42" t="e">
        <f t="shared" si="41"/>
        <v>#N/A</v>
      </c>
    </row>
    <row r="1283" spans="12:13" x14ac:dyDescent="0.25">
      <c r="L1283" s="60" t="e">
        <f t="shared" si="40"/>
        <v>#N/A</v>
      </c>
      <c r="M1283" s="42" t="e">
        <f t="shared" si="41"/>
        <v>#N/A</v>
      </c>
    </row>
    <row r="1284" spans="12:13" x14ac:dyDescent="0.25">
      <c r="L1284" s="60" t="e">
        <f t="shared" si="40"/>
        <v>#N/A</v>
      </c>
      <c r="M1284" s="42" t="e">
        <f t="shared" si="41"/>
        <v>#N/A</v>
      </c>
    </row>
    <row r="1285" spans="12:13" x14ac:dyDescent="0.25">
      <c r="L1285" s="60" t="e">
        <f t="shared" si="40"/>
        <v>#N/A</v>
      </c>
      <c r="M1285" s="42" t="e">
        <f t="shared" si="41"/>
        <v>#N/A</v>
      </c>
    </row>
    <row r="1286" spans="12:13" x14ac:dyDescent="0.25">
      <c r="L1286" s="60" t="e">
        <f t="shared" si="40"/>
        <v>#N/A</v>
      </c>
      <c r="M1286" s="42" t="e">
        <f t="shared" si="41"/>
        <v>#N/A</v>
      </c>
    </row>
    <row r="1287" spans="12:13" x14ac:dyDescent="0.25">
      <c r="L1287" s="60" t="e">
        <f t="shared" si="40"/>
        <v>#N/A</v>
      </c>
      <c r="M1287" s="42" t="e">
        <f t="shared" si="41"/>
        <v>#N/A</v>
      </c>
    </row>
    <row r="1288" spans="12:13" x14ac:dyDescent="0.25">
      <c r="L1288" s="60" t="e">
        <f t="shared" si="40"/>
        <v>#N/A</v>
      </c>
      <c r="M1288" s="42" t="e">
        <f t="shared" si="41"/>
        <v>#N/A</v>
      </c>
    </row>
    <row r="1289" spans="12:13" x14ac:dyDescent="0.25">
      <c r="L1289" s="60" t="e">
        <f t="shared" si="40"/>
        <v>#N/A</v>
      </c>
      <c r="M1289" s="42" t="e">
        <f t="shared" si="41"/>
        <v>#N/A</v>
      </c>
    </row>
    <row r="1290" spans="12:13" x14ac:dyDescent="0.25">
      <c r="L1290" s="60" t="e">
        <f t="shared" si="40"/>
        <v>#N/A</v>
      </c>
      <c r="M1290" s="42" t="e">
        <f t="shared" si="41"/>
        <v>#N/A</v>
      </c>
    </row>
    <row r="1291" spans="12:13" x14ac:dyDescent="0.25">
      <c r="L1291" s="60" t="e">
        <f t="shared" si="40"/>
        <v>#N/A</v>
      </c>
      <c r="M1291" s="42" t="e">
        <f t="shared" si="41"/>
        <v>#N/A</v>
      </c>
    </row>
    <row r="1292" spans="12:13" x14ac:dyDescent="0.25">
      <c r="L1292" s="60" t="e">
        <f t="shared" si="40"/>
        <v>#N/A</v>
      </c>
      <c r="M1292" s="42" t="e">
        <f t="shared" si="41"/>
        <v>#N/A</v>
      </c>
    </row>
    <row r="1293" spans="12:13" x14ac:dyDescent="0.25">
      <c r="L1293" s="60" t="e">
        <f t="shared" si="40"/>
        <v>#N/A</v>
      </c>
      <c r="M1293" s="42" t="e">
        <f t="shared" si="41"/>
        <v>#N/A</v>
      </c>
    </row>
    <row r="1294" spans="12:13" x14ac:dyDescent="0.25">
      <c r="L1294" s="60" t="e">
        <f t="shared" si="40"/>
        <v>#N/A</v>
      </c>
      <c r="M1294" s="42" t="e">
        <f t="shared" si="41"/>
        <v>#N/A</v>
      </c>
    </row>
    <row r="1295" spans="12:13" x14ac:dyDescent="0.25">
      <c r="L1295" s="60" t="e">
        <f t="shared" si="40"/>
        <v>#N/A</v>
      </c>
      <c r="M1295" s="42" t="e">
        <f t="shared" si="41"/>
        <v>#N/A</v>
      </c>
    </row>
    <row r="1296" spans="12:13" x14ac:dyDescent="0.25">
      <c r="L1296" s="60" t="e">
        <f t="shared" si="40"/>
        <v>#N/A</v>
      </c>
      <c r="M1296" s="42" t="e">
        <f t="shared" si="41"/>
        <v>#N/A</v>
      </c>
    </row>
    <row r="1297" spans="12:13" x14ac:dyDescent="0.25">
      <c r="L1297" s="60" t="e">
        <f t="shared" si="40"/>
        <v>#N/A</v>
      </c>
      <c r="M1297" s="42" t="e">
        <f t="shared" si="41"/>
        <v>#N/A</v>
      </c>
    </row>
    <row r="1298" spans="12:13" x14ac:dyDescent="0.25">
      <c r="L1298" s="60" t="e">
        <f t="shared" si="40"/>
        <v>#N/A</v>
      </c>
      <c r="M1298" s="42" t="e">
        <f t="shared" si="41"/>
        <v>#N/A</v>
      </c>
    </row>
    <row r="1299" spans="12:13" x14ac:dyDescent="0.25">
      <c r="L1299" s="60" t="e">
        <f t="shared" si="40"/>
        <v>#N/A</v>
      </c>
      <c r="M1299" s="42" t="e">
        <f t="shared" si="41"/>
        <v>#N/A</v>
      </c>
    </row>
    <row r="1300" spans="12:13" x14ac:dyDescent="0.25">
      <c r="L1300" s="60" t="e">
        <f t="shared" si="40"/>
        <v>#N/A</v>
      </c>
      <c r="M1300" s="42" t="e">
        <f t="shared" si="41"/>
        <v>#N/A</v>
      </c>
    </row>
    <row r="1301" spans="12:13" x14ac:dyDescent="0.25">
      <c r="L1301" s="60" t="e">
        <f t="shared" si="40"/>
        <v>#N/A</v>
      </c>
      <c r="M1301" s="42" t="e">
        <f t="shared" si="41"/>
        <v>#N/A</v>
      </c>
    </row>
    <row r="1302" spans="12:13" x14ac:dyDescent="0.25">
      <c r="L1302" s="60" t="e">
        <f t="shared" si="40"/>
        <v>#N/A</v>
      </c>
      <c r="M1302" s="42" t="e">
        <f t="shared" si="41"/>
        <v>#N/A</v>
      </c>
    </row>
    <row r="1303" spans="12:13" x14ac:dyDescent="0.25">
      <c r="L1303" s="60" t="e">
        <f t="shared" si="40"/>
        <v>#N/A</v>
      </c>
      <c r="M1303" s="42" t="e">
        <f t="shared" si="41"/>
        <v>#N/A</v>
      </c>
    </row>
    <row r="1304" spans="12:13" x14ac:dyDescent="0.25">
      <c r="L1304" s="60" t="e">
        <f t="shared" si="40"/>
        <v>#N/A</v>
      </c>
      <c r="M1304" s="42" t="e">
        <f t="shared" si="41"/>
        <v>#N/A</v>
      </c>
    </row>
    <row r="1305" spans="12:13" x14ac:dyDescent="0.25">
      <c r="L1305" s="60" t="e">
        <f t="shared" si="40"/>
        <v>#N/A</v>
      </c>
      <c r="M1305" s="42" t="e">
        <f t="shared" si="41"/>
        <v>#N/A</v>
      </c>
    </row>
    <row r="1306" spans="12:13" x14ac:dyDescent="0.25">
      <c r="L1306" s="60" t="e">
        <f t="shared" si="40"/>
        <v>#N/A</v>
      </c>
      <c r="M1306" s="42" t="e">
        <f t="shared" si="41"/>
        <v>#N/A</v>
      </c>
    </row>
    <row r="1307" spans="12:13" x14ac:dyDescent="0.25">
      <c r="L1307" s="60" t="e">
        <f t="shared" si="40"/>
        <v>#N/A</v>
      </c>
      <c r="M1307" s="42" t="e">
        <f t="shared" si="41"/>
        <v>#N/A</v>
      </c>
    </row>
    <row r="1308" spans="12:13" x14ac:dyDescent="0.25">
      <c r="L1308" s="60" t="e">
        <f t="shared" si="40"/>
        <v>#N/A</v>
      </c>
      <c r="M1308" s="42" t="e">
        <f t="shared" si="41"/>
        <v>#N/A</v>
      </c>
    </row>
    <row r="1309" spans="12:13" x14ac:dyDescent="0.25">
      <c r="L1309" s="60" t="e">
        <f t="shared" si="40"/>
        <v>#N/A</v>
      </c>
      <c r="M1309" s="42" t="e">
        <f t="shared" si="41"/>
        <v>#N/A</v>
      </c>
    </row>
    <row r="1310" spans="12:13" x14ac:dyDescent="0.25">
      <c r="L1310" s="60" t="e">
        <f t="shared" si="40"/>
        <v>#N/A</v>
      </c>
      <c r="M1310" s="42" t="e">
        <f t="shared" si="41"/>
        <v>#N/A</v>
      </c>
    </row>
    <row r="1311" spans="12:13" x14ac:dyDescent="0.25">
      <c r="L1311" s="60" t="e">
        <f t="shared" si="40"/>
        <v>#N/A</v>
      </c>
      <c r="M1311" s="42" t="e">
        <f t="shared" si="41"/>
        <v>#N/A</v>
      </c>
    </row>
    <row r="1312" spans="12:13" x14ac:dyDescent="0.25">
      <c r="L1312" s="60" t="e">
        <f t="shared" si="40"/>
        <v>#N/A</v>
      </c>
      <c r="M1312" s="42" t="e">
        <f t="shared" si="41"/>
        <v>#N/A</v>
      </c>
    </row>
    <row r="1313" spans="12:13" x14ac:dyDescent="0.25">
      <c r="L1313" s="60" t="e">
        <f t="shared" si="40"/>
        <v>#N/A</v>
      </c>
      <c r="M1313" s="42" t="e">
        <f t="shared" si="41"/>
        <v>#N/A</v>
      </c>
    </row>
    <row r="1314" spans="12:13" x14ac:dyDescent="0.25">
      <c r="L1314" s="60" t="e">
        <f t="shared" si="40"/>
        <v>#N/A</v>
      </c>
      <c r="M1314" s="42" t="e">
        <f t="shared" si="41"/>
        <v>#N/A</v>
      </c>
    </row>
    <row r="1315" spans="12:13" x14ac:dyDescent="0.25">
      <c r="L1315" s="60" t="e">
        <f t="shared" si="40"/>
        <v>#N/A</v>
      </c>
      <c r="M1315" s="42" t="e">
        <f t="shared" si="41"/>
        <v>#N/A</v>
      </c>
    </row>
    <row r="1316" spans="12:13" x14ac:dyDescent="0.25">
      <c r="L1316" s="60" t="e">
        <f t="shared" si="40"/>
        <v>#N/A</v>
      </c>
      <c r="M1316" s="42" t="e">
        <f t="shared" si="41"/>
        <v>#N/A</v>
      </c>
    </row>
    <row r="1317" spans="12:13" x14ac:dyDescent="0.25">
      <c r="L1317" s="60" t="e">
        <f t="shared" si="40"/>
        <v>#N/A</v>
      </c>
      <c r="M1317" s="42" t="e">
        <f t="shared" si="41"/>
        <v>#N/A</v>
      </c>
    </row>
    <row r="1318" spans="12:13" x14ac:dyDescent="0.25">
      <c r="L1318" s="60" t="e">
        <f t="shared" si="40"/>
        <v>#N/A</v>
      </c>
      <c r="M1318" s="42" t="e">
        <f t="shared" si="41"/>
        <v>#N/A</v>
      </c>
    </row>
    <row r="1319" spans="12:13" x14ac:dyDescent="0.25">
      <c r="L1319" s="60" t="e">
        <f t="shared" si="40"/>
        <v>#N/A</v>
      </c>
      <c r="M1319" s="42" t="e">
        <f t="shared" si="41"/>
        <v>#N/A</v>
      </c>
    </row>
    <row r="1320" spans="12:13" x14ac:dyDescent="0.25">
      <c r="L1320" s="60" t="e">
        <f t="shared" si="40"/>
        <v>#N/A</v>
      </c>
      <c r="M1320" s="42" t="e">
        <f t="shared" si="41"/>
        <v>#N/A</v>
      </c>
    </row>
    <row r="1321" spans="12:13" x14ac:dyDescent="0.25">
      <c r="L1321" s="60" t="e">
        <f t="shared" si="40"/>
        <v>#N/A</v>
      </c>
      <c r="M1321" s="42" t="e">
        <f t="shared" si="41"/>
        <v>#N/A</v>
      </c>
    </row>
    <row r="1322" spans="12:13" x14ac:dyDescent="0.25">
      <c r="L1322" s="60" t="e">
        <f t="shared" si="40"/>
        <v>#N/A</v>
      </c>
      <c r="M1322" s="42" t="e">
        <f t="shared" si="41"/>
        <v>#N/A</v>
      </c>
    </row>
    <row r="1323" spans="12:13" x14ac:dyDescent="0.25">
      <c r="L1323" s="60" t="e">
        <f t="shared" si="40"/>
        <v>#N/A</v>
      </c>
      <c r="M1323" s="42" t="e">
        <f t="shared" si="41"/>
        <v>#N/A</v>
      </c>
    </row>
    <row r="1324" spans="12:13" x14ac:dyDescent="0.25">
      <c r="L1324" s="60" t="e">
        <f t="shared" si="40"/>
        <v>#N/A</v>
      </c>
      <c r="M1324" s="42" t="e">
        <f t="shared" si="41"/>
        <v>#N/A</v>
      </c>
    </row>
    <row r="1325" spans="12:13" x14ac:dyDescent="0.25">
      <c r="L1325" s="60" t="e">
        <f t="shared" si="40"/>
        <v>#N/A</v>
      </c>
      <c r="M1325" s="42" t="e">
        <f t="shared" si="41"/>
        <v>#N/A</v>
      </c>
    </row>
    <row r="1326" spans="12:13" x14ac:dyDescent="0.25">
      <c r="L1326" s="60" t="e">
        <f t="shared" si="40"/>
        <v>#N/A</v>
      </c>
      <c r="M1326" s="42" t="e">
        <f t="shared" si="41"/>
        <v>#N/A</v>
      </c>
    </row>
    <row r="1327" spans="12:13" x14ac:dyDescent="0.25">
      <c r="L1327" s="60" t="e">
        <f t="shared" si="40"/>
        <v>#N/A</v>
      </c>
      <c r="M1327" s="42" t="e">
        <f t="shared" si="41"/>
        <v>#N/A</v>
      </c>
    </row>
    <row r="1328" spans="12:13" x14ac:dyDescent="0.25">
      <c r="L1328" s="60" t="e">
        <f t="shared" si="40"/>
        <v>#N/A</v>
      </c>
      <c r="M1328" s="42" t="e">
        <f t="shared" si="41"/>
        <v>#N/A</v>
      </c>
    </row>
    <row r="1329" spans="12:13" x14ac:dyDescent="0.25">
      <c r="L1329" s="60" t="e">
        <f t="shared" si="40"/>
        <v>#N/A</v>
      </c>
      <c r="M1329" s="42" t="e">
        <f t="shared" si="41"/>
        <v>#N/A</v>
      </c>
    </row>
    <row r="1330" spans="12:13" x14ac:dyDescent="0.25">
      <c r="L1330" s="60" t="e">
        <f t="shared" si="40"/>
        <v>#N/A</v>
      </c>
      <c r="M1330" s="42" t="e">
        <f t="shared" si="41"/>
        <v>#N/A</v>
      </c>
    </row>
    <row r="1331" spans="12:13" x14ac:dyDescent="0.25">
      <c r="L1331" s="60" t="e">
        <f t="shared" si="40"/>
        <v>#N/A</v>
      </c>
      <c r="M1331" s="42" t="e">
        <f t="shared" si="41"/>
        <v>#N/A</v>
      </c>
    </row>
    <row r="1332" spans="12:13" x14ac:dyDescent="0.25">
      <c r="L1332" s="60" t="e">
        <f t="shared" si="40"/>
        <v>#N/A</v>
      </c>
      <c r="M1332" s="42" t="e">
        <f t="shared" si="41"/>
        <v>#N/A</v>
      </c>
    </row>
    <row r="1333" spans="12:13" x14ac:dyDescent="0.25">
      <c r="L1333" s="60" t="e">
        <f t="shared" si="40"/>
        <v>#N/A</v>
      </c>
      <c r="M1333" s="42" t="e">
        <f t="shared" si="41"/>
        <v>#N/A</v>
      </c>
    </row>
    <row r="1334" spans="12:13" x14ac:dyDescent="0.25">
      <c r="L1334" s="60" t="e">
        <f t="shared" si="40"/>
        <v>#N/A</v>
      </c>
      <c r="M1334" s="42" t="e">
        <f t="shared" si="41"/>
        <v>#N/A</v>
      </c>
    </row>
    <row r="1335" spans="12:13" x14ac:dyDescent="0.25">
      <c r="L1335" s="60" t="e">
        <f t="shared" ref="L1335:L1398" si="42">IF(Q1335&lt;&gt;"",Q1335,#N/A)</f>
        <v>#N/A</v>
      </c>
      <c r="M1335" s="42" t="e">
        <f t="shared" ref="M1335:M1398" si="43">IF(R1335&lt;&gt;"",R1335,#N/A)</f>
        <v>#N/A</v>
      </c>
    </row>
    <row r="1336" spans="12:13" x14ac:dyDescent="0.25">
      <c r="L1336" s="60" t="e">
        <f t="shared" si="42"/>
        <v>#N/A</v>
      </c>
      <c r="M1336" s="42" t="e">
        <f t="shared" si="43"/>
        <v>#N/A</v>
      </c>
    </row>
    <row r="1337" spans="12:13" x14ac:dyDescent="0.25">
      <c r="L1337" s="60" t="e">
        <f t="shared" si="42"/>
        <v>#N/A</v>
      </c>
      <c r="M1337" s="42" t="e">
        <f t="shared" si="43"/>
        <v>#N/A</v>
      </c>
    </row>
    <row r="1338" spans="12:13" x14ac:dyDescent="0.25">
      <c r="L1338" s="60" t="e">
        <f t="shared" si="42"/>
        <v>#N/A</v>
      </c>
      <c r="M1338" s="42" t="e">
        <f t="shared" si="43"/>
        <v>#N/A</v>
      </c>
    </row>
    <row r="1339" spans="12:13" x14ac:dyDescent="0.25">
      <c r="L1339" s="60" t="e">
        <f t="shared" si="42"/>
        <v>#N/A</v>
      </c>
      <c r="M1339" s="42" t="e">
        <f t="shared" si="43"/>
        <v>#N/A</v>
      </c>
    </row>
    <row r="1340" spans="12:13" x14ac:dyDescent="0.25">
      <c r="L1340" s="60" t="e">
        <f t="shared" si="42"/>
        <v>#N/A</v>
      </c>
      <c r="M1340" s="42" t="e">
        <f t="shared" si="43"/>
        <v>#N/A</v>
      </c>
    </row>
    <row r="1341" spans="12:13" x14ac:dyDescent="0.25">
      <c r="L1341" s="60" t="e">
        <f t="shared" si="42"/>
        <v>#N/A</v>
      </c>
      <c r="M1341" s="42" t="e">
        <f t="shared" si="43"/>
        <v>#N/A</v>
      </c>
    </row>
    <row r="1342" spans="12:13" x14ac:dyDescent="0.25">
      <c r="L1342" s="60" t="e">
        <f t="shared" si="42"/>
        <v>#N/A</v>
      </c>
      <c r="M1342" s="42" t="e">
        <f t="shared" si="43"/>
        <v>#N/A</v>
      </c>
    </row>
    <row r="1343" spans="12:13" x14ac:dyDescent="0.25">
      <c r="L1343" s="60" t="e">
        <f t="shared" si="42"/>
        <v>#N/A</v>
      </c>
      <c r="M1343" s="42" t="e">
        <f t="shared" si="43"/>
        <v>#N/A</v>
      </c>
    </row>
    <row r="1344" spans="12:13" x14ac:dyDescent="0.25">
      <c r="L1344" s="60" t="e">
        <f t="shared" si="42"/>
        <v>#N/A</v>
      </c>
      <c r="M1344" s="42" t="e">
        <f t="shared" si="43"/>
        <v>#N/A</v>
      </c>
    </row>
    <row r="1345" spans="12:13" x14ac:dyDescent="0.25">
      <c r="L1345" s="60" t="e">
        <f t="shared" si="42"/>
        <v>#N/A</v>
      </c>
      <c r="M1345" s="42" t="e">
        <f t="shared" si="43"/>
        <v>#N/A</v>
      </c>
    </row>
    <row r="1346" spans="12:13" x14ac:dyDescent="0.25">
      <c r="L1346" s="60" t="e">
        <f t="shared" si="42"/>
        <v>#N/A</v>
      </c>
      <c r="M1346" s="42" t="e">
        <f t="shared" si="43"/>
        <v>#N/A</v>
      </c>
    </row>
    <row r="1347" spans="12:13" x14ac:dyDescent="0.25">
      <c r="L1347" s="60" t="e">
        <f t="shared" si="42"/>
        <v>#N/A</v>
      </c>
      <c r="M1347" s="42" t="e">
        <f t="shared" si="43"/>
        <v>#N/A</v>
      </c>
    </row>
    <row r="1348" spans="12:13" x14ac:dyDescent="0.25">
      <c r="L1348" s="60" t="e">
        <f t="shared" si="42"/>
        <v>#N/A</v>
      </c>
      <c r="M1348" s="42" t="e">
        <f t="shared" si="43"/>
        <v>#N/A</v>
      </c>
    </row>
    <row r="1349" spans="12:13" x14ac:dyDescent="0.25">
      <c r="L1349" s="60" t="e">
        <f t="shared" si="42"/>
        <v>#N/A</v>
      </c>
      <c r="M1349" s="42" t="e">
        <f t="shared" si="43"/>
        <v>#N/A</v>
      </c>
    </row>
    <row r="1350" spans="12:13" x14ac:dyDescent="0.25">
      <c r="L1350" s="60" t="e">
        <f t="shared" si="42"/>
        <v>#N/A</v>
      </c>
      <c r="M1350" s="42" t="e">
        <f t="shared" si="43"/>
        <v>#N/A</v>
      </c>
    </row>
    <row r="1351" spans="12:13" x14ac:dyDescent="0.25">
      <c r="L1351" s="60" t="e">
        <f t="shared" si="42"/>
        <v>#N/A</v>
      </c>
      <c r="M1351" s="42" t="e">
        <f t="shared" si="43"/>
        <v>#N/A</v>
      </c>
    </row>
    <row r="1352" spans="12:13" x14ac:dyDescent="0.25">
      <c r="L1352" s="60" t="e">
        <f t="shared" si="42"/>
        <v>#N/A</v>
      </c>
      <c r="M1352" s="42" t="e">
        <f t="shared" si="43"/>
        <v>#N/A</v>
      </c>
    </row>
    <row r="1353" spans="12:13" x14ac:dyDescent="0.25">
      <c r="L1353" s="60" t="e">
        <f t="shared" si="42"/>
        <v>#N/A</v>
      </c>
      <c r="M1353" s="42" t="e">
        <f t="shared" si="43"/>
        <v>#N/A</v>
      </c>
    </row>
    <row r="1354" spans="12:13" x14ac:dyDescent="0.25">
      <c r="L1354" s="60" t="e">
        <f t="shared" si="42"/>
        <v>#N/A</v>
      </c>
      <c r="M1354" s="42" t="e">
        <f t="shared" si="43"/>
        <v>#N/A</v>
      </c>
    </row>
    <row r="1355" spans="12:13" x14ac:dyDescent="0.25">
      <c r="L1355" s="60" t="e">
        <f t="shared" si="42"/>
        <v>#N/A</v>
      </c>
      <c r="M1355" s="42" t="e">
        <f t="shared" si="43"/>
        <v>#N/A</v>
      </c>
    </row>
    <row r="1356" spans="12:13" x14ac:dyDescent="0.25">
      <c r="L1356" s="60" t="e">
        <f t="shared" si="42"/>
        <v>#N/A</v>
      </c>
      <c r="M1356" s="42" t="e">
        <f t="shared" si="43"/>
        <v>#N/A</v>
      </c>
    </row>
    <row r="1357" spans="12:13" x14ac:dyDescent="0.25">
      <c r="L1357" s="60" t="e">
        <f t="shared" si="42"/>
        <v>#N/A</v>
      </c>
      <c r="M1357" s="42" t="e">
        <f t="shared" si="43"/>
        <v>#N/A</v>
      </c>
    </row>
    <row r="1358" spans="12:13" x14ac:dyDescent="0.25">
      <c r="L1358" s="60" t="e">
        <f t="shared" si="42"/>
        <v>#N/A</v>
      </c>
      <c r="M1358" s="42" t="e">
        <f t="shared" si="43"/>
        <v>#N/A</v>
      </c>
    </row>
    <row r="1359" spans="12:13" x14ac:dyDescent="0.25">
      <c r="L1359" s="60" t="e">
        <f t="shared" si="42"/>
        <v>#N/A</v>
      </c>
      <c r="M1359" s="42" t="e">
        <f t="shared" si="43"/>
        <v>#N/A</v>
      </c>
    </row>
    <row r="1360" spans="12:13" x14ac:dyDescent="0.25">
      <c r="L1360" s="60" t="e">
        <f t="shared" si="42"/>
        <v>#N/A</v>
      </c>
      <c r="M1360" s="42" t="e">
        <f t="shared" si="43"/>
        <v>#N/A</v>
      </c>
    </row>
    <row r="1361" spans="12:13" x14ac:dyDescent="0.25">
      <c r="L1361" s="60" t="e">
        <f t="shared" si="42"/>
        <v>#N/A</v>
      </c>
      <c r="M1361" s="42" t="e">
        <f t="shared" si="43"/>
        <v>#N/A</v>
      </c>
    </row>
    <row r="1362" spans="12:13" x14ac:dyDescent="0.25">
      <c r="L1362" s="60" t="e">
        <f t="shared" si="42"/>
        <v>#N/A</v>
      </c>
      <c r="M1362" s="42" t="e">
        <f t="shared" si="43"/>
        <v>#N/A</v>
      </c>
    </row>
    <row r="1363" spans="12:13" x14ac:dyDescent="0.25">
      <c r="L1363" s="60" t="e">
        <f t="shared" si="42"/>
        <v>#N/A</v>
      </c>
      <c r="M1363" s="42" t="e">
        <f t="shared" si="43"/>
        <v>#N/A</v>
      </c>
    </row>
    <row r="1364" spans="12:13" x14ac:dyDescent="0.25">
      <c r="L1364" s="60" t="e">
        <f t="shared" si="42"/>
        <v>#N/A</v>
      </c>
      <c r="M1364" s="42" t="e">
        <f t="shared" si="43"/>
        <v>#N/A</v>
      </c>
    </row>
    <row r="1365" spans="12:13" x14ac:dyDescent="0.25">
      <c r="L1365" s="60" t="e">
        <f t="shared" si="42"/>
        <v>#N/A</v>
      </c>
      <c r="M1365" s="42" t="e">
        <f t="shared" si="43"/>
        <v>#N/A</v>
      </c>
    </row>
    <row r="1366" spans="12:13" x14ac:dyDescent="0.25">
      <c r="L1366" s="60" t="e">
        <f t="shared" si="42"/>
        <v>#N/A</v>
      </c>
      <c r="M1366" s="42" t="e">
        <f t="shared" si="43"/>
        <v>#N/A</v>
      </c>
    </row>
    <row r="1367" spans="12:13" x14ac:dyDescent="0.25">
      <c r="L1367" s="60" t="e">
        <f t="shared" si="42"/>
        <v>#N/A</v>
      </c>
      <c r="M1367" s="42" t="e">
        <f t="shared" si="43"/>
        <v>#N/A</v>
      </c>
    </row>
    <row r="1368" spans="12:13" x14ac:dyDescent="0.25">
      <c r="L1368" s="60" t="e">
        <f t="shared" si="42"/>
        <v>#N/A</v>
      </c>
      <c r="M1368" s="42" t="e">
        <f t="shared" si="43"/>
        <v>#N/A</v>
      </c>
    </row>
    <row r="1369" spans="12:13" x14ac:dyDescent="0.25">
      <c r="L1369" s="60" t="e">
        <f t="shared" si="42"/>
        <v>#N/A</v>
      </c>
      <c r="M1369" s="42" t="e">
        <f t="shared" si="43"/>
        <v>#N/A</v>
      </c>
    </row>
    <row r="1370" spans="12:13" x14ac:dyDescent="0.25">
      <c r="L1370" s="60" t="e">
        <f t="shared" si="42"/>
        <v>#N/A</v>
      </c>
      <c r="M1370" s="42" t="e">
        <f t="shared" si="43"/>
        <v>#N/A</v>
      </c>
    </row>
    <row r="1371" spans="12:13" x14ac:dyDescent="0.25">
      <c r="L1371" s="60" t="e">
        <f t="shared" si="42"/>
        <v>#N/A</v>
      </c>
      <c r="M1371" s="42" t="e">
        <f t="shared" si="43"/>
        <v>#N/A</v>
      </c>
    </row>
    <row r="1372" spans="12:13" x14ac:dyDescent="0.25">
      <c r="L1372" s="60" t="e">
        <f t="shared" si="42"/>
        <v>#N/A</v>
      </c>
      <c r="M1372" s="42" t="e">
        <f t="shared" si="43"/>
        <v>#N/A</v>
      </c>
    </row>
    <row r="1373" spans="12:13" x14ac:dyDescent="0.25">
      <c r="L1373" s="60" t="e">
        <f t="shared" si="42"/>
        <v>#N/A</v>
      </c>
      <c r="M1373" s="42" t="e">
        <f t="shared" si="43"/>
        <v>#N/A</v>
      </c>
    </row>
    <row r="1374" spans="12:13" x14ac:dyDescent="0.25">
      <c r="L1374" s="60" t="e">
        <f t="shared" si="42"/>
        <v>#N/A</v>
      </c>
      <c r="M1374" s="42" t="e">
        <f t="shared" si="43"/>
        <v>#N/A</v>
      </c>
    </row>
    <row r="1375" spans="12:13" x14ac:dyDescent="0.25">
      <c r="L1375" s="60" t="e">
        <f t="shared" si="42"/>
        <v>#N/A</v>
      </c>
      <c r="M1375" s="42" t="e">
        <f t="shared" si="43"/>
        <v>#N/A</v>
      </c>
    </row>
    <row r="1376" spans="12:13" x14ac:dyDescent="0.25">
      <c r="L1376" s="60" t="e">
        <f t="shared" si="42"/>
        <v>#N/A</v>
      </c>
      <c r="M1376" s="42" t="e">
        <f t="shared" si="43"/>
        <v>#N/A</v>
      </c>
    </row>
    <row r="1377" spans="12:13" x14ac:dyDescent="0.25">
      <c r="L1377" s="60" t="e">
        <f t="shared" si="42"/>
        <v>#N/A</v>
      </c>
      <c r="M1377" s="42" t="e">
        <f t="shared" si="43"/>
        <v>#N/A</v>
      </c>
    </row>
    <row r="1378" spans="12:13" x14ac:dyDescent="0.25">
      <c r="L1378" s="60" t="e">
        <f t="shared" si="42"/>
        <v>#N/A</v>
      </c>
      <c r="M1378" s="42" t="e">
        <f t="shared" si="43"/>
        <v>#N/A</v>
      </c>
    </row>
    <row r="1379" spans="12:13" x14ac:dyDescent="0.25">
      <c r="L1379" s="60" t="e">
        <f t="shared" si="42"/>
        <v>#N/A</v>
      </c>
      <c r="M1379" s="42" t="e">
        <f t="shared" si="43"/>
        <v>#N/A</v>
      </c>
    </row>
    <row r="1380" spans="12:13" x14ac:dyDescent="0.25">
      <c r="L1380" s="60" t="e">
        <f t="shared" si="42"/>
        <v>#N/A</v>
      </c>
      <c r="M1380" s="42" t="e">
        <f t="shared" si="43"/>
        <v>#N/A</v>
      </c>
    </row>
    <row r="1381" spans="12:13" x14ac:dyDescent="0.25">
      <c r="L1381" s="60" t="e">
        <f t="shared" si="42"/>
        <v>#N/A</v>
      </c>
      <c r="M1381" s="42" t="e">
        <f t="shared" si="43"/>
        <v>#N/A</v>
      </c>
    </row>
    <row r="1382" spans="12:13" x14ac:dyDescent="0.25">
      <c r="L1382" s="60" t="e">
        <f t="shared" si="42"/>
        <v>#N/A</v>
      </c>
      <c r="M1382" s="42" t="e">
        <f t="shared" si="43"/>
        <v>#N/A</v>
      </c>
    </row>
    <row r="1383" spans="12:13" x14ac:dyDescent="0.25">
      <c r="L1383" s="60" t="e">
        <f t="shared" si="42"/>
        <v>#N/A</v>
      </c>
      <c r="M1383" s="42" t="e">
        <f t="shared" si="43"/>
        <v>#N/A</v>
      </c>
    </row>
    <row r="1384" spans="12:13" x14ac:dyDescent="0.25">
      <c r="L1384" s="60" t="e">
        <f t="shared" si="42"/>
        <v>#N/A</v>
      </c>
      <c r="M1384" s="42" t="e">
        <f t="shared" si="43"/>
        <v>#N/A</v>
      </c>
    </row>
    <row r="1385" spans="12:13" x14ac:dyDescent="0.25">
      <c r="L1385" s="60" t="e">
        <f t="shared" si="42"/>
        <v>#N/A</v>
      </c>
      <c r="M1385" s="42" t="e">
        <f t="shared" si="43"/>
        <v>#N/A</v>
      </c>
    </row>
    <row r="1386" spans="12:13" x14ac:dyDescent="0.25">
      <c r="L1386" s="60" t="e">
        <f t="shared" si="42"/>
        <v>#N/A</v>
      </c>
      <c r="M1386" s="42" t="e">
        <f t="shared" si="43"/>
        <v>#N/A</v>
      </c>
    </row>
    <row r="1387" spans="12:13" x14ac:dyDescent="0.25">
      <c r="L1387" s="60" t="e">
        <f t="shared" si="42"/>
        <v>#N/A</v>
      </c>
      <c r="M1387" s="42" t="e">
        <f t="shared" si="43"/>
        <v>#N/A</v>
      </c>
    </row>
    <row r="1388" spans="12:13" x14ac:dyDescent="0.25">
      <c r="L1388" s="60" t="e">
        <f t="shared" si="42"/>
        <v>#N/A</v>
      </c>
      <c r="M1388" s="42" t="e">
        <f t="shared" si="43"/>
        <v>#N/A</v>
      </c>
    </row>
    <row r="1389" spans="12:13" x14ac:dyDescent="0.25">
      <c r="L1389" s="60" t="e">
        <f t="shared" si="42"/>
        <v>#N/A</v>
      </c>
      <c r="M1389" s="42" t="e">
        <f t="shared" si="43"/>
        <v>#N/A</v>
      </c>
    </row>
    <row r="1390" spans="12:13" x14ac:dyDescent="0.25">
      <c r="L1390" s="60" t="e">
        <f t="shared" si="42"/>
        <v>#N/A</v>
      </c>
      <c r="M1390" s="42" t="e">
        <f t="shared" si="43"/>
        <v>#N/A</v>
      </c>
    </row>
    <row r="1391" spans="12:13" x14ac:dyDescent="0.25">
      <c r="L1391" s="60" t="e">
        <f t="shared" si="42"/>
        <v>#N/A</v>
      </c>
      <c r="M1391" s="42" t="e">
        <f t="shared" si="43"/>
        <v>#N/A</v>
      </c>
    </row>
    <row r="1392" spans="12:13" x14ac:dyDescent="0.25">
      <c r="L1392" s="60" t="e">
        <f t="shared" si="42"/>
        <v>#N/A</v>
      </c>
      <c r="M1392" s="42" t="e">
        <f t="shared" si="43"/>
        <v>#N/A</v>
      </c>
    </row>
    <row r="1393" spans="12:13" x14ac:dyDescent="0.25">
      <c r="L1393" s="60" t="e">
        <f t="shared" si="42"/>
        <v>#N/A</v>
      </c>
      <c r="M1393" s="42" t="e">
        <f t="shared" si="43"/>
        <v>#N/A</v>
      </c>
    </row>
    <row r="1394" spans="12:13" x14ac:dyDescent="0.25">
      <c r="L1394" s="60" t="e">
        <f t="shared" si="42"/>
        <v>#N/A</v>
      </c>
      <c r="M1394" s="42" t="e">
        <f t="shared" si="43"/>
        <v>#N/A</v>
      </c>
    </row>
    <row r="1395" spans="12:13" x14ac:dyDescent="0.25">
      <c r="L1395" s="60" t="e">
        <f t="shared" si="42"/>
        <v>#N/A</v>
      </c>
      <c r="M1395" s="42" t="e">
        <f t="shared" si="43"/>
        <v>#N/A</v>
      </c>
    </row>
    <row r="1396" spans="12:13" x14ac:dyDescent="0.25">
      <c r="L1396" s="60" t="e">
        <f t="shared" si="42"/>
        <v>#N/A</v>
      </c>
      <c r="M1396" s="42" t="e">
        <f t="shared" si="43"/>
        <v>#N/A</v>
      </c>
    </row>
    <row r="1397" spans="12:13" x14ac:dyDescent="0.25">
      <c r="L1397" s="60" t="e">
        <f t="shared" si="42"/>
        <v>#N/A</v>
      </c>
      <c r="M1397" s="42" t="e">
        <f t="shared" si="43"/>
        <v>#N/A</v>
      </c>
    </row>
    <row r="1398" spans="12:13" x14ac:dyDescent="0.25">
      <c r="L1398" s="60" t="e">
        <f t="shared" si="42"/>
        <v>#N/A</v>
      </c>
      <c r="M1398" s="42" t="e">
        <f t="shared" si="43"/>
        <v>#N/A</v>
      </c>
    </row>
    <row r="1399" spans="12:13" x14ac:dyDescent="0.25">
      <c r="L1399" s="60" t="e">
        <f t="shared" ref="L1399:L1462" si="44">IF(Q1399&lt;&gt;"",Q1399,#N/A)</f>
        <v>#N/A</v>
      </c>
      <c r="M1399" s="42" t="e">
        <f t="shared" ref="M1399:M1462" si="45">IF(R1399&lt;&gt;"",R1399,#N/A)</f>
        <v>#N/A</v>
      </c>
    </row>
    <row r="1400" spans="12:13" x14ac:dyDescent="0.25">
      <c r="L1400" s="60" t="e">
        <f t="shared" si="44"/>
        <v>#N/A</v>
      </c>
      <c r="M1400" s="42" t="e">
        <f t="shared" si="45"/>
        <v>#N/A</v>
      </c>
    </row>
    <row r="1401" spans="12:13" x14ac:dyDescent="0.25">
      <c r="L1401" s="60" t="e">
        <f t="shared" si="44"/>
        <v>#N/A</v>
      </c>
      <c r="M1401" s="42" t="e">
        <f t="shared" si="45"/>
        <v>#N/A</v>
      </c>
    </row>
    <row r="1402" spans="12:13" x14ac:dyDescent="0.25">
      <c r="L1402" s="60" t="e">
        <f t="shared" si="44"/>
        <v>#N/A</v>
      </c>
      <c r="M1402" s="42" t="e">
        <f t="shared" si="45"/>
        <v>#N/A</v>
      </c>
    </row>
    <row r="1403" spans="12:13" x14ac:dyDescent="0.25">
      <c r="L1403" s="60" t="e">
        <f t="shared" si="44"/>
        <v>#N/A</v>
      </c>
      <c r="M1403" s="42" t="e">
        <f t="shared" si="45"/>
        <v>#N/A</v>
      </c>
    </row>
    <row r="1404" spans="12:13" x14ac:dyDescent="0.25">
      <c r="L1404" s="60" t="e">
        <f t="shared" si="44"/>
        <v>#N/A</v>
      </c>
      <c r="M1404" s="42" t="e">
        <f t="shared" si="45"/>
        <v>#N/A</v>
      </c>
    </row>
    <row r="1405" spans="12:13" x14ac:dyDescent="0.25">
      <c r="L1405" s="60" t="e">
        <f t="shared" si="44"/>
        <v>#N/A</v>
      </c>
      <c r="M1405" s="42" t="e">
        <f t="shared" si="45"/>
        <v>#N/A</v>
      </c>
    </row>
    <row r="1406" spans="12:13" x14ac:dyDescent="0.25">
      <c r="L1406" s="60" t="e">
        <f t="shared" si="44"/>
        <v>#N/A</v>
      </c>
      <c r="M1406" s="42" t="e">
        <f t="shared" si="45"/>
        <v>#N/A</v>
      </c>
    </row>
    <row r="1407" spans="12:13" x14ac:dyDescent="0.25">
      <c r="L1407" s="60" t="e">
        <f t="shared" si="44"/>
        <v>#N/A</v>
      </c>
      <c r="M1407" s="42" t="e">
        <f t="shared" si="45"/>
        <v>#N/A</v>
      </c>
    </row>
    <row r="1408" spans="12:13" x14ac:dyDescent="0.25">
      <c r="L1408" s="60" t="e">
        <f t="shared" si="44"/>
        <v>#N/A</v>
      </c>
      <c r="M1408" s="42" t="e">
        <f t="shared" si="45"/>
        <v>#N/A</v>
      </c>
    </row>
    <row r="1409" spans="12:13" x14ac:dyDescent="0.25">
      <c r="L1409" s="60" t="e">
        <f t="shared" si="44"/>
        <v>#N/A</v>
      </c>
      <c r="M1409" s="42" t="e">
        <f t="shared" si="45"/>
        <v>#N/A</v>
      </c>
    </row>
    <row r="1410" spans="12:13" x14ac:dyDescent="0.25">
      <c r="L1410" s="60" t="e">
        <f t="shared" si="44"/>
        <v>#N/A</v>
      </c>
      <c r="M1410" s="42" t="e">
        <f t="shared" si="45"/>
        <v>#N/A</v>
      </c>
    </row>
    <row r="1411" spans="12:13" x14ac:dyDescent="0.25">
      <c r="L1411" s="60" t="e">
        <f t="shared" si="44"/>
        <v>#N/A</v>
      </c>
      <c r="M1411" s="42" t="e">
        <f t="shared" si="45"/>
        <v>#N/A</v>
      </c>
    </row>
    <row r="1412" spans="12:13" x14ac:dyDescent="0.25">
      <c r="L1412" s="60" t="e">
        <f t="shared" si="44"/>
        <v>#N/A</v>
      </c>
      <c r="M1412" s="42" t="e">
        <f t="shared" si="45"/>
        <v>#N/A</v>
      </c>
    </row>
    <row r="1413" spans="12:13" x14ac:dyDescent="0.25">
      <c r="L1413" s="60" t="e">
        <f t="shared" si="44"/>
        <v>#N/A</v>
      </c>
      <c r="M1413" s="42" t="e">
        <f t="shared" si="45"/>
        <v>#N/A</v>
      </c>
    </row>
    <row r="1414" spans="12:13" x14ac:dyDescent="0.25">
      <c r="L1414" s="60" t="e">
        <f t="shared" si="44"/>
        <v>#N/A</v>
      </c>
      <c r="M1414" s="42" t="e">
        <f t="shared" si="45"/>
        <v>#N/A</v>
      </c>
    </row>
    <row r="1415" spans="12:13" x14ac:dyDescent="0.25">
      <c r="L1415" s="60" t="e">
        <f t="shared" si="44"/>
        <v>#N/A</v>
      </c>
      <c r="M1415" s="42" t="e">
        <f t="shared" si="45"/>
        <v>#N/A</v>
      </c>
    </row>
    <row r="1416" spans="12:13" x14ac:dyDescent="0.25">
      <c r="L1416" s="60" t="e">
        <f t="shared" si="44"/>
        <v>#N/A</v>
      </c>
      <c r="M1416" s="42" t="e">
        <f t="shared" si="45"/>
        <v>#N/A</v>
      </c>
    </row>
    <row r="1417" spans="12:13" x14ac:dyDescent="0.25">
      <c r="L1417" s="60" t="e">
        <f t="shared" si="44"/>
        <v>#N/A</v>
      </c>
      <c r="M1417" s="42" t="e">
        <f t="shared" si="45"/>
        <v>#N/A</v>
      </c>
    </row>
    <row r="1418" spans="12:13" x14ac:dyDescent="0.25">
      <c r="L1418" s="60" t="e">
        <f t="shared" si="44"/>
        <v>#N/A</v>
      </c>
      <c r="M1418" s="42" t="e">
        <f t="shared" si="45"/>
        <v>#N/A</v>
      </c>
    </row>
    <row r="1419" spans="12:13" x14ac:dyDescent="0.25">
      <c r="L1419" s="60" t="e">
        <f t="shared" si="44"/>
        <v>#N/A</v>
      </c>
      <c r="M1419" s="42" t="e">
        <f t="shared" si="45"/>
        <v>#N/A</v>
      </c>
    </row>
    <row r="1420" spans="12:13" x14ac:dyDescent="0.25">
      <c r="L1420" s="60" t="e">
        <f t="shared" si="44"/>
        <v>#N/A</v>
      </c>
      <c r="M1420" s="42" t="e">
        <f t="shared" si="45"/>
        <v>#N/A</v>
      </c>
    </row>
    <row r="1421" spans="12:13" x14ac:dyDescent="0.25">
      <c r="L1421" s="60" t="e">
        <f t="shared" si="44"/>
        <v>#N/A</v>
      </c>
      <c r="M1421" s="42" t="e">
        <f t="shared" si="45"/>
        <v>#N/A</v>
      </c>
    </row>
    <row r="1422" spans="12:13" x14ac:dyDescent="0.25">
      <c r="L1422" s="60" t="e">
        <f t="shared" si="44"/>
        <v>#N/A</v>
      </c>
      <c r="M1422" s="42" t="e">
        <f t="shared" si="45"/>
        <v>#N/A</v>
      </c>
    </row>
    <row r="1423" spans="12:13" x14ac:dyDescent="0.25">
      <c r="L1423" s="60" t="e">
        <f t="shared" si="44"/>
        <v>#N/A</v>
      </c>
      <c r="M1423" s="42" t="e">
        <f t="shared" si="45"/>
        <v>#N/A</v>
      </c>
    </row>
    <row r="1424" spans="12:13" x14ac:dyDescent="0.25">
      <c r="L1424" s="60" t="e">
        <f t="shared" si="44"/>
        <v>#N/A</v>
      </c>
      <c r="M1424" s="42" t="e">
        <f t="shared" si="45"/>
        <v>#N/A</v>
      </c>
    </row>
    <row r="1425" spans="12:13" x14ac:dyDescent="0.25">
      <c r="L1425" s="60" t="e">
        <f t="shared" si="44"/>
        <v>#N/A</v>
      </c>
      <c r="M1425" s="42" t="e">
        <f t="shared" si="45"/>
        <v>#N/A</v>
      </c>
    </row>
    <row r="1426" spans="12:13" x14ac:dyDescent="0.25">
      <c r="L1426" s="60" t="e">
        <f t="shared" si="44"/>
        <v>#N/A</v>
      </c>
      <c r="M1426" s="42" t="e">
        <f t="shared" si="45"/>
        <v>#N/A</v>
      </c>
    </row>
    <row r="1427" spans="12:13" x14ac:dyDescent="0.25">
      <c r="L1427" s="60" t="e">
        <f t="shared" si="44"/>
        <v>#N/A</v>
      </c>
      <c r="M1427" s="42" t="e">
        <f t="shared" si="45"/>
        <v>#N/A</v>
      </c>
    </row>
    <row r="1428" spans="12:13" x14ac:dyDescent="0.25">
      <c r="L1428" s="60" t="e">
        <f t="shared" si="44"/>
        <v>#N/A</v>
      </c>
      <c r="M1428" s="42" t="e">
        <f t="shared" si="45"/>
        <v>#N/A</v>
      </c>
    </row>
    <row r="1429" spans="12:13" x14ac:dyDescent="0.25">
      <c r="L1429" s="60" t="e">
        <f t="shared" si="44"/>
        <v>#N/A</v>
      </c>
      <c r="M1429" s="42" t="e">
        <f t="shared" si="45"/>
        <v>#N/A</v>
      </c>
    </row>
    <row r="1430" spans="12:13" x14ac:dyDescent="0.25">
      <c r="L1430" s="60" t="e">
        <f t="shared" si="44"/>
        <v>#N/A</v>
      </c>
      <c r="M1430" s="42" t="e">
        <f t="shared" si="45"/>
        <v>#N/A</v>
      </c>
    </row>
    <row r="1431" spans="12:13" x14ac:dyDescent="0.25">
      <c r="L1431" s="60" t="e">
        <f t="shared" si="44"/>
        <v>#N/A</v>
      </c>
      <c r="M1431" s="42" t="e">
        <f t="shared" si="45"/>
        <v>#N/A</v>
      </c>
    </row>
    <row r="1432" spans="12:13" x14ac:dyDescent="0.25">
      <c r="L1432" s="60" t="e">
        <f t="shared" si="44"/>
        <v>#N/A</v>
      </c>
      <c r="M1432" s="42" t="e">
        <f t="shared" si="45"/>
        <v>#N/A</v>
      </c>
    </row>
    <row r="1433" spans="12:13" x14ac:dyDescent="0.25">
      <c r="L1433" s="60" t="e">
        <f t="shared" si="44"/>
        <v>#N/A</v>
      </c>
      <c r="M1433" s="42" t="e">
        <f t="shared" si="45"/>
        <v>#N/A</v>
      </c>
    </row>
    <row r="1434" spans="12:13" x14ac:dyDescent="0.25">
      <c r="L1434" s="60" t="e">
        <f t="shared" si="44"/>
        <v>#N/A</v>
      </c>
      <c r="M1434" s="42" t="e">
        <f t="shared" si="45"/>
        <v>#N/A</v>
      </c>
    </row>
    <row r="1435" spans="12:13" x14ac:dyDescent="0.25">
      <c r="L1435" s="60" t="e">
        <f t="shared" si="44"/>
        <v>#N/A</v>
      </c>
      <c r="M1435" s="42" t="e">
        <f t="shared" si="45"/>
        <v>#N/A</v>
      </c>
    </row>
    <row r="1436" spans="12:13" x14ac:dyDescent="0.25">
      <c r="L1436" s="60" t="e">
        <f t="shared" si="44"/>
        <v>#N/A</v>
      </c>
      <c r="M1436" s="42" t="e">
        <f t="shared" si="45"/>
        <v>#N/A</v>
      </c>
    </row>
    <row r="1437" spans="12:13" x14ac:dyDescent="0.25">
      <c r="L1437" s="60" t="e">
        <f t="shared" si="44"/>
        <v>#N/A</v>
      </c>
      <c r="M1437" s="42" t="e">
        <f t="shared" si="45"/>
        <v>#N/A</v>
      </c>
    </row>
    <row r="1438" spans="12:13" x14ac:dyDescent="0.25">
      <c r="L1438" s="60" t="e">
        <f t="shared" si="44"/>
        <v>#N/A</v>
      </c>
      <c r="M1438" s="42" t="e">
        <f t="shared" si="45"/>
        <v>#N/A</v>
      </c>
    </row>
    <row r="1439" spans="12:13" x14ac:dyDescent="0.25">
      <c r="L1439" s="60" t="e">
        <f t="shared" si="44"/>
        <v>#N/A</v>
      </c>
      <c r="M1439" s="42" t="e">
        <f t="shared" si="45"/>
        <v>#N/A</v>
      </c>
    </row>
    <row r="1440" spans="12:13" x14ac:dyDescent="0.25">
      <c r="L1440" s="60" t="e">
        <f t="shared" si="44"/>
        <v>#N/A</v>
      </c>
      <c r="M1440" s="42" t="e">
        <f t="shared" si="45"/>
        <v>#N/A</v>
      </c>
    </row>
    <row r="1441" spans="12:13" x14ac:dyDescent="0.25">
      <c r="L1441" s="60" t="e">
        <f t="shared" si="44"/>
        <v>#N/A</v>
      </c>
      <c r="M1441" s="42" t="e">
        <f t="shared" si="45"/>
        <v>#N/A</v>
      </c>
    </row>
    <row r="1442" spans="12:13" x14ac:dyDescent="0.25">
      <c r="L1442" s="60" t="e">
        <f t="shared" si="44"/>
        <v>#N/A</v>
      </c>
      <c r="M1442" s="42" t="e">
        <f t="shared" si="45"/>
        <v>#N/A</v>
      </c>
    </row>
    <row r="1443" spans="12:13" x14ac:dyDescent="0.25">
      <c r="L1443" s="60" t="e">
        <f t="shared" si="44"/>
        <v>#N/A</v>
      </c>
      <c r="M1443" s="42" t="e">
        <f t="shared" si="45"/>
        <v>#N/A</v>
      </c>
    </row>
    <row r="1444" spans="12:13" x14ac:dyDescent="0.25">
      <c r="L1444" s="60" t="e">
        <f t="shared" si="44"/>
        <v>#N/A</v>
      </c>
      <c r="M1444" s="42" t="e">
        <f t="shared" si="45"/>
        <v>#N/A</v>
      </c>
    </row>
    <row r="1445" spans="12:13" x14ac:dyDescent="0.25">
      <c r="L1445" s="60" t="e">
        <f t="shared" si="44"/>
        <v>#N/A</v>
      </c>
      <c r="M1445" s="42" t="e">
        <f t="shared" si="45"/>
        <v>#N/A</v>
      </c>
    </row>
    <row r="1446" spans="12:13" x14ac:dyDescent="0.25">
      <c r="L1446" s="60" t="e">
        <f t="shared" si="44"/>
        <v>#N/A</v>
      </c>
      <c r="M1446" s="42" t="e">
        <f t="shared" si="45"/>
        <v>#N/A</v>
      </c>
    </row>
    <row r="1447" spans="12:13" x14ac:dyDescent="0.25">
      <c r="L1447" s="60" t="e">
        <f t="shared" si="44"/>
        <v>#N/A</v>
      </c>
      <c r="M1447" s="42" t="e">
        <f t="shared" si="45"/>
        <v>#N/A</v>
      </c>
    </row>
    <row r="1448" spans="12:13" x14ac:dyDescent="0.25">
      <c r="L1448" s="60" t="e">
        <f t="shared" si="44"/>
        <v>#N/A</v>
      </c>
      <c r="M1448" s="42" t="e">
        <f t="shared" si="45"/>
        <v>#N/A</v>
      </c>
    </row>
    <row r="1449" spans="12:13" x14ac:dyDescent="0.25">
      <c r="L1449" s="60" t="e">
        <f t="shared" si="44"/>
        <v>#N/A</v>
      </c>
      <c r="M1449" s="42" t="e">
        <f t="shared" si="45"/>
        <v>#N/A</v>
      </c>
    </row>
    <row r="1450" spans="12:13" x14ac:dyDescent="0.25">
      <c r="L1450" s="60" t="e">
        <f t="shared" si="44"/>
        <v>#N/A</v>
      </c>
      <c r="M1450" s="42" t="e">
        <f t="shared" si="45"/>
        <v>#N/A</v>
      </c>
    </row>
    <row r="1451" spans="12:13" x14ac:dyDescent="0.25">
      <c r="L1451" s="60" t="e">
        <f t="shared" si="44"/>
        <v>#N/A</v>
      </c>
      <c r="M1451" s="42" t="e">
        <f t="shared" si="45"/>
        <v>#N/A</v>
      </c>
    </row>
    <row r="1452" spans="12:13" x14ac:dyDescent="0.25">
      <c r="L1452" s="60" t="e">
        <f t="shared" si="44"/>
        <v>#N/A</v>
      </c>
      <c r="M1452" s="42" t="e">
        <f t="shared" si="45"/>
        <v>#N/A</v>
      </c>
    </row>
    <row r="1453" spans="12:13" x14ac:dyDescent="0.25">
      <c r="L1453" s="60" t="e">
        <f t="shared" si="44"/>
        <v>#N/A</v>
      </c>
      <c r="M1453" s="42" t="e">
        <f t="shared" si="45"/>
        <v>#N/A</v>
      </c>
    </row>
    <row r="1454" spans="12:13" x14ac:dyDescent="0.25">
      <c r="L1454" s="60" t="e">
        <f t="shared" si="44"/>
        <v>#N/A</v>
      </c>
      <c r="M1454" s="42" t="e">
        <f t="shared" si="45"/>
        <v>#N/A</v>
      </c>
    </row>
    <row r="1455" spans="12:13" x14ac:dyDescent="0.25">
      <c r="L1455" s="60" t="e">
        <f t="shared" si="44"/>
        <v>#N/A</v>
      </c>
      <c r="M1455" s="42" t="e">
        <f t="shared" si="45"/>
        <v>#N/A</v>
      </c>
    </row>
    <row r="1456" spans="12:13" x14ac:dyDescent="0.25">
      <c r="L1456" s="60" t="e">
        <f t="shared" si="44"/>
        <v>#N/A</v>
      </c>
      <c r="M1456" s="42" t="e">
        <f t="shared" si="45"/>
        <v>#N/A</v>
      </c>
    </row>
    <row r="1457" spans="12:13" x14ac:dyDescent="0.25">
      <c r="L1457" s="60" t="e">
        <f t="shared" si="44"/>
        <v>#N/A</v>
      </c>
      <c r="M1457" s="42" t="e">
        <f t="shared" si="45"/>
        <v>#N/A</v>
      </c>
    </row>
    <row r="1458" spans="12:13" x14ac:dyDescent="0.25">
      <c r="L1458" s="60" t="e">
        <f t="shared" si="44"/>
        <v>#N/A</v>
      </c>
      <c r="M1458" s="42" t="e">
        <f t="shared" si="45"/>
        <v>#N/A</v>
      </c>
    </row>
    <row r="1459" spans="12:13" x14ac:dyDescent="0.25">
      <c r="L1459" s="60" t="e">
        <f t="shared" si="44"/>
        <v>#N/A</v>
      </c>
      <c r="M1459" s="42" t="e">
        <f t="shared" si="45"/>
        <v>#N/A</v>
      </c>
    </row>
    <row r="1460" spans="12:13" x14ac:dyDescent="0.25">
      <c r="L1460" s="60" t="e">
        <f t="shared" si="44"/>
        <v>#N/A</v>
      </c>
      <c r="M1460" s="42" t="e">
        <f t="shared" si="45"/>
        <v>#N/A</v>
      </c>
    </row>
    <row r="1461" spans="12:13" x14ac:dyDescent="0.25">
      <c r="L1461" s="60" t="e">
        <f t="shared" si="44"/>
        <v>#N/A</v>
      </c>
      <c r="M1461" s="42" t="e">
        <f t="shared" si="45"/>
        <v>#N/A</v>
      </c>
    </row>
    <row r="1462" spans="12:13" x14ac:dyDescent="0.25">
      <c r="L1462" s="60" t="e">
        <f t="shared" si="44"/>
        <v>#N/A</v>
      </c>
      <c r="M1462" s="42" t="e">
        <f t="shared" si="45"/>
        <v>#N/A</v>
      </c>
    </row>
    <row r="1463" spans="12:13" x14ac:dyDescent="0.25">
      <c r="L1463" s="60" t="e">
        <f t="shared" ref="L1463:L1526" si="46">IF(Q1463&lt;&gt;"",Q1463,#N/A)</f>
        <v>#N/A</v>
      </c>
      <c r="M1463" s="42" t="e">
        <f t="shared" ref="M1463:M1526" si="47">IF(R1463&lt;&gt;"",R1463,#N/A)</f>
        <v>#N/A</v>
      </c>
    </row>
    <row r="1464" spans="12:13" x14ac:dyDescent="0.25">
      <c r="L1464" s="60" t="e">
        <f t="shared" si="46"/>
        <v>#N/A</v>
      </c>
      <c r="M1464" s="42" t="e">
        <f t="shared" si="47"/>
        <v>#N/A</v>
      </c>
    </row>
    <row r="1465" spans="12:13" x14ac:dyDescent="0.25">
      <c r="L1465" s="60" t="e">
        <f t="shared" si="46"/>
        <v>#N/A</v>
      </c>
      <c r="M1465" s="42" t="e">
        <f t="shared" si="47"/>
        <v>#N/A</v>
      </c>
    </row>
    <row r="1466" spans="12:13" x14ac:dyDescent="0.25">
      <c r="L1466" s="60" t="e">
        <f t="shared" si="46"/>
        <v>#N/A</v>
      </c>
      <c r="M1466" s="42" t="e">
        <f t="shared" si="47"/>
        <v>#N/A</v>
      </c>
    </row>
    <row r="1467" spans="12:13" x14ac:dyDescent="0.25">
      <c r="L1467" s="60" t="e">
        <f t="shared" si="46"/>
        <v>#N/A</v>
      </c>
      <c r="M1467" s="42" t="e">
        <f t="shared" si="47"/>
        <v>#N/A</v>
      </c>
    </row>
    <row r="1468" spans="12:13" x14ac:dyDescent="0.25">
      <c r="L1468" s="60" t="e">
        <f t="shared" si="46"/>
        <v>#N/A</v>
      </c>
      <c r="M1468" s="42" t="e">
        <f t="shared" si="47"/>
        <v>#N/A</v>
      </c>
    </row>
    <row r="1469" spans="12:13" x14ac:dyDescent="0.25">
      <c r="L1469" s="60" t="e">
        <f t="shared" si="46"/>
        <v>#N/A</v>
      </c>
      <c r="M1469" s="42" t="e">
        <f t="shared" si="47"/>
        <v>#N/A</v>
      </c>
    </row>
    <row r="1470" spans="12:13" x14ac:dyDescent="0.25">
      <c r="L1470" s="60" t="e">
        <f t="shared" si="46"/>
        <v>#N/A</v>
      </c>
      <c r="M1470" s="42" t="e">
        <f t="shared" si="47"/>
        <v>#N/A</v>
      </c>
    </row>
    <row r="1471" spans="12:13" x14ac:dyDescent="0.25">
      <c r="L1471" s="60" t="e">
        <f t="shared" si="46"/>
        <v>#N/A</v>
      </c>
      <c r="M1471" s="42" t="e">
        <f t="shared" si="47"/>
        <v>#N/A</v>
      </c>
    </row>
    <row r="1472" spans="12:13" x14ac:dyDescent="0.25">
      <c r="L1472" s="60" t="e">
        <f t="shared" si="46"/>
        <v>#N/A</v>
      </c>
      <c r="M1472" s="42" t="e">
        <f t="shared" si="47"/>
        <v>#N/A</v>
      </c>
    </row>
    <row r="1473" spans="12:13" x14ac:dyDescent="0.25">
      <c r="L1473" s="60" t="e">
        <f t="shared" si="46"/>
        <v>#N/A</v>
      </c>
      <c r="M1473" s="42" t="e">
        <f t="shared" si="47"/>
        <v>#N/A</v>
      </c>
    </row>
    <row r="1474" spans="12:13" x14ac:dyDescent="0.25">
      <c r="L1474" s="60" t="e">
        <f t="shared" si="46"/>
        <v>#N/A</v>
      </c>
      <c r="M1474" s="42" t="e">
        <f t="shared" si="47"/>
        <v>#N/A</v>
      </c>
    </row>
    <row r="1475" spans="12:13" x14ac:dyDescent="0.25">
      <c r="L1475" s="60" t="e">
        <f t="shared" si="46"/>
        <v>#N/A</v>
      </c>
      <c r="M1475" s="42" t="e">
        <f t="shared" si="47"/>
        <v>#N/A</v>
      </c>
    </row>
    <row r="1476" spans="12:13" x14ac:dyDescent="0.25">
      <c r="L1476" s="60" t="e">
        <f t="shared" si="46"/>
        <v>#N/A</v>
      </c>
      <c r="M1476" s="42" t="e">
        <f t="shared" si="47"/>
        <v>#N/A</v>
      </c>
    </row>
    <row r="1477" spans="12:13" x14ac:dyDescent="0.25">
      <c r="L1477" s="60" t="e">
        <f t="shared" si="46"/>
        <v>#N/A</v>
      </c>
      <c r="M1477" s="42" t="e">
        <f t="shared" si="47"/>
        <v>#N/A</v>
      </c>
    </row>
    <row r="1478" spans="12:13" x14ac:dyDescent="0.25">
      <c r="L1478" s="60" t="e">
        <f t="shared" si="46"/>
        <v>#N/A</v>
      </c>
      <c r="M1478" s="42" t="e">
        <f t="shared" si="47"/>
        <v>#N/A</v>
      </c>
    </row>
    <row r="1479" spans="12:13" x14ac:dyDescent="0.25">
      <c r="L1479" s="60" t="e">
        <f t="shared" si="46"/>
        <v>#N/A</v>
      </c>
      <c r="M1479" s="42" t="e">
        <f t="shared" si="47"/>
        <v>#N/A</v>
      </c>
    </row>
    <row r="1480" spans="12:13" x14ac:dyDescent="0.25">
      <c r="L1480" s="60" t="e">
        <f t="shared" si="46"/>
        <v>#N/A</v>
      </c>
      <c r="M1480" s="42" t="e">
        <f t="shared" si="47"/>
        <v>#N/A</v>
      </c>
    </row>
    <row r="1481" spans="12:13" x14ac:dyDescent="0.25">
      <c r="L1481" s="60" t="e">
        <f t="shared" si="46"/>
        <v>#N/A</v>
      </c>
      <c r="M1481" s="42" t="e">
        <f t="shared" si="47"/>
        <v>#N/A</v>
      </c>
    </row>
    <row r="1482" spans="12:13" x14ac:dyDescent="0.25">
      <c r="L1482" s="60" t="e">
        <f t="shared" si="46"/>
        <v>#N/A</v>
      </c>
      <c r="M1482" s="42" t="e">
        <f t="shared" si="47"/>
        <v>#N/A</v>
      </c>
    </row>
    <row r="1483" spans="12:13" x14ac:dyDescent="0.25">
      <c r="L1483" s="60" t="e">
        <f t="shared" si="46"/>
        <v>#N/A</v>
      </c>
      <c r="M1483" s="42" t="e">
        <f t="shared" si="47"/>
        <v>#N/A</v>
      </c>
    </row>
    <row r="1484" spans="12:13" x14ac:dyDescent="0.25">
      <c r="L1484" s="60" t="e">
        <f t="shared" si="46"/>
        <v>#N/A</v>
      </c>
      <c r="M1484" s="42" t="e">
        <f t="shared" si="47"/>
        <v>#N/A</v>
      </c>
    </row>
    <row r="1485" spans="12:13" x14ac:dyDescent="0.25">
      <c r="L1485" s="60" t="e">
        <f t="shared" si="46"/>
        <v>#N/A</v>
      </c>
      <c r="M1485" s="42" t="e">
        <f t="shared" si="47"/>
        <v>#N/A</v>
      </c>
    </row>
    <row r="1486" spans="12:13" x14ac:dyDescent="0.25">
      <c r="L1486" s="60" t="e">
        <f t="shared" si="46"/>
        <v>#N/A</v>
      </c>
      <c r="M1486" s="42" t="e">
        <f t="shared" si="47"/>
        <v>#N/A</v>
      </c>
    </row>
    <row r="1487" spans="12:13" x14ac:dyDescent="0.25">
      <c r="L1487" s="60" t="e">
        <f t="shared" si="46"/>
        <v>#N/A</v>
      </c>
      <c r="M1487" s="42" t="e">
        <f t="shared" si="47"/>
        <v>#N/A</v>
      </c>
    </row>
    <row r="1488" spans="12:13" x14ac:dyDescent="0.25">
      <c r="L1488" s="60" t="e">
        <f t="shared" si="46"/>
        <v>#N/A</v>
      </c>
      <c r="M1488" s="42" t="e">
        <f t="shared" si="47"/>
        <v>#N/A</v>
      </c>
    </row>
    <row r="1489" spans="12:13" x14ac:dyDescent="0.25">
      <c r="L1489" s="60" t="e">
        <f t="shared" si="46"/>
        <v>#N/A</v>
      </c>
      <c r="M1489" s="42" t="e">
        <f t="shared" si="47"/>
        <v>#N/A</v>
      </c>
    </row>
    <row r="1490" spans="12:13" x14ac:dyDescent="0.25">
      <c r="L1490" s="60" t="e">
        <f t="shared" si="46"/>
        <v>#N/A</v>
      </c>
      <c r="M1490" s="42" t="e">
        <f t="shared" si="47"/>
        <v>#N/A</v>
      </c>
    </row>
    <row r="1491" spans="12:13" x14ac:dyDescent="0.25">
      <c r="L1491" s="60" t="e">
        <f t="shared" si="46"/>
        <v>#N/A</v>
      </c>
      <c r="M1491" s="42" t="e">
        <f t="shared" si="47"/>
        <v>#N/A</v>
      </c>
    </row>
    <row r="1492" spans="12:13" x14ac:dyDescent="0.25">
      <c r="L1492" s="60" t="e">
        <f t="shared" si="46"/>
        <v>#N/A</v>
      </c>
      <c r="M1492" s="42" t="e">
        <f t="shared" si="47"/>
        <v>#N/A</v>
      </c>
    </row>
    <row r="1493" spans="12:13" x14ac:dyDescent="0.25">
      <c r="L1493" s="60" t="e">
        <f t="shared" si="46"/>
        <v>#N/A</v>
      </c>
      <c r="M1493" s="42" t="e">
        <f t="shared" si="47"/>
        <v>#N/A</v>
      </c>
    </row>
    <row r="1494" spans="12:13" x14ac:dyDescent="0.25">
      <c r="L1494" s="60" t="e">
        <f t="shared" si="46"/>
        <v>#N/A</v>
      </c>
      <c r="M1494" s="42" t="e">
        <f t="shared" si="47"/>
        <v>#N/A</v>
      </c>
    </row>
    <row r="1495" spans="12:13" x14ac:dyDescent="0.25">
      <c r="L1495" s="60" t="e">
        <f t="shared" si="46"/>
        <v>#N/A</v>
      </c>
      <c r="M1495" s="42" t="e">
        <f t="shared" si="47"/>
        <v>#N/A</v>
      </c>
    </row>
    <row r="1496" spans="12:13" x14ac:dyDescent="0.25">
      <c r="L1496" s="60" t="e">
        <f t="shared" si="46"/>
        <v>#N/A</v>
      </c>
      <c r="M1496" s="42" t="e">
        <f t="shared" si="47"/>
        <v>#N/A</v>
      </c>
    </row>
    <row r="1497" spans="12:13" x14ac:dyDescent="0.25">
      <c r="L1497" s="60" t="e">
        <f t="shared" si="46"/>
        <v>#N/A</v>
      </c>
      <c r="M1497" s="42" t="e">
        <f t="shared" si="47"/>
        <v>#N/A</v>
      </c>
    </row>
    <row r="1498" spans="12:13" x14ac:dyDescent="0.25">
      <c r="L1498" s="60" t="e">
        <f t="shared" si="46"/>
        <v>#N/A</v>
      </c>
      <c r="M1498" s="42" t="e">
        <f t="shared" si="47"/>
        <v>#N/A</v>
      </c>
    </row>
    <row r="1499" spans="12:13" x14ac:dyDescent="0.25">
      <c r="L1499" s="60" t="e">
        <f t="shared" si="46"/>
        <v>#N/A</v>
      </c>
      <c r="M1499" s="42" t="e">
        <f t="shared" si="47"/>
        <v>#N/A</v>
      </c>
    </row>
    <row r="1500" spans="12:13" x14ac:dyDescent="0.25">
      <c r="L1500" s="60" t="e">
        <f t="shared" si="46"/>
        <v>#N/A</v>
      </c>
      <c r="M1500" s="42" t="e">
        <f t="shared" si="47"/>
        <v>#N/A</v>
      </c>
    </row>
    <row r="1501" spans="12:13" x14ac:dyDescent="0.25">
      <c r="L1501" s="60" t="e">
        <f t="shared" si="46"/>
        <v>#N/A</v>
      </c>
      <c r="M1501" s="42" t="e">
        <f t="shared" si="47"/>
        <v>#N/A</v>
      </c>
    </row>
    <row r="1502" spans="12:13" x14ac:dyDescent="0.25">
      <c r="L1502" s="60" t="e">
        <f t="shared" si="46"/>
        <v>#N/A</v>
      </c>
      <c r="M1502" s="42" t="e">
        <f t="shared" si="47"/>
        <v>#N/A</v>
      </c>
    </row>
    <row r="1503" spans="12:13" x14ac:dyDescent="0.25">
      <c r="L1503" s="60" t="e">
        <f t="shared" si="46"/>
        <v>#N/A</v>
      </c>
      <c r="M1503" s="42" t="e">
        <f t="shared" si="47"/>
        <v>#N/A</v>
      </c>
    </row>
    <row r="1504" spans="12:13" x14ac:dyDescent="0.25">
      <c r="L1504" s="60" t="e">
        <f t="shared" si="46"/>
        <v>#N/A</v>
      </c>
      <c r="M1504" s="42" t="e">
        <f t="shared" si="47"/>
        <v>#N/A</v>
      </c>
    </row>
    <row r="1505" spans="12:13" x14ac:dyDescent="0.25">
      <c r="L1505" s="60" t="e">
        <f t="shared" si="46"/>
        <v>#N/A</v>
      </c>
      <c r="M1505" s="42" t="e">
        <f t="shared" si="47"/>
        <v>#N/A</v>
      </c>
    </row>
    <row r="1506" spans="12:13" x14ac:dyDescent="0.25">
      <c r="L1506" s="60" t="e">
        <f t="shared" si="46"/>
        <v>#N/A</v>
      </c>
      <c r="M1506" s="42" t="e">
        <f t="shared" si="47"/>
        <v>#N/A</v>
      </c>
    </row>
    <row r="1507" spans="12:13" x14ac:dyDescent="0.25">
      <c r="L1507" s="60" t="e">
        <f t="shared" si="46"/>
        <v>#N/A</v>
      </c>
      <c r="M1507" s="42" t="e">
        <f t="shared" si="47"/>
        <v>#N/A</v>
      </c>
    </row>
    <row r="1508" spans="12:13" x14ac:dyDescent="0.25">
      <c r="L1508" s="60" t="e">
        <f t="shared" si="46"/>
        <v>#N/A</v>
      </c>
      <c r="M1508" s="42" t="e">
        <f t="shared" si="47"/>
        <v>#N/A</v>
      </c>
    </row>
    <row r="1509" spans="12:13" x14ac:dyDescent="0.25">
      <c r="L1509" s="60" t="e">
        <f t="shared" si="46"/>
        <v>#N/A</v>
      </c>
      <c r="M1509" s="42" t="e">
        <f t="shared" si="47"/>
        <v>#N/A</v>
      </c>
    </row>
    <row r="1510" spans="12:13" x14ac:dyDescent="0.25">
      <c r="L1510" s="60" t="e">
        <f t="shared" si="46"/>
        <v>#N/A</v>
      </c>
      <c r="M1510" s="42" t="e">
        <f t="shared" si="47"/>
        <v>#N/A</v>
      </c>
    </row>
    <row r="1511" spans="12:13" x14ac:dyDescent="0.25">
      <c r="L1511" s="60" t="e">
        <f t="shared" si="46"/>
        <v>#N/A</v>
      </c>
      <c r="M1511" s="42" t="e">
        <f t="shared" si="47"/>
        <v>#N/A</v>
      </c>
    </row>
    <row r="1512" spans="12:13" x14ac:dyDescent="0.25">
      <c r="L1512" s="60" t="e">
        <f t="shared" si="46"/>
        <v>#N/A</v>
      </c>
      <c r="M1512" s="42" t="e">
        <f t="shared" si="47"/>
        <v>#N/A</v>
      </c>
    </row>
    <row r="1513" spans="12:13" x14ac:dyDescent="0.25">
      <c r="L1513" s="60" t="e">
        <f t="shared" si="46"/>
        <v>#N/A</v>
      </c>
      <c r="M1513" s="42" t="e">
        <f t="shared" si="47"/>
        <v>#N/A</v>
      </c>
    </row>
    <row r="1514" spans="12:13" x14ac:dyDescent="0.25">
      <c r="L1514" s="60" t="e">
        <f t="shared" si="46"/>
        <v>#N/A</v>
      </c>
      <c r="M1514" s="42" t="e">
        <f t="shared" si="47"/>
        <v>#N/A</v>
      </c>
    </row>
    <row r="1515" spans="12:13" x14ac:dyDescent="0.25">
      <c r="L1515" s="60" t="e">
        <f t="shared" si="46"/>
        <v>#N/A</v>
      </c>
      <c r="M1515" s="42" t="e">
        <f t="shared" si="47"/>
        <v>#N/A</v>
      </c>
    </row>
    <row r="1516" spans="12:13" x14ac:dyDescent="0.25">
      <c r="L1516" s="60" t="e">
        <f t="shared" si="46"/>
        <v>#N/A</v>
      </c>
      <c r="M1516" s="42" t="e">
        <f t="shared" si="47"/>
        <v>#N/A</v>
      </c>
    </row>
    <row r="1517" spans="12:13" x14ac:dyDescent="0.25">
      <c r="L1517" s="60" t="e">
        <f t="shared" si="46"/>
        <v>#N/A</v>
      </c>
      <c r="M1517" s="42" t="e">
        <f t="shared" si="47"/>
        <v>#N/A</v>
      </c>
    </row>
    <row r="1518" spans="12:13" x14ac:dyDescent="0.25">
      <c r="L1518" s="60" t="e">
        <f t="shared" si="46"/>
        <v>#N/A</v>
      </c>
      <c r="M1518" s="42" t="e">
        <f t="shared" si="47"/>
        <v>#N/A</v>
      </c>
    </row>
    <row r="1519" spans="12:13" x14ac:dyDescent="0.25">
      <c r="L1519" s="60" t="e">
        <f t="shared" si="46"/>
        <v>#N/A</v>
      </c>
      <c r="M1519" s="42" t="e">
        <f t="shared" si="47"/>
        <v>#N/A</v>
      </c>
    </row>
    <row r="1520" spans="12:13" x14ac:dyDescent="0.25">
      <c r="L1520" s="60" t="e">
        <f t="shared" si="46"/>
        <v>#N/A</v>
      </c>
      <c r="M1520" s="42" t="e">
        <f t="shared" si="47"/>
        <v>#N/A</v>
      </c>
    </row>
    <row r="1521" spans="12:13" x14ac:dyDescent="0.25">
      <c r="L1521" s="60" t="e">
        <f t="shared" si="46"/>
        <v>#N/A</v>
      </c>
      <c r="M1521" s="42" t="e">
        <f t="shared" si="47"/>
        <v>#N/A</v>
      </c>
    </row>
    <row r="1522" spans="12:13" x14ac:dyDescent="0.25">
      <c r="L1522" s="60" t="e">
        <f t="shared" si="46"/>
        <v>#N/A</v>
      </c>
      <c r="M1522" s="42" t="e">
        <f t="shared" si="47"/>
        <v>#N/A</v>
      </c>
    </row>
    <row r="1523" spans="12:13" x14ac:dyDescent="0.25">
      <c r="L1523" s="60" t="e">
        <f t="shared" si="46"/>
        <v>#N/A</v>
      </c>
      <c r="M1523" s="42" t="e">
        <f t="shared" si="47"/>
        <v>#N/A</v>
      </c>
    </row>
    <row r="1524" spans="12:13" x14ac:dyDescent="0.25">
      <c r="L1524" s="60" t="e">
        <f t="shared" si="46"/>
        <v>#N/A</v>
      </c>
      <c r="M1524" s="42" t="e">
        <f t="shared" si="47"/>
        <v>#N/A</v>
      </c>
    </row>
    <row r="1525" spans="12:13" x14ac:dyDescent="0.25">
      <c r="L1525" s="60" t="e">
        <f t="shared" si="46"/>
        <v>#N/A</v>
      </c>
      <c r="M1525" s="42" t="e">
        <f t="shared" si="47"/>
        <v>#N/A</v>
      </c>
    </row>
    <row r="1526" spans="12:13" x14ac:dyDescent="0.25">
      <c r="L1526" s="60" t="e">
        <f t="shared" si="46"/>
        <v>#N/A</v>
      </c>
      <c r="M1526" s="42" t="e">
        <f t="shared" si="47"/>
        <v>#N/A</v>
      </c>
    </row>
    <row r="1527" spans="12:13" x14ac:dyDescent="0.25">
      <c r="L1527" s="60" t="e">
        <f t="shared" ref="L1527:L1542" si="48">IF(Q1527&lt;&gt;"",Q1527,#N/A)</f>
        <v>#N/A</v>
      </c>
      <c r="M1527" s="42" t="e">
        <f t="shared" ref="M1527:M1542" si="49">IF(R1527&lt;&gt;"",R1527,#N/A)</f>
        <v>#N/A</v>
      </c>
    </row>
    <row r="1528" spans="12:13" x14ac:dyDescent="0.25">
      <c r="L1528" s="60" t="e">
        <f t="shared" si="48"/>
        <v>#N/A</v>
      </c>
      <c r="M1528" s="42" t="e">
        <f t="shared" si="49"/>
        <v>#N/A</v>
      </c>
    </row>
    <row r="1529" spans="12:13" x14ac:dyDescent="0.25">
      <c r="L1529" s="60" t="e">
        <f t="shared" si="48"/>
        <v>#N/A</v>
      </c>
      <c r="M1529" s="42" t="e">
        <f t="shared" si="49"/>
        <v>#N/A</v>
      </c>
    </row>
    <row r="1530" spans="12:13" x14ac:dyDescent="0.25">
      <c r="L1530" s="60" t="e">
        <f t="shared" si="48"/>
        <v>#N/A</v>
      </c>
      <c r="M1530" s="42" t="e">
        <f t="shared" si="49"/>
        <v>#N/A</v>
      </c>
    </row>
    <row r="1531" spans="12:13" x14ac:dyDescent="0.25">
      <c r="L1531" s="60" t="e">
        <f t="shared" si="48"/>
        <v>#N/A</v>
      </c>
      <c r="M1531" s="42" t="e">
        <f t="shared" si="49"/>
        <v>#N/A</v>
      </c>
    </row>
    <row r="1532" spans="12:13" x14ac:dyDescent="0.25">
      <c r="L1532" s="60" t="e">
        <f t="shared" si="48"/>
        <v>#N/A</v>
      </c>
      <c r="M1532" s="42" t="e">
        <f t="shared" si="49"/>
        <v>#N/A</v>
      </c>
    </row>
    <row r="1533" spans="12:13" x14ac:dyDescent="0.25">
      <c r="L1533" s="60" t="e">
        <f t="shared" si="48"/>
        <v>#N/A</v>
      </c>
      <c r="M1533" s="42" t="e">
        <f t="shared" si="49"/>
        <v>#N/A</v>
      </c>
    </row>
    <row r="1534" spans="12:13" x14ac:dyDescent="0.25">
      <c r="L1534" s="60" t="e">
        <f t="shared" si="48"/>
        <v>#N/A</v>
      </c>
      <c r="M1534" s="42" t="e">
        <f t="shared" si="49"/>
        <v>#N/A</v>
      </c>
    </row>
    <row r="1535" spans="12:13" x14ac:dyDescent="0.25">
      <c r="L1535" s="60" t="e">
        <f t="shared" si="48"/>
        <v>#N/A</v>
      </c>
      <c r="M1535" s="42" t="e">
        <f t="shared" si="49"/>
        <v>#N/A</v>
      </c>
    </row>
    <row r="1536" spans="12:13" x14ac:dyDescent="0.25">
      <c r="L1536" s="60" t="e">
        <f t="shared" si="48"/>
        <v>#N/A</v>
      </c>
      <c r="M1536" s="42" t="e">
        <f t="shared" si="49"/>
        <v>#N/A</v>
      </c>
    </row>
    <row r="1537" spans="12:13" x14ac:dyDescent="0.25">
      <c r="L1537" s="60" t="e">
        <f t="shared" si="48"/>
        <v>#N/A</v>
      </c>
      <c r="M1537" s="42" t="e">
        <f t="shared" si="49"/>
        <v>#N/A</v>
      </c>
    </row>
    <row r="1538" spans="12:13" x14ac:dyDescent="0.25">
      <c r="L1538" s="60" t="e">
        <f t="shared" si="48"/>
        <v>#N/A</v>
      </c>
      <c r="M1538" s="42" t="e">
        <f t="shared" si="49"/>
        <v>#N/A</v>
      </c>
    </row>
    <row r="1539" spans="12:13" x14ac:dyDescent="0.25">
      <c r="L1539" s="60" t="e">
        <f t="shared" si="48"/>
        <v>#N/A</v>
      </c>
      <c r="M1539" s="42" t="e">
        <f t="shared" si="49"/>
        <v>#N/A</v>
      </c>
    </row>
    <row r="1540" spans="12:13" x14ac:dyDescent="0.25">
      <c r="L1540" s="60" t="e">
        <f t="shared" si="48"/>
        <v>#N/A</v>
      </c>
      <c r="M1540" s="42" t="e">
        <f t="shared" si="49"/>
        <v>#N/A</v>
      </c>
    </row>
    <row r="1541" spans="12:13" x14ac:dyDescent="0.25">
      <c r="L1541" s="60" t="e">
        <f t="shared" si="48"/>
        <v>#N/A</v>
      </c>
      <c r="M1541" s="42" t="e">
        <f t="shared" si="49"/>
        <v>#N/A</v>
      </c>
    </row>
    <row r="1542" spans="12:13" x14ac:dyDescent="0.2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202"/>
  <sheetViews>
    <sheetView showGridLines="0" zoomScale="80" zoomScaleNormal="80" workbookViewId="0">
      <selection activeCell="E4" sqref="E4"/>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6.7109375" bestFit="1" customWidth="1"/>
    <col min="34" max="34" width="11.42578125" bestFit="1" customWidth="1"/>
    <col min="35" max="35" width="25.85546875" bestFit="1" customWidth="1"/>
    <col min="36" max="36" width="11.7109375" bestFit="1" customWidth="1"/>
    <col min="37" max="37" width="10" bestFit="1" customWidth="1"/>
    <col min="38" max="38" width="12.42578125" bestFit="1" customWidth="1"/>
    <col min="39" max="39" width="13" bestFit="1" customWidth="1"/>
    <col min="40" max="40" width="3.42578125" bestFit="1" customWidth="1"/>
    <col min="41" max="41" width="9.5703125" style="7" bestFit="1" customWidth="1"/>
    <col min="42" max="42" width="17.140625" bestFit="1" customWidth="1"/>
    <col min="43" max="43" width="6.7109375" bestFit="1" customWidth="1"/>
    <col min="44" max="44" width="7.140625" bestFit="1" customWidth="1"/>
    <col min="45" max="45" width="5.5703125" bestFit="1" customWidth="1"/>
    <col min="46" max="46" width="16.5703125" bestFit="1" customWidth="1"/>
    <col min="47" max="47" width="6.7109375" bestFit="1" customWidth="1"/>
    <col min="52" max="52" width="13" bestFit="1" customWidth="1"/>
    <col min="53" max="53" width="25.85546875" bestFit="1" customWidth="1"/>
  </cols>
  <sheetData>
    <row r="1" spans="2:53" ht="122.25" x14ac:dyDescent="0.25">
      <c r="B1" t="s">
        <v>139</v>
      </c>
      <c r="D1" s="8" t="str" cm="1">
        <f t="array" aca="1" ref="D1" ca="1">LEFT(CELL("filename",AI1),FIND("[",CELL("filename",AI1),1)-1)</f>
        <v>C:\Users\Liliana Ramalho\PycharmProjects\Rotas Brisa\</v>
      </c>
      <c r="E1" s="6" t="str">
        <f>INDEX(aux_visual_1[Nó],MATCH(E3,aux_visual_1[Sequência],0))</f>
        <v>Cascais</v>
      </c>
      <c r="F1" s="6" t="s">
        <v>88</v>
      </c>
      <c r="G1" s="6" t="str">
        <f>INDEX(aux_visual_1[Nó],MATCH(G3,aux_visual_1[Sequência],0))</f>
        <v>Alvide</v>
      </c>
      <c r="H1" s="6" t="s">
        <v>88</v>
      </c>
      <c r="I1" s="6" t="str">
        <f>INDEX(aux_visual_1[Nó],MATCH(I3,aux_visual_1[Sequência],0))</f>
        <v>Alcabideche (A5/A16)</v>
      </c>
      <c r="J1" s="6" t="s">
        <v>88</v>
      </c>
      <c r="K1" s="6" t="str">
        <f>INDEX(aux_visual_1[Nó],MATCH(K3,aux_visual_1[Sequência],0))</f>
        <v>Estoril</v>
      </c>
      <c r="L1" s="6" t="s">
        <v>88</v>
      </c>
      <c r="M1" s="6" t="str">
        <f>INDEX(aux_visual_1[Nó],MATCH(M3,aux_visual_1[Sequência],0))</f>
        <v>Carcavelos</v>
      </c>
      <c r="N1" s="6" t="s">
        <v>88</v>
      </c>
      <c r="O1" s="6" t="str">
        <f>INDEX(aux_visual_1[Nó],MATCH(O3,aux_visual_1[Sequência],0))</f>
        <v>Oeiras</v>
      </c>
      <c r="P1" s="6" t="s">
        <v>88</v>
      </c>
      <c r="Q1" s="6" t="str">
        <f>INDEX(aux_visual_1[Nó],MATCH(Q3,aux_visual_1[Sequência],0))</f>
        <v>Estádio Nacional (A5/A9)</v>
      </c>
      <c r="R1" s="6" t="s">
        <v>88</v>
      </c>
      <c r="S1" s="6" t="str">
        <f>INDEX(aux_visual_1[Nó],MATCH(S3,aux_visual_1[Sequência],0))</f>
        <v>Queluz</v>
      </c>
      <c r="T1" s="6" t="s">
        <v>88</v>
      </c>
      <c r="U1" s="6" t="str">
        <f>INDEX(aux_visual_1[Nó],MATCH(U3,aux_visual_1[Sequência],0))</f>
        <v>Radial da Pontinha</v>
      </c>
      <c r="V1" s="6" t="s">
        <v>88</v>
      </c>
      <c r="W1" s="6" t="str">
        <f>INDEX(aux_visual_1[Nó],MATCH(W3,aux_visual_1[Sequência],0))</f>
        <v>Radial de Odivelas</v>
      </c>
      <c r="X1" s="6" t="s">
        <v>88</v>
      </c>
      <c r="Y1" s="6" t="e">
        <f>INDEX(aux_visual_1[Nó],MATCH(Y3,aux_visual_1[Sequência],0))</f>
        <v>#N/A</v>
      </c>
      <c r="Z1" s="6" t="s">
        <v>88</v>
      </c>
      <c r="AA1" s="6" t="e">
        <f>INDEX(aux_visual_1[Nó],MATCH(AA3,aux_visual_1[Sequência],0))</f>
        <v>#N/A</v>
      </c>
      <c r="AG1" t="s">
        <v>120</v>
      </c>
      <c r="AH1" t="s">
        <v>9</v>
      </c>
      <c r="AI1" t="s">
        <v>7</v>
      </c>
      <c r="AJ1" t="s">
        <v>80</v>
      </c>
      <c r="AK1" t="s">
        <v>41</v>
      </c>
      <c r="AL1" t="s">
        <v>3</v>
      </c>
      <c r="AM1" t="s">
        <v>81</v>
      </c>
      <c r="AN1" t="s">
        <v>82</v>
      </c>
      <c r="AO1" s="7" t="s">
        <v>83</v>
      </c>
      <c r="AP1" t="s">
        <v>84</v>
      </c>
      <c r="AQ1" t="s">
        <v>85</v>
      </c>
      <c r="AR1" t="s">
        <v>86</v>
      </c>
      <c r="AS1" t="s">
        <v>87</v>
      </c>
      <c r="AT1" t="s">
        <v>138</v>
      </c>
      <c r="AU1" t="s">
        <v>134</v>
      </c>
      <c r="AZ1" t="s">
        <v>9</v>
      </c>
      <c r="BA1" t="s">
        <v>7</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121</v>
      </c>
      <c r="AH2" s="20" t="s">
        <v>125</v>
      </c>
      <c r="AI2" s="20" t="s">
        <v>2</v>
      </c>
      <c r="AJ2" s="7">
        <v>0.29166666666666669</v>
      </c>
      <c r="AK2" s="7">
        <v>0.29166666666666669</v>
      </c>
      <c r="AL2" s="20" t="s">
        <v>42</v>
      </c>
      <c r="AM2" s="20" t="str">
        <f>+TEXT(Carro1[[#This Row],[Column1]],"hh:mm")&amp;" | " &amp;TEXT(Carro1[[#This Row],[Hora Fim]],"hh:mm")</f>
        <v>07:00 | 07:00</v>
      </c>
      <c r="AN2" s="20">
        <f>INDEX($E$3:$AA$3,MATCH(Carro1[[#This Row],[Nó]],$E$1:$AA$1,0))</f>
        <v>4</v>
      </c>
      <c r="AO2" s="7">
        <f>+IF(AND(Carro1[[#This Row],[Nó]]=AI1,Carro1[[#This Row],[Nó]]=AI3),AO1,Carro1[[#This Row],[Hora Início]])</f>
        <v>0.29166666666666669</v>
      </c>
      <c r="AP2" s="20">
        <f t="shared" ref="AP2:AP65" si="0">IF(AN2=AN1,IF(AN2&lt;&gt;AN3,IF(AN3&gt;=AN1,1,2),AP1),IF(AN2&gt;=AN1,1,2))</f>
        <v>2</v>
      </c>
      <c r="AQ2" s="20" cm="1">
        <f t="array" ref="AQ2">IFERROR(_xlfn.IFS(AP2=AP1,AQ1,AQ1="Ramo",1),AQ1+1)</f>
        <v>1</v>
      </c>
      <c r="AR2" s="20">
        <f t="shared" ref="AR2:AR65" si="1">IF(AQ2&lt;&gt;AQ1,1,0)</f>
        <v>1</v>
      </c>
      <c r="AS2" s="20" t="str">
        <f>IF(AND(Carro1[[#This Row],[Nó]]=AI3,Carro1[[#This Row],[Nó]]=AI4),"",AQ2&amp;"|"&amp;AN2)</f>
        <v>1|4</v>
      </c>
      <c r="AT2" s="20" t="str">
        <f>IF(Carro1[[#This Row],[Tipo]]&lt;&gt;"Deslocação",AQ2&amp;"|"&amp;AN2,"")</f>
        <v>1|4</v>
      </c>
      <c r="AU2" s="20" t="str">
        <f>IF(Carro1[[#This Row],[Tipo]]="Início",AQ2&amp;"|"&amp;AN2,"")</f>
        <v>1|4</v>
      </c>
      <c r="AZ2" s="20">
        <v>4</v>
      </c>
      <c r="BA2" s="20" t="s">
        <v>2</v>
      </c>
    </row>
    <row r="3" spans="2:53" ht="15.75" thickBot="1" x14ac:dyDescent="0.3">
      <c r="D3" s="9" t="s">
        <v>85</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121</v>
      </c>
      <c r="AH3" s="20" t="s">
        <v>125</v>
      </c>
      <c r="AI3" s="20" t="s">
        <v>2</v>
      </c>
      <c r="AJ3" s="7">
        <v>0.29166666666666669</v>
      </c>
      <c r="AK3" s="7">
        <v>0.29166666666666669</v>
      </c>
      <c r="AL3" s="20" t="s">
        <v>44</v>
      </c>
      <c r="AM3" s="20" t="str">
        <f>+TEXT(Carro1[[#This Row],[Column1]],"hh:mm")&amp;" | " &amp;TEXT(Carro1[[#This Row],[Hora Fim]],"hh:mm")</f>
        <v>07:00 | 07:00</v>
      </c>
      <c r="AN3" s="20">
        <f>INDEX($E$3:$AA$3,MATCH(Carro1[[#This Row],[Nó]],$E$1:$AA$1,0))</f>
        <v>4</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1|4</v>
      </c>
      <c r="AT3" s="20" t="str">
        <f>IF(Carro1[[#This Row],[Tipo]]&lt;&gt;"Deslocação",AQ3&amp;"|"&amp;AN3,"")</f>
        <v/>
      </c>
      <c r="AU3" s="20" t="str">
        <f>IF(Carro1[[#This Row],[Tipo]]="Início",AQ3&amp;"|"&amp;AN3,"")</f>
        <v/>
      </c>
      <c r="AZ3" s="20">
        <v>3</v>
      </c>
      <c r="BA3" s="20" t="s">
        <v>208</v>
      </c>
    </row>
    <row r="4" spans="2:53" x14ac:dyDescent="0.25">
      <c r="D4" s="44">
        <v>1</v>
      </c>
      <c r="E4" s="48" t="str">
        <f t="shared" ref="E4:AA4" si="2">IF(F$2=0,IFERROR(INDEX($AM:$AM,MATCH($D4&amp;"|"&amp;E$3,$AS:$AS,0)),""),IFERROR(INDEX($AR:$AR,MATCH($D4&amp;"|"&amp;E$3,$AS:$AS,0)),""))</f>
        <v>07:11 | 07:41</v>
      </c>
      <c r="F4" s="49" t="str">
        <f t="shared" si="2"/>
        <v/>
      </c>
      <c r="G4" s="49" t="str">
        <f t="shared" si="2"/>
        <v>07:09 | 07:09</v>
      </c>
      <c r="H4" s="49" t="str">
        <f t="shared" si="2"/>
        <v/>
      </c>
      <c r="I4" s="49" t="str">
        <f t="shared" si="2"/>
        <v>07:08 | 07:08</v>
      </c>
      <c r="J4" s="49" t="str">
        <f t="shared" si="2"/>
        <v/>
      </c>
      <c r="K4" s="49" t="str">
        <f t="shared" si="2"/>
        <v>07:05 | 07:05</v>
      </c>
      <c r="L4" s="49" t="str">
        <f t="shared" si="2"/>
        <v/>
      </c>
      <c r="M4" s="49" t="str">
        <f t="shared" si="2"/>
        <v>07:00 | 07:00</v>
      </c>
      <c r="N4" s="49" t="str">
        <f t="shared" si="2"/>
        <v/>
      </c>
      <c r="O4" s="49" t="str">
        <f t="shared" si="2"/>
        <v/>
      </c>
      <c r="P4" s="49" t="str">
        <f t="shared" si="2"/>
        <v/>
      </c>
      <c r="Q4" s="49" t="str">
        <f t="shared" si="2"/>
        <v/>
      </c>
      <c r="R4" s="49" t="str">
        <f t="shared" si="2"/>
        <v/>
      </c>
      <c r="S4" s="50" t="str">
        <f t="shared" si="2"/>
        <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43</v>
      </c>
      <c r="AG4" s="20" t="s">
        <v>121</v>
      </c>
      <c r="AH4" s="20" t="s">
        <v>124</v>
      </c>
      <c r="AI4" s="20" t="s">
        <v>208</v>
      </c>
      <c r="AJ4" s="7">
        <v>0.2951388888888889</v>
      </c>
      <c r="AK4" s="7">
        <v>0.2951388888888889</v>
      </c>
      <c r="AL4" s="20" t="s">
        <v>44</v>
      </c>
      <c r="AM4" s="20" t="str">
        <f>+TEXT(Carro1[[#This Row],[Column1]],"hh:mm")&amp;" | " &amp;TEXT(Carro1[[#This Row],[Hora Fim]],"hh:mm")</f>
        <v>07:05 | 07:05</v>
      </c>
      <c r="AN4" s="20">
        <f>INDEX($E$3:$AA$3,MATCH(Carro1[[#This Row],[Nó]],$E$1:$AA$1,0))</f>
        <v>3</v>
      </c>
      <c r="AO4" s="7">
        <f>+IF(AND(Carro1[[#This Row],[Nó]]=AI3,Carro1[[#This Row],[Nó]]=AI5),AO3,Carro1[[#This Row],[Hora Início]])</f>
        <v>0.2951388888888889</v>
      </c>
      <c r="AP4" s="20">
        <f t="shared" si="0"/>
        <v>2</v>
      </c>
      <c r="AQ4" s="20" cm="1">
        <f t="array" ref="AQ4">IFERROR(_xlfn.IFS(AP4=AP3,AQ3,AQ3="Ramo",1),AQ3+1)</f>
        <v>1</v>
      </c>
      <c r="AR4" s="20">
        <f t="shared" si="1"/>
        <v>0</v>
      </c>
      <c r="AS4" s="20" t="str">
        <f>IF(AND(Carro1[[#This Row],[Nó]]=AI5,Carro1[[#This Row],[Nó]]=AI6),"",AQ4&amp;"|"&amp;AN4)</f>
        <v>1|3</v>
      </c>
      <c r="AT4" s="20" t="str">
        <f>IF(Carro1[[#This Row],[Tipo]]&lt;&gt;"Deslocação",AQ4&amp;"|"&amp;AN4,"")</f>
        <v/>
      </c>
      <c r="AU4" s="20" t="str">
        <f>IF(Carro1[[#This Row],[Tipo]]="Início",AQ4&amp;"|"&amp;AN4,"")</f>
        <v/>
      </c>
      <c r="AZ4" s="20">
        <v>2</v>
      </c>
      <c r="BA4" s="20" t="s">
        <v>228</v>
      </c>
    </row>
    <row r="5" spans="2:53" x14ac:dyDescent="0.25">
      <c r="D5" s="44">
        <v>2</v>
      </c>
      <c r="E5" s="51" t="str">
        <f t="shared" ref="E5:AA5" si="3">IF(F$2=0,IFERROR(INDEX($AM:$AM,MATCH($D5&amp;"|"&amp;E$3,$AS:$AS,0)),""),IFERROR(INDEX($AR:$AR,MATCH($D5&amp;"|"&amp;E$3,$AS:$AS,0)),""))</f>
        <v>07:41 | 07:41</v>
      </c>
      <c r="F5" s="12" t="str">
        <f t="shared" si="3"/>
        <v/>
      </c>
      <c r="G5" s="12" t="str">
        <f t="shared" si="3"/>
        <v>07:43 | 07:43</v>
      </c>
      <c r="H5" s="12" t="str">
        <f t="shared" si="3"/>
        <v/>
      </c>
      <c r="I5" s="12" t="str">
        <f t="shared" si="3"/>
        <v>07:48 | 07:48</v>
      </c>
      <c r="J5" s="12" t="str">
        <f t="shared" si="3"/>
        <v/>
      </c>
      <c r="K5" s="12" t="str">
        <f t="shared" si="3"/>
        <v>08:09 | 08:09</v>
      </c>
      <c r="L5" s="12" t="str">
        <f t="shared" si="3"/>
        <v/>
      </c>
      <c r="M5" s="12" t="str">
        <f t="shared" si="3"/>
        <v>08:14 | 08:14</v>
      </c>
      <c r="N5" s="12" t="str">
        <f t="shared" si="3"/>
        <v/>
      </c>
      <c r="O5" s="12" t="str">
        <f t="shared" si="3"/>
        <v>08:30 | 08:30</v>
      </c>
      <c r="P5" s="12" t="str">
        <f t="shared" si="3"/>
        <v/>
      </c>
      <c r="Q5" s="12" t="str">
        <f t="shared" si="3"/>
        <v>08:34 | 08:34</v>
      </c>
      <c r="R5" s="12" t="str">
        <f t="shared" si="3"/>
        <v/>
      </c>
      <c r="S5" s="52" t="str">
        <f t="shared" si="3"/>
        <v>08:37 | 08:37</v>
      </c>
      <c r="T5" s="45" t="str">
        <f t="shared" si="3"/>
        <v/>
      </c>
      <c r="U5" s="12" t="str">
        <f t="shared" si="3"/>
        <v>08:43 | 08:43</v>
      </c>
      <c r="V5" s="12" t="str">
        <f t="shared" si="3"/>
        <v/>
      </c>
      <c r="W5" s="12" t="str">
        <f t="shared" si="3"/>
        <v>08:49 | 08:49</v>
      </c>
      <c r="X5" s="12" t="str">
        <f t="shared" si="3"/>
        <v/>
      </c>
      <c r="Y5" s="12" t="str">
        <f t="shared" si="3"/>
        <v/>
      </c>
      <c r="Z5" s="12" t="str">
        <f t="shared" si="3"/>
        <v/>
      </c>
      <c r="AA5" s="12" t="str">
        <f t="shared" si="3"/>
        <v/>
      </c>
      <c r="AC5" s="14" t="s">
        <v>47</v>
      </c>
      <c r="AG5" s="20" t="s">
        <v>121</v>
      </c>
      <c r="AH5" s="20" t="s">
        <v>123</v>
      </c>
      <c r="AI5" s="20" t="s">
        <v>228</v>
      </c>
      <c r="AJ5" s="7">
        <v>0.29722222222222222</v>
      </c>
      <c r="AK5" s="7">
        <v>0.29722222222222222</v>
      </c>
      <c r="AL5" s="20" t="s">
        <v>44</v>
      </c>
      <c r="AM5" s="20" t="str">
        <f>+TEXT(Carro1[[#This Row],[Column1]],"hh:mm")&amp;" | " &amp;TEXT(Carro1[[#This Row],[Hora Fim]],"hh:mm")</f>
        <v>07:08 | 07:08</v>
      </c>
      <c r="AN5" s="20">
        <f>INDEX($E$3:$AA$3,MATCH(Carro1[[#This Row],[Nó]],$E$1:$AA$1,0))</f>
        <v>2</v>
      </c>
      <c r="AO5" s="7">
        <f>+IF(AND(Carro1[[#This Row],[Nó]]=AI4,Carro1[[#This Row],[Nó]]=AI6),AO4,Carro1[[#This Row],[Hora Início]])</f>
        <v>0.29722222222222222</v>
      </c>
      <c r="AP5" s="20">
        <f t="shared" si="0"/>
        <v>2</v>
      </c>
      <c r="AQ5" s="20" cm="1">
        <f t="array" ref="AQ5">IFERROR(_xlfn.IFS(AP5=AP4,AQ4,AQ4="Ramo",1),AQ4+1)</f>
        <v>1</v>
      </c>
      <c r="AR5" s="20">
        <f t="shared" si="1"/>
        <v>0</v>
      </c>
      <c r="AS5" s="20" t="str">
        <f>IF(AND(Carro1[[#This Row],[Nó]]=AI6,Carro1[[#This Row],[Nó]]=AI7),"",AQ5&amp;"|"&amp;AN5)</f>
        <v>1|2</v>
      </c>
      <c r="AT5" s="20" t="str">
        <f>IF(Carro1[[#This Row],[Tipo]]&lt;&gt;"Deslocação",AQ5&amp;"|"&amp;AN5,"")</f>
        <v/>
      </c>
      <c r="AU5" s="20" t="str">
        <f>IF(Carro1[[#This Row],[Tipo]]="Início",AQ5&amp;"|"&amp;AN5,"")</f>
        <v/>
      </c>
      <c r="AZ5" s="20">
        <v>1</v>
      </c>
      <c r="BA5" s="20" t="s">
        <v>200</v>
      </c>
    </row>
    <row r="6" spans="2:53" x14ac:dyDescent="0.25">
      <c r="D6" s="44">
        <v>3</v>
      </c>
      <c r="E6" s="51" t="str">
        <f t="shared" ref="E6:AA6" si="4">IF(F$2=0,IFERROR(INDEX($AM:$AM,MATCH($D6&amp;"|"&amp;E$3,$AS:$AS,0)),""),IFERROR(INDEX($AR:$AR,MATCH($D6&amp;"|"&amp;E$3,$AS:$AS,0)),""))</f>
        <v>11:55 | 12:54</v>
      </c>
      <c r="F6" s="12" t="str">
        <f t="shared" si="4"/>
        <v/>
      </c>
      <c r="G6" s="12" t="str">
        <f t="shared" si="4"/>
        <v>11:49 | 11:49</v>
      </c>
      <c r="H6" s="12" t="str">
        <f t="shared" si="4"/>
        <v/>
      </c>
      <c r="I6" s="12" t="str">
        <f t="shared" si="4"/>
        <v>11:30 | 11:30</v>
      </c>
      <c r="J6" s="12" t="str">
        <f t="shared" si="4"/>
        <v/>
      </c>
      <c r="K6" s="12" t="str">
        <f t="shared" si="4"/>
        <v>10:14 | 11:14</v>
      </c>
      <c r="L6" s="12" t="str">
        <f t="shared" si="4"/>
        <v/>
      </c>
      <c r="M6" s="12" t="str">
        <f t="shared" si="4"/>
        <v>09:41 | 09:56</v>
      </c>
      <c r="N6" s="12" t="str">
        <f t="shared" si="4"/>
        <v/>
      </c>
      <c r="O6" s="12" t="str">
        <f t="shared" si="4"/>
        <v>09:38 | 09:38</v>
      </c>
      <c r="P6" s="12" t="str">
        <f t="shared" si="4"/>
        <v/>
      </c>
      <c r="Q6" s="12" t="str">
        <f t="shared" si="4"/>
        <v>09:34 | 09:34</v>
      </c>
      <c r="R6" s="12" t="str">
        <f t="shared" si="4"/>
        <v/>
      </c>
      <c r="S6" s="52" t="str">
        <f t="shared" si="4"/>
        <v>09:21 | 09:21</v>
      </c>
      <c r="T6" s="45" t="str">
        <f t="shared" si="4"/>
        <v/>
      </c>
      <c r="U6" s="12" t="str">
        <f t="shared" si="4"/>
        <v>09:05 | 09:05</v>
      </c>
      <c r="V6" s="12" t="str">
        <f t="shared" si="4"/>
        <v/>
      </c>
      <c r="W6" s="12" t="str">
        <f t="shared" si="4"/>
        <v>08:49 | 08:59</v>
      </c>
      <c r="X6" s="12" t="str">
        <f t="shared" si="4"/>
        <v/>
      </c>
      <c r="Y6" s="12" t="str">
        <f t="shared" si="4"/>
        <v/>
      </c>
      <c r="Z6" s="12" t="str">
        <f t="shared" si="4"/>
        <v/>
      </c>
      <c r="AA6" s="12" t="str">
        <f t="shared" si="4"/>
        <v/>
      </c>
      <c r="AC6" s="14" t="s">
        <v>48</v>
      </c>
      <c r="AG6" s="20" t="s">
        <v>121</v>
      </c>
      <c r="AH6" s="20" t="s">
        <v>122</v>
      </c>
      <c r="AI6" s="20" t="s">
        <v>200</v>
      </c>
      <c r="AJ6" s="7">
        <v>0.29791666666666666</v>
      </c>
      <c r="AK6" s="7">
        <v>0.29791666666666666</v>
      </c>
      <c r="AL6" s="20" t="s">
        <v>44</v>
      </c>
      <c r="AM6" s="20" t="str">
        <f>+TEXT(Carro1[[#This Row],[Column1]],"hh:mm")&amp;" | " &amp;TEXT(Carro1[[#This Row],[Hora Fim]],"hh:mm")</f>
        <v>07:09 | 07:09</v>
      </c>
      <c r="AN6" s="20">
        <f>INDEX($E$3:$AA$3,MATCH(Carro1[[#This Row],[Nó]],$E$1:$AA$1,0))</f>
        <v>1</v>
      </c>
      <c r="AO6" s="7">
        <f>+IF(AND(Carro1[[#This Row],[Nó]]=AI5,Carro1[[#This Row],[Nó]]=AI7),AO5,Carro1[[#This Row],[Hora Início]])</f>
        <v>0.29791666666666666</v>
      </c>
      <c r="AP6" s="20">
        <f t="shared" si="0"/>
        <v>2</v>
      </c>
      <c r="AQ6" s="20" cm="1">
        <f t="array" ref="AQ6">IFERROR(_xlfn.IFS(AP6=AP5,AQ5,AQ5="Ramo",1),AQ5+1)</f>
        <v>1</v>
      </c>
      <c r="AR6" s="20">
        <f t="shared" si="1"/>
        <v>0</v>
      </c>
      <c r="AS6" s="20" t="str">
        <f>IF(AND(Carro1[[#This Row],[Nó]]=AI7,Carro1[[#This Row],[Nó]]=AI8),"",AQ6&amp;"|"&amp;AN6)</f>
        <v>1|1</v>
      </c>
      <c r="AT6" s="20" t="str">
        <f>IF(Carro1[[#This Row],[Tipo]]&lt;&gt;"Deslocação",AQ6&amp;"|"&amp;AN6,"")</f>
        <v/>
      </c>
      <c r="AU6" s="20" t="str">
        <f>IF(Carro1[[#This Row],[Tipo]]="Início",AQ6&amp;"|"&amp;AN6,"")</f>
        <v/>
      </c>
      <c r="AZ6" s="20">
        <v>0</v>
      </c>
      <c r="BA6" s="20" t="s">
        <v>203</v>
      </c>
    </row>
    <row r="7" spans="2:53" ht="15.75" thickBot="1" x14ac:dyDescent="0.3">
      <c r="D7" s="44">
        <f>D6+1</f>
        <v>4</v>
      </c>
      <c r="E7" s="53" t="str">
        <f t="shared" ref="E7:AA7" si="5">IF(F$2=0,IFERROR(INDEX($AM:$AM,MATCH($D7&amp;"|"&amp;E$3,$AS:$AS,0)),""),IFERROR(INDEX($AR:$AR,MATCH($D7&amp;"|"&amp;E$3,$AS:$AS,0)),""))</f>
        <v>12:54 | 13:02</v>
      </c>
      <c r="F7" s="54" t="str">
        <f t="shared" si="5"/>
        <v/>
      </c>
      <c r="G7" s="54" t="str">
        <f t="shared" si="5"/>
        <v>13:04 | 13:04</v>
      </c>
      <c r="H7" s="54" t="str">
        <f t="shared" si="5"/>
        <v/>
      </c>
      <c r="I7" s="54" t="str">
        <f t="shared" si="5"/>
        <v>13:05 | 13:05</v>
      </c>
      <c r="J7" s="54" t="str">
        <f t="shared" si="5"/>
        <v/>
      </c>
      <c r="K7" s="54" t="str">
        <f t="shared" si="5"/>
        <v>13:08 | 13:08</v>
      </c>
      <c r="L7" s="54" t="str">
        <f t="shared" si="5"/>
        <v/>
      </c>
      <c r="M7" s="54" t="str">
        <f t="shared" si="5"/>
        <v>13:26 | 13:26</v>
      </c>
      <c r="N7" s="54" t="str">
        <f t="shared" si="5"/>
        <v/>
      </c>
      <c r="O7" s="54" t="str">
        <f t="shared" si="5"/>
        <v>13:29 | 13:29</v>
      </c>
      <c r="P7" s="54" t="str">
        <f t="shared" si="5"/>
        <v/>
      </c>
      <c r="Q7" s="54" t="str">
        <f t="shared" si="5"/>
        <v>13:33 | 13:33</v>
      </c>
      <c r="R7" s="54" t="str">
        <f t="shared" si="5"/>
        <v/>
      </c>
      <c r="S7" s="55" t="str">
        <f t="shared" si="5"/>
        <v>13:36 | 13:36</v>
      </c>
      <c r="T7" s="45" t="str">
        <f t="shared" si="5"/>
        <v/>
      </c>
      <c r="U7" s="12" t="str">
        <f t="shared" si="5"/>
        <v>13:52 | 13:52</v>
      </c>
      <c r="V7" s="12" t="str">
        <f t="shared" si="5"/>
        <v/>
      </c>
      <c r="W7" s="12" t="str">
        <f t="shared" si="5"/>
        <v>14:08 | 14:08</v>
      </c>
      <c r="X7" s="12" t="str">
        <f t="shared" si="5"/>
        <v/>
      </c>
      <c r="Y7" s="12" t="str">
        <f t="shared" si="5"/>
        <v/>
      </c>
      <c r="Z7" s="12" t="str">
        <f t="shared" si="5"/>
        <v/>
      </c>
      <c r="AA7" s="12" t="str">
        <f t="shared" si="5"/>
        <v/>
      </c>
      <c r="AC7" s="16" t="s">
        <v>45</v>
      </c>
      <c r="AG7" s="20" t="s">
        <v>121</v>
      </c>
      <c r="AH7" s="20" t="s">
        <v>121</v>
      </c>
      <c r="AI7" s="20" t="s">
        <v>203</v>
      </c>
      <c r="AJ7" s="7">
        <v>0.29930555555555555</v>
      </c>
      <c r="AK7" s="7">
        <v>0.29930555555555555</v>
      </c>
      <c r="AL7" s="20" t="s">
        <v>44</v>
      </c>
      <c r="AM7" s="20" t="str">
        <f>+TEXT(Carro1[[#This Row],[Column1]],"hh:mm")&amp;" | " &amp;TEXT(Carro1[[#This Row],[Hora Fim]],"hh:mm")</f>
        <v>07:11 | 07:11</v>
      </c>
      <c r="AN7" s="20">
        <f>INDEX($E$3:$AA$3,MATCH(Carro1[[#This Row],[Nó]],$E$1:$AA$1,0))</f>
        <v>0</v>
      </c>
      <c r="AO7" s="7">
        <f>+IF(AND(Carro1[[#This Row],[Nó]]=AI6,Carro1[[#This Row],[Nó]]=AI8),AO6,Carro1[[#This Row],[Hora Início]])</f>
        <v>0.29930555555555555</v>
      </c>
      <c r="AP7" s="20">
        <f t="shared" si="0"/>
        <v>2</v>
      </c>
      <c r="AQ7" s="20" cm="1">
        <f t="array" ref="AQ7">IFERROR(_xlfn.IFS(AP7=AP6,AQ6,AQ6="Ramo",1),AQ6+1)</f>
        <v>1</v>
      </c>
      <c r="AR7" s="20">
        <f t="shared" si="1"/>
        <v>0</v>
      </c>
      <c r="AS7" s="20" t="str">
        <f>IF(AND(Carro1[[#This Row],[Nó]]=AI8,Carro1[[#This Row],[Nó]]=AI9),"",AQ7&amp;"|"&amp;AN7)</f>
        <v/>
      </c>
      <c r="AT7" s="20" t="str">
        <f>IF(Carro1[[#This Row],[Tipo]]&lt;&gt;"Deslocação",AQ7&amp;"|"&amp;AN7,"")</f>
        <v/>
      </c>
      <c r="AU7" s="20" t="str">
        <f>IF(Carro1[[#This Row],[Tipo]]="Início",AQ7&amp;"|"&amp;AN7,"")</f>
        <v/>
      </c>
      <c r="AZ7" s="20">
        <v>5</v>
      </c>
      <c r="BA7" s="20" t="s">
        <v>215</v>
      </c>
    </row>
    <row r="8" spans="2:53" x14ac:dyDescent="0.25">
      <c r="D8" s="11">
        <f t="shared" ref="D8:D32" si="6">D7+1</f>
        <v>5</v>
      </c>
      <c r="E8" s="47" t="str">
        <f t="shared" ref="E8:AA8" si="7">IF(F$2=0,IFERROR(INDEX($AM:$AM,MATCH($D8&amp;"|"&amp;E$3,$AS:$AS,0)),""),IFERROR(INDEX($AR:$AR,MATCH($D8&amp;"|"&amp;E$3,$AS:$AS,0)),""))</f>
        <v>15:39 | 16:09</v>
      </c>
      <c r="F8" s="47" t="str">
        <f t="shared" si="7"/>
        <v/>
      </c>
      <c r="G8" s="47" t="str">
        <f t="shared" si="7"/>
        <v>15:37 | 15:37</v>
      </c>
      <c r="H8" s="47" t="str">
        <f t="shared" si="7"/>
        <v/>
      </c>
      <c r="I8" s="47" t="str">
        <f t="shared" si="7"/>
        <v>15:36 | 15:36</v>
      </c>
      <c r="J8" s="47" t="str">
        <f t="shared" si="7"/>
        <v/>
      </c>
      <c r="K8" s="47" t="str">
        <f t="shared" si="7"/>
        <v>15:20 | 15:20</v>
      </c>
      <c r="L8" s="47" t="str">
        <f t="shared" si="7"/>
        <v/>
      </c>
      <c r="M8" s="47" t="str">
        <f t="shared" si="7"/>
        <v>14:30 | 15:00</v>
      </c>
      <c r="N8" s="47" t="str">
        <f t="shared" si="7"/>
        <v/>
      </c>
      <c r="O8" s="47" t="str">
        <f t="shared" si="7"/>
        <v>14:27 | 14:27</v>
      </c>
      <c r="P8" s="47" t="str">
        <f t="shared" si="7"/>
        <v/>
      </c>
      <c r="Q8" s="47" t="str">
        <f t="shared" si="7"/>
        <v>14:23 | 14:23</v>
      </c>
      <c r="R8" s="47" t="str">
        <f t="shared" si="7"/>
        <v/>
      </c>
      <c r="S8" s="47" t="str">
        <f t="shared" si="7"/>
        <v>14:20 | 14:20</v>
      </c>
      <c r="T8" s="12" t="str">
        <f t="shared" si="7"/>
        <v/>
      </c>
      <c r="U8" s="12" t="str">
        <f t="shared" si="7"/>
        <v>14:14 | 14:14</v>
      </c>
      <c r="V8" s="12" t="str">
        <f t="shared" si="7"/>
        <v/>
      </c>
      <c r="W8" s="12" t="str">
        <f t="shared" si="7"/>
        <v>14:08 | 14:08</v>
      </c>
      <c r="X8" s="12" t="str">
        <f t="shared" si="7"/>
        <v/>
      </c>
      <c r="Y8" s="12" t="str">
        <f t="shared" si="7"/>
        <v/>
      </c>
      <c r="Z8" s="12" t="str">
        <f t="shared" si="7"/>
        <v/>
      </c>
      <c r="AA8" s="12" t="str">
        <f t="shared" si="7"/>
        <v/>
      </c>
      <c r="AC8" s="40" t="s">
        <v>134</v>
      </c>
      <c r="AG8" s="20" t="s">
        <v>121</v>
      </c>
      <c r="AH8" s="20" t="s">
        <v>121</v>
      </c>
      <c r="AI8" s="20" t="s">
        <v>203</v>
      </c>
      <c r="AJ8" s="7">
        <v>0.29930555555555555</v>
      </c>
      <c r="AK8" s="7">
        <v>0.32013888888888886</v>
      </c>
      <c r="AL8" s="20" t="s">
        <v>45</v>
      </c>
      <c r="AM8" s="20" t="str">
        <f>+TEXT(Carro1[[#This Row],[Column1]],"hh:mm")&amp;" | " &amp;TEXT(Carro1[[#This Row],[Hora Fim]],"hh:mm")</f>
        <v>07:11 | 07:41</v>
      </c>
      <c r="AN8" s="20">
        <f>INDEX($E$3:$AA$3,MATCH(Carro1[[#This Row],[Nó]],$E$1:$AA$1,0))</f>
        <v>0</v>
      </c>
      <c r="AO8" s="7">
        <f>+IF(AND(Carro1[[#This Row],[Nó]]=AI7,Carro1[[#This Row],[Nó]]=AI9),AO7,Carro1[[#This Row],[Hora Início]])</f>
        <v>0.29930555555555555</v>
      </c>
      <c r="AP8" s="20">
        <f t="shared" si="0"/>
        <v>2</v>
      </c>
      <c r="AQ8" s="20" cm="1">
        <f t="array" ref="AQ8">IFERROR(_xlfn.IFS(AP8=AP7,AQ7,AQ7="Ramo",1),AQ7+1)</f>
        <v>1</v>
      </c>
      <c r="AR8" s="20">
        <f t="shared" si="1"/>
        <v>0</v>
      </c>
      <c r="AS8" s="20" t="str">
        <f>IF(AND(Carro1[[#This Row],[Nó]]=AI9,Carro1[[#This Row],[Nó]]=AI10),"",AQ8&amp;"|"&amp;AN8)</f>
        <v>1|0</v>
      </c>
      <c r="AT8" s="20" t="str">
        <f>IF(Carro1[[#This Row],[Tipo]]&lt;&gt;"Deslocação",AQ8&amp;"|"&amp;AN8,"")</f>
        <v>1|0</v>
      </c>
      <c r="AU8" s="20" t="str">
        <f>IF(Carro1[[#This Row],[Tipo]]="Início",AQ8&amp;"|"&amp;AN8,"")</f>
        <v/>
      </c>
      <c r="AZ8" s="20">
        <v>6</v>
      </c>
      <c r="BA8" s="20" t="s">
        <v>300</v>
      </c>
    </row>
    <row r="9" spans="2:53" x14ac:dyDescent="0.25">
      <c r="D9" s="11">
        <f t="shared" si="6"/>
        <v>6</v>
      </c>
      <c r="E9" s="12" t="str">
        <f t="shared" ref="E9:AA9" si="8">IF(F$2=0,IFERROR(INDEX($AM:$AM,MATCH($D9&amp;"|"&amp;E$3,$AS:$AS,0)),""),IFERROR(INDEX($AR:$AR,MATCH($D9&amp;"|"&amp;E$3,$AS:$AS,0)),""))</f>
        <v>16:09 | 16:09</v>
      </c>
      <c r="F9" s="12" t="str">
        <f t="shared" si="8"/>
        <v/>
      </c>
      <c r="G9" s="12" t="str">
        <f t="shared" si="8"/>
        <v>16:11 | 16:11</v>
      </c>
      <c r="H9" s="12" t="str">
        <f t="shared" si="8"/>
        <v/>
      </c>
      <c r="I9" s="12" t="str">
        <f t="shared" si="8"/>
        <v>16:16 | 16:16</v>
      </c>
      <c r="J9" s="12" t="str">
        <f t="shared" si="8"/>
        <v/>
      </c>
      <c r="K9" s="12" t="str">
        <f t="shared" si="8"/>
        <v>16:37 | 16:37</v>
      </c>
      <c r="L9" s="12" t="str">
        <f t="shared" si="8"/>
        <v/>
      </c>
      <c r="M9" s="12" t="str">
        <f t="shared" si="8"/>
        <v>16:55 | 16:55</v>
      </c>
      <c r="N9" s="12" t="str">
        <f t="shared" si="8"/>
        <v/>
      </c>
      <c r="O9" s="12" t="str">
        <f t="shared" si="8"/>
        <v>17:11 | 17:11</v>
      </c>
      <c r="P9" s="12" t="str">
        <f t="shared" si="8"/>
        <v/>
      </c>
      <c r="Q9" s="12" t="str">
        <f t="shared" si="8"/>
        <v>17:15 | 17:15</v>
      </c>
      <c r="R9" s="12" t="str">
        <f t="shared" si="8"/>
        <v/>
      </c>
      <c r="S9" s="12" t="str">
        <f t="shared" si="8"/>
        <v>17:18 | 17:18</v>
      </c>
      <c r="T9" s="12" t="str">
        <f t="shared" si="8"/>
        <v/>
      </c>
      <c r="U9" s="12" t="str">
        <f t="shared" si="8"/>
        <v>17:34 | 18:34</v>
      </c>
      <c r="V9" s="12" t="str">
        <f t="shared" si="8"/>
        <v/>
      </c>
      <c r="W9" s="12" t="str">
        <f t="shared" si="8"/>
        <v>18:50 | 18:50</v>
      </c>
      <c r="X9" s="12" t="str">
        <f t="shared" si="8"/>
        <v/>
      </c>
      <c r="Y9" s="12" t="str">
        <f t="shared" si="8"/>
        <v/>
      </c>
      <c r="Z9" s="12" t="str">
        <f t="shared" si="8"/>
        <v/>
      </c>
      <c r="AA9" s="12" t="str">
        <f t="shared" si="8"/>
        <v/>
      </c>
      <c r="AG9" s="20" t="s">
        <v>121</v>
      </c>
      <c r="AH9" s="20" t="s">
        <v>121</v>
      </c>
      <c r="AI9" s="20" t="s">
        <v>203</v>
      </c>
      <c r="AJ9" s="7">
        <v>0.32013888888888886</v>
      </c>
      <c r="AK9" s="7">
        <v>0.32013888888888886</v>
      </c>
      <c r="AL9" s="20" t="s">
        <v>44</v>
      </c>
      <c r="AM9" s="20" t="str">
        <f>+TEXT(Carro1[[#This Row],[Column1]],"hh:mm")&amp;" | " &amp;TEXT(Carro1[[#This Row],[Hora Fim]],"hh:mm")</f>
        <v>07:41 | 07:41</v>
      </c>
      <c r="AN9" s="20">
        <f>INDEX($E$3:$AA$3,MATCH(Carro1[[#This Row],[Nó]],$E$1:$AA$1,0))</f>
        <v>0</v>
      </c>
      <c r="AO9" s="7">
        <f>+IF(AND(Carro1[[#This Row],[Nó]]=AI8,Carro1[[#This Row],[Nó]]=AI10),AO8,Carro1[[#This Row],[Hora Início]])</f>
        <v>0.32013888888888886</v>
      </c>
      <c r="AP9" s="20">
        <f t="shared" si="0"/>
        <v>1</v>
      </c>
      <c r="AQ9" s="20" cm="1">
        <f t="array" ref="AQ9">IFERROR(_xlfn.IFS(AP9=AP8,AQ8,AQ8="Ramo",1),AQ8+1)</f>
        <v>2</v>
      </c>
      <c r="AR9" s="20">
        <f t="shared" si="1"/>
        <v>1</v>
      </c>
      <c r="AS9" s="20" t="str">
        <f>IF(AND(Carro1[[#This Row],[Nó]]=AI10,Carro1[[#This Row],[Nó]]=AI11),"",AQ9&amp;"|"&amp;AN9)</f>
        <v>2|0</v>
      </c>
      <c r="AT9" s="20" t="str">
        <f>IF(Carro1[[#This Row],[Tipo]]&lt;&gt;"Deslocação",AQ9&amp;"|"&amp;AN9,"")</f>
        <v/>
      </c>
      <c r="AU9" s="20" t="str">
        <f>IF(Carro1[[#This Row],[Tipo]]="Início",AQ9&amp;"|"&amp;AN9,"")</f>
        <v/>
      </c>
      <c r="AZ9" s="20">
        <v>7</v>
      </c>
      <c r="BA9" s="20" t="s">
        <v>301</v>
      </c>
    </row>
    <row r="10" spans="2:53" x14ac:dyDescent="0.25">
      <c r="D10" s="11">
        <f t="shared" si="6"/>
        <v>7</v>
      </c>
      <c r="E10" s="12" t="str">
        <f t="shared" ref="E10:AA10" si="9">IF(F$2=0,IFERROR(INDEX($AM:$AM,MATCH($D10&amp;"|"&amp;E$3,$AS:$AS,0)),""),IFERROR(INDEX($AR:$AR,MATCH($D10&amp;"|"&amp;E$3,$AS:$AS,0)),""))</f>
        <v>20:08 | 20:38</v>
      </c>
      <c r="F10" s="12" t="str">
        <f t="shared" si="9"/>
        <v/>
      </c>
      <c r="G10" s="12" t="str">
        <f t="shared" si="9"/>
        <v>20:02 | 20:02</v>
      </c>
      <c r="H10" s="12" t="str">
        <f t="shared" si="9"/>
        <v/>
      </c>
      <c r="I10" s="12" t="str">
        <f t="shared" si="9"/>
        <v>19:43 | 19:43</v>
      </c>
      <c r="J10" s="12" t="str">
        <f t="shared" si="9"/>
        <v/>
      </c>
      <c r="K10" s="12" t="str">
        <f t="shared" si="9"/>
        <v>19:40 | 19:40</v>
      </c>
      <c r="L10" s="12" t="str">
        <f t="shared" si="9"/>
        <v/>
      </c>
      <c r="M10" s="12" t="str">
        <f t="shared" si="9"/>
        <v>19:22 | 19:22</v>
      </c>
      <c r="N10" s="12" t="str">
        <f t="shared" si="9"/>
        <v/>
      </c>
      <c r="O10" s="12" t="str">
        <f t="shared" si="9"/>
        <v>19:19 | 19:19</v>
      </c>
      <c r="P10" s="12" t="str">
        <f t="shared" si="9"/>
        <v/>
      </c>
      <c r="Q10" s="12" t="str">
        <f t="shared" si="9"/>
        <v>19:15 | 19:15</v>
      </c>
      <c r="R10" s="12" t="str">
        <f t="shared" si="9"/>
        <v/>
      </c>
      <c r="S10" s="12" t="str">
        <f t="shared" si="9"/>
        <v>19:12 | 19:12</v>
      </c>
      <c r="T10" s="12" t="str">
        <f t="shared" si="9"/>
        <v/>
      </c>
      <c r="U10" s="12" t="str">
        <f t="shared" si="9"/>
        <v>19:06 | 19:06</v>
      </c>
      <c r="V10" s="12" t="str">
        <f t="shared" si="9"/>
        <v/>
      </c>
      <c r="W10" s="12" t="str">
        <f t="shared" si="9"/>
        <v>18:50 | 19:00</v>
      </c>
      <c r="X10" s="12" t="str">
        <f t="shared" si="9"/>
        <v/>
      </c>
      <c r="Y10" s="12" t="str">
        <f t="shared" si="9"/>
        <v/>
      </c>
      <c r="Z10" s="12" t="str">
        <f t="shared" si="9"/>
        <v/>
      </c>
      <c r="AA10" s="12" t="str">
        <f t="shared" si="9"/>
        <v/>
      </c>
      <c r="AG10" s="20" t="s">
        <v>121</v>
      </c>
      <c r="AH10" s="20" t="s">
        <v>122</v>
      </c>
      <c r="AI10" s="20" t="s">
        <v>200</v>
      </c>
      <c r="AJ10" s="7">
        <v>0.3215277777777778</v>
      </c>
      <c r="AK10" s="7">
        <v>0.3215277777777778</v>
      </c>
      <c r="AL10" s="20" t="s">
        <v>44</v>
      </c>
      <c r="AM10" s="20" t="str">
        <f>+TEXT(Carro1[[#This Row],[Column1]],"hh:mm")&amp;" | " &amp;TEXT(Carro1[[#This Row],[Hora Fim]],"hh:mm")</f>
        <v>07:43 | 07:43</v>
      </c>
      <c r="AN10" s="20">
        <f>INDEX($E$3:$AA$3,MATCH(Carro1[[#This Row],[Nó]],$E$1:$AA$1,0))</f>
        <v>1</v>
      </c>
      <c r="AO10" s="7">
        <f>+IF(AND(Carro1[[#This Row],[Nó]]=AI9,Carro1[[#This Row],[Nó]]=AI11),AO9,Carro1[[#This Row],[Hora Início]])</f>
        <v>0.3215277777777778</v>
      </c>
      <c r="AP10" s="20">
        <f t="shared" si="0"/>
        <v>1</v>
      </c>
      <c r="AQ10" s="20" cm="1">
        <f t="array" ref="AQ10">IFERROR(_xlfn.IFS(AP10=AP9,AQ9,AQ9="Ramo",1),AQ9+1)</f>
        <v>2</v>
      </c>
      <c r="AR10" s="20">
        <f t="shared" si="1"/>
        <v>0</v>
      </c>
      <c r="AS10" s="20" t="str">
        <f>IF(AND(Carro1[[#This Row],[Nó]]=AI11,Carro1[[#This Row],[Nó]]=AI12),"",AQ10&amp;"|"&amp;AN10)</f>
        <v>2|1</v>
      </c>
      <c r="AT10" s="20" t="str">
        <f>IF(Carro1[[#This Row],[Tipo]]&lt;&gt;"Deslocação",AQ10&amp;"|"&amp;AN10,"")</f>
        <v/>
      </c>
      <c r="AU10" s="20" t="str">
        <f>IF(Carro1[[#This Row],[Tipo]]="Início",AQ10&amp;"|"&amp;AN10,"")</f>
        <v/>
      </c>
      <c r="AZ10" s="20">
        <v>8</v>
      </c>
      <c r="BA10" s="20" t="s">
        <v>302</v>
      </c>
    </row>
    <row r="11" spans="2:53" x14ac:dyDescent="0.25">
      <c r="D11" s="11">
        <f t="shared" si="6"/>
        <v>8</v>
      </c>
      <c r="E11" s="12" t="str">
        <f t="shared" ref="E11:AA11" si="10">IF(F$2=0,IFERROR(INDEX($AM:$AM,MATCH($D11&amp;"|"&amp;E$3,$AS:$AS,0)),""),IFERROR(INDEX($AR:$AR,MATCH($D11&amp;"|"&amp;E$3,$AS:$AS,0)),""))</f>
        <v>20:38 | 20:46</v>
      </c>
      <c r="F11" s="12" t="str">
        <f t="shared" si="10"/>
        <v/>
      </c>
      <c r="G11" s="12" t="str">
        <f t="shared" si="10"/>
        <v>20:48 | 20:48</v>
      </c>
      <c r="H11" s="12" t="str">
        <f t="shared" si="10"/>
        <v/>
      </c>
      <c r="I11" s="12" t="str">
        <f t="shared" si="10"/>
        <v>20:48 | 20:48</v>
      </c>
      <c r="J11" s="12" t="str">
        <f t="shared" si="10"/>
        <v/>
      </c>
      <c r="K11" s="12" t="str">
        <f t="shared" si="10"/>
        <v>20:52 | 20:52</v>
      </c>
      <c r="L11" s="12" t="str">
        <f t="shared" si="10"/>
        <v/>
      </c>
      <c r="M11" s="12" t="str">
        <f t="shared" si="10"/>
        <v>20:56 | 20:56</v>
      </c>
      <c r="N11" s="12" t="str">
        <f t="shared" si="10"/>
        <v/>
      </c>
      <c r="O11" s="12" t="str">
        <f t="shared" si="10"/>
        <v>21:00 | 21:00</v>
      </c>
      <c r="P11" s="12" t="str">
        <f t="shared" si="10"/>
        <v/>
      </c>
      <c r="Q11" s="12" t="str">
        <f t="shared" si="10"/>
        <v>21:04 | 21:04</v>
      </c>
      <c r="R11" s="12" t="str">
        <f t="shared" si="10"/>
        <v/>
      </c>
      <c r="S11" s="12" t="str">
        <f t="shared" si="10"/>
        <v>21:06 | 21:06</v>
      </c>
      <c r="T11" s="12" t="str">
        <f t="shared" si="10"/>
        <v/>
      </c>
      <c r="U11" s="12" t="str">
        <f t="shared" si="10"/>
        <v>21:12 | 21:12</v>
      </c>
      <c r="V11" s="12" t="str">
        <f t="shared" si="10"/>
        <v/>
      </c>
      <c r="W11" s="12" t="str">
        <f t="shared" si="10"/>
        <v>21:18 | 21:18</v>
      </c>
      <c r="X11" s="12" t="str">
        <f t="shared" si="10"/>
        <v/>
      </c>
      <c r="Y11" s="12" t="str">
        <f t="shared" si="10"/>
        <v/>
      </c>
      <c r="Z11" s="12" t="str">
        <f t="shared" si="10"/>
        <v/>
      </c>
      <c r="AA11" s="12" t="str">
        <f t="shared" si="10"/>
        <v/>
      </c>
      <c r="AG11" s="20" t="s">
        <v>121</v>
      </c>
      <c r="AH11" s="20" t="s">
        <v>122</v>
      </c>
      <c r="AI11" s="20" t="s">
        <v>200</v>
      </c>
      <c r="AJ11" s="7">
        <v>0.3215277777777778</v>
      </c>
      <c r="AK11" s="7">
        <v>0.32430555555555557</v>
      </c>
      <c r="AL11" s="20" t="s">
        <v>43</v>
      </c>
      <c r="AM11" s="20" t="str">
        <f>+TEXT(Carro1[[#This Row],[Column1]],"hh:mm")&amp;" | " &amp;TEXT(Carro1[[#This Row],[Hora Fim]],"hh:mm")</f>
        <v>07:43 | 07:47</v>
      </c>
      <c r="AN11" s="20">
        <f>INDEX($E$3:$AA$3,MATCH(Carro1[[#This Row],[Nó]],$E$1:$AA$1,0))</f>
        <v>1</v>
      </c>
      <c r="AO11" s="7">
        <f>+IF(AND(Carro1[[#This Row],[Nó]]=AI10,Carro1[[#This Row],[Nó]]=AI12),AO10,Carro1[[#This Row],[Hora Início]])</f>
        <v>0.3215277777777778</v>
      </c>
      <c r="AP11" s="20">
        <f t="shared" si="0"/>
        <v>1</v>
      </c>
      <c r="AQ11" s="20" cm="1">
        <f t="array" ref="AQ11">IFERROR(_xlfn.IFS(AP11=AP10,AQ10,AQ10="Ramo",1),AQ10+1)</f>
        <v>2</v>
      </c>
      <c r="AR11" s="20">
        <f t="shared" si="1"/>
        <v>0</v>
      </c>
      <c r="AS11" s="20" t="str">
        <f>IF(AND(Carro1[[#This Row],[Nó]]=AI12,Carro1[[#This Row],[Nó]]=AI13),"",AQ11&amp;"|"&amp;AN11)</f>
        <v>2|1</v>
      </c>
      <c r="AT11" s="20" t="str">
        <f>IF(Carro1[[#This Row],[Tipo]]&lt;&gt;"Deslocação",AQ11&amp;"|"&amp;AN11,"")</f>
        <v>2|1</v>
      </c>
      <c r="AU11" s="20" t="str">
        <f>IF(Carro1[[#This Row],[Tipo]]="Início",AQ11&amp;"|"&amp;AN11,"")</f>
        <v/>
      </c>
      <c r="AZ11" s="20">
        <v>9</v>
      </c>
      <c r="BA11" s="20" t="s">
        <v>303</v>
      </c>
    </row>
    <row r="12" spans="2:53" x14ac:dyDescent="0.25">
      <c r="D12" s="11">
        <f t="shared" si="6"/>
        <v>9</v>
      </c>
      <c r="E12" s="12" t="str">
        <f t="shared" ref="E12:AA12" si="11">IF(F$2=0,IFERROR(INDEX($AM:$AM,MATCH($D12&amp;"|"&amp;E$3,$AS:$AS,0)),""),IFERROR(INDEX($AR:$AR,MATCH($D12&amp;"|"&amp;E$3,$AS:$AS,0)),""))</f>
        <v>23:26 | 23:56</v>
      </c>
      <c r="F12" s="12" t="str">
        <f t="shared" si="11"/>
        <v/>
      </c>
      <c r="G12" s="12" t="str">
        <f t="shared" si="11"/>
        <v>23:24 | 23:24</v>
      </c>
      <c r="H12" s="12" t="str">
        <f t="shared" si="11"/>
        <v/>
      </c>
      <c r="I12" s="12" t="str">
        <f t="shared" si="11"/>
        <v>23:23 | 23:23</v>
      </c>
      <c r="J12" s="12" t="str">
        <f t="shared" si="11"/>
        <v/>
      </c>
      <c r="K12" s="12" t="str">
        <f t="shared" si="11"/>
        <v>23:20 | 23:20</v>
      </c>
      <c r="L12" s="12" t="str">
        <f t="shared" si="11"/>
        <v/>
      </c>
      <c r="M12" s="12" t="str">
        <f t="shared" si="11"/>
        <v>22:00 | 23:00</v>
      </c>
      <c r="N12" s="12" t="str">
        <f t="shared" si="11"/>
        <v/>
      </c>
      <c r="O12" s="12" t="str">
        <f t="shared" si="11"/>
        <v>21:58 | 21:58</v>
      </c>
      <c r="P12" s="12" t="str">
        <f t="shared" si="11"/>
        <v/>
      </c>
      <c r="Q12" s="12" t="str">
        <f t="shared" si="11"/>
        <v>21:54 | 21:54</v>
      </c>
      <c r="R12" s="12" t="str">
        <f t="shared" si="11"/>
        <v/>
      </c>
      <c r="S12" s="12" t="str">
        <f t="shared" si="11"/>
        <v>21:40 | 21:40</v>
      </c>
      <c r="T12" s="12" t="str">
        <f t="shared" si="11"/>
        <v/>
      </c>
      <c r="U12" s="12" t="str">
        <f t="shared" si="11"/>
        <v>21:24 | 21:24</v>
      </c>
      <c r="V12" s="12" t="str">
        <f t="shared" si="11"/>
        <v/>
      </c>
      <c r="W12" s="12" t="str">
        <f t="shared" si="11"/>
        <v>21:18 | 21:18</v>
      </c>
      <c r="X12" s="12" t="str">
        <f t="shared" si="11"/>
        <v/>
      </c>
      <c r="Y12" s="12" t="str">
        <f t="shared" si="11"/>
        <v/>
      </c>
      <c r="Z12" s="12" t="str">
        <f t="shared" si="11"/>
        <v/>
      </c>
      <c r="AA12" s="12" t="str">
        <f t="shared" si="11"/>
        <v/>
      </c>
      <c r="AG12" s="20" t="s">
        <v>121</v>
      </c>
      <c r="AH12" s="20" t="s">
        <v>123</v>
      </c>
      <c r="AI12" s="20" t="s">
        <v>228</v>
      </c>
      <c r="AJ12" s="7">
        <v>0.32500000000000001</v>
      </c>
      <c r="AK12" s="7">
        <v>0.32500000000000001</v>
      </c>
      <c r="AL12" s="20" t="s">
        <v>44</v>
      </c>
      <c r="AM12" s="20" t="str">
        <f>+TEXT(Carro1[[#This Row],[Column1]],"hh:mm")&amp;" | " &amp;TEXT(Carro1[[#This Row],[Hora Fim]],"hh:mm")</f>
        <v>07:48 | 07:48</v>
      </c>
      <c r="AN12" s="20">
        <f>INDEX($E$3:$AA$3,MATCH(Carro1[[#This Row],[Nó]],$E$1:$AA$1,0))</f>
        <v>2</v>
      </c>
      <c r="AO12" s="7">
        <f>+IF(AND(Carro1[[#This Row],[Nó]]=AI11,Carro1[[#This Row],[Nó]]=AI13),AO11,Carro1[[#This Row],[Hora Início]])</f>
        <v>0.32500000000000001</v>
      </c>
      <c r="AP12" s="20">
        <f t="shared" si="0"/>
        <v>1</v>
      </c>
      <c r="AQ12" s="20" cm="1">
        <f t="array" ref="AQ12">IFERROR(_xlfn.IFS(AP12=AP11,AQ11,AQ11="Ramo",1),AQ11+1)</f>
        <v>2</v>
      </c>
      <c r="AR12" s="20">
        <f t="shared" si="1"/>
        <v>0</v>
      </c>
      <c r="AS12" s="20" t="str">
        <f>IF(AND(Carro1[[#This Row],[Nó]]=AI13,Carro1[[#This Row],[Nó]]=AI14),"",AQ12&amp;"|"&amp;AN12)</f>
        <v>2|2</v>
      </c>
      <c r="AT12" s="20" t="str">
        <f>IF(Carro1[[#This Row],[Tipo]]&lt;&gt;"Deslocação",AQ12&amp;"|"&amp;AN12,"")</f>
        <v/>
      </c>
      <c r="AU12" s="20" t="str">
        <f>IF(Carro1[[#This Row],[Tipo]]="Início",AQ12&amp;"|"&amp;AN12,"")</f>
        <v/>
      </c>
    </row>
    <row r="13" spans="2:53" x14ac:dyDescent="0.25">
      <c r="D13" s="11">
        <f t="shared" si="6"/>
        <v>10</v>
      </c>
      <c r="E13" s="12" t="str">
        <f t="shared" ref="E13:AA13" si="12">IF(F$2=0,IFERROR(INDEX($AM:$AM,MATCH($D13&amp;"|"&amp;E$3,$AS:$AS,0)),""),IFERROR(INDEX($AR:$AR,MATCH($D13&amp;"|"&amp;E$3,$AS:$AS,0)),""))</f>
        <v>23:56 | 23:56</v>
      </c>
      <c r="F13" s="12" t="str">
        <f t="shared" si="12"/>
        <v/>
      </c>
      <c r="G13" s="12" t="str">
        <f t="shared" si="12"/>
        <v>23:58 | 23:58</v>
      </c>
      <c r="H13" s="12" t="str">
        <f t="shared" si="12"/>
        <v/>
      </c>
      <c r="I13" s="12" t="str">
        <f t="shared" si="12"/>
        <v>00:03 | 00:03</v>
      </c>
      <c r="J13" s="12" t="str">
        <f t="shared" si="12"/>
        <v/>
      </c>
      <c r="K13" s="12" t="str">
        <f t="shared" si="12"/>
        <v>00:24 | 00:24</v>
      </c>
      <c r="L13" s="12" t="str">
        <f t="shared" si="12"/>
        <v/>
      </c>
      <c r="M13" s="12" t="str">
        <f t="shared" si="12"/>
        <v>00:29 | 00:29</v>
      </c>
      <c r="N13" s="12" t="str">
        <f t="shared" si="12"/>
        <v/>
      </c>
      <c r="O13" s="12" t="str">
        <f t="shared" si="12"/>
        <v>00:45 | 00:45</v>
      </c>
      <c r="P13" s="12" t="str">
        <f t="shared" si="12"/>
        <v/>
      </c>
      <c r="Q13" s="12" t="str">
        <f t="shared" si="12"/>
        <v>00:49 | 00:49</v>
      </c>
      <c r="R13" s="12" t="str">
        <f t="shared" si="12"/>
        <v/>
      </c>
      <c r="S13" s="12" t="str">
        <f t="shared" si="12"/>
        <v>00:52 | 00:52</v>
      </c>
      <c r="T13" s="12" t="str">
        <f t="shared" si="12"/>
        <v/>
      </c>
      <c r="U13" s="12" t="str">
        <f t="shared" si="12"/>
        <v>00:58 | 00:58</v>
      </c>
      <c r="V13" s="12" t="str">
        <f t="shared" si="12"/>
        <v/>
      </c>
      <c r="W13" s="12" t="str">
        <f t="shared" si="12"/>
        <v>01:14 | 01:14</v>
      </c>
      <c r="X13" s="12" t="str">
        <f t="shared" si="12"/>
        <v/>
      </c>
      <c r="Y13" s="12" t="str">
        <f t="shared" si="12"/>
        <v/>
      </c>
      <c r="Z13" s="12" t="str">
        <f t="shared" si="12"/>
        <v/>
      </c>
      <c r="AA13" s="12" t="str">
        <f t="shared" si="12"/>
        <v/>
      </c>
      <c r="AG13" s="20" t="s">
        <v>121</v>
      </c>
      <c r="AH13" s="20" t="s">
        <v>123</v>
      </c>
      <c r="AI13" s="20" t="s">
        <v>228</v>
      </c>
      <c r="AJ13" s="7">
        <v>0.32500000000000001</v>
      </c>
      <c r="AK13" s="7">
        <v>0.33750000000000002</v>
      </c>
      <c r="AL13" s="20" t="s">
        <v>43</v>
      </c>
      <c r="AM13" s="20" t="str">
        <f>+TEXT(Carro1[[#This Row],[Column1]],"hh:mm")&amp;" | " &amp;TEXT(Carro1[[#This Row],[Hora Fim]],"hh:mm")</f>
        <v>07:48 | 08:06</v>
      </c>
      <c r="AN13" s="20">
        <f>INDEX($E$3:$AA$3,MATCH(Carro1[[#This Row],[Nó]],$E$1:$AA$1,0))</f>
        <v>2</v>
      </c>
      <c r="AO13" s="7">
        <f>+IF(AND(Carro1[[#This Row],[Nó]]=AI12,Carro1[[#This Row],[Nó]]=AI14),AO12,Carro1[[#This Row],[Hora Início]])</f>
        <v>0.32500000000000001</v>
      </c>
      <c r="AP13" s="20">
        <f t="shared" si="0"/>
        <v>1</v>
      </c>
      <c r="AQ13" s="20" cm="1">
        <f t="array" ref="AQ13">IFERROR(_xlfn.IFS(AP13=AP12,AQ12,AQ12="Ramo",1),AQ12+1)</f>
        <v>2</v>
      </c>
      <c r="AR13" s="20">
        <f t="shared" si="1"/>
        <v>0</v>
      </c>
      <c r="AS13" s="20" t="str">
        <f>IF(AND(Carro1[[#This Row],[Nó]]=AI14,Carro1[[#This Row],[Nó]]=AI15),"",AQ13&amp;"|"&amp;AN13)</f>
        <v>2|2</v>
      </c>
      <c r="AT13" s="20" t="str">
        <f>IF(Carro1[[#This Row],[Tipo]]&lt;&gt;"Deslocação",AQ13&amp;"|"&amp;AN13,"")</f>
        <v>2|2</v>
      </c>
      <c r="AU13" s="20" t="str">
        <f>IF(Carro1[[#This Row],[Tipo]]="Início",AQ13&amp;"|"&amp;AN13,"")</f>
        <v/>
      </c>
    </row>
    <row r="14" spans="2:53" x14ac:dyDescent="0.25">
      <c r="D14" s="11">
        <f t="shared" si="6"/>
        <v>11</v>
      </c>
      <c r="E14" s="12" t="str">
        <f t="shared" ref="E14:AA14" si="13">IF(F$2=0,IFERROR(INDEX($AM:$AM,MATCH($D14&amp;"|"&amp;E$3,$AS:$AS,0)),""),IFERROR(INDEX($AR:$AR,MATCH($D14&amp;"|"&amp;E$3,$AS:$AS,0)),""))</f>
        <v>03:55 | 04:54</v>
      </c>
      <c r="F14" s="12" t="str">
        <f t="shared" si="13"/>
        <v/>
      </c>
      <c r="G14" s="12" t="str">
        <f t="shared" si="13"/>
        <v>03:49 | 03:49</v>
      </c>
      <c r="H14" s="12" t="str">
        <f t="shared" si="13"/>
        <v/>
      </c>
      <c r="I14" s="12" t="str">
        <f t="shared" si="13"/>
        <v>03:30 | 03:30</v>
      </c>
      <c r="J14" s="12" t="str">
        <f t="shared" si="13"/>
        <v/>
      </c>
      <c r="K14" s="12" t="str">
        <f t="shared" si="13"/>
        <v>03:14 | 03:14</v>
      </c>
      <c r="L14" s="12" t="str">
        <f t="shared" si="13"/>
        <v/>
      </c>
      <c r="M14" s="12" t="str">
        <f t="shared" si="13"/>
        <v>02:56 | 02:56</v>
      </c>
      <c r="N14" s="12" t="str">
        <f t="shared" si="13"/>
        <v/>
      </c>
      <c r="O14" s="12" t="str">
        <f t="shared" si="13"/>
        <v>02:53 | 02:53</v>
      </c>
      <c r="P14" s="12" t="str">
        <f t="shared" si="13"/>
        <v/>
      </c>
      <c r="Q14" s="12" t="str">
        <f t="shared" si="13"/>
        <v>02:49 | 02:49</v>
      </c>
      <c r="R14" s="12" t="str">
        <f t="shared" si="13"/>
        <v/>
      </c>
      <c r="S14" s="12" t="str">
        <f t="shared" si="13"/>
        <v>02:36 | 02:36</v>
      </c>
      <c r="T14" s="12" t="str">
        <f t="shared" si="13"/>
        <v/>
      </c>
      <c r="U14" s="12" t="str">
        <f t="shared" si="13"/>
        <v>01:20 | 02:20</v>
      </c>
      <c r="V14" s="12" t="str">
        <f t="shared" si="13"/>
        <v/>
      </c>
      <c r="W14" s="12" t="str">
        <f t="shared" si="13"/>
        <v>01:14 | 01:14</v>
      </c>
      <c r="X14" s="12" t="str">
        <f t="shared" si="13"/>
        <v/>
      </c>
      <c r="Y14" s="12" t="str">
        <f t="shared" si="13"/>
        <v/>
      </c>
      <c r="Z14" s="12" t="str">
        <f t="shared" si="13"/>
        <v/>
      </c>
      <c r="AA14" s="12" t="str">
        <f t="shared" si="13"/>
        <v/>
      </c>
      <c r="AG14" s="20" t="s">
        <v>121</v>
      </c>
      <c r="AH14" s="20" t="s">
        <v>124</v>
      </c>
      <c r="AI14" s="20" t="s">
        <v>208</v>
      </c>
      <c r="AJ14" s="7">
        <v>0.33958333333333335</v>
      </c>
      <c r="AK14" s="7">
        <v>0.33958333333333335</v>
      </c>
      <c r="AL14" s="20" t="s">
        <v>44</v>
      </c>
      <c r="AM14" s="20" t="str">
        <f>+TEXT(Carro1[[#This Row],[Column1]],"hh:mm")&amp;" | " &amp;TEXT(Carro1[[#This Row],[Hora Fim]],"hh:mm")</f>
        <v>08:09 | 08:09</v>
      </c>
      <c r="AN14" s="20">
        <f>INDEX($E$3:$AA$3,MATCH(Carro1[[#This Row],[Nó]],$E$1:$AA$1,0))</f>
        <v>3</v>
      </c>
      <c r="AO14" s="7">
        <f>+IF(AND(Carro1[[#This Row],[Nó]]=AI13,Carro1[[#This Row],[Nó]]=AI15),AO13,Carro1[[#This Row],[Hora Início]])</f>
        <v>0.33958333333333335</v>
      </c>
      <c r="AP14" s="20">
        <f t="shared" si="0"/>
        <v>1</v>
      </c>
      <c r="AQ14" s="20" cm="1">
        <f t="array" ref="AQ14">IFERROR(_xlfn.IFS(AP14=AP13,AQ13,AQ13="Ramo",1),AQ13+1)</f>
        <v>2</v>
      </c>
      <c r="AR14" s="20">
        <f t="shared" si="1"/>
        <v>0</v>
      </c>
      <c r="AS14" s="20" t="str">
        <f>IF(AND(Carro1[[#This Row],[Nó]]=AI15,Carro1[[#This Row],[Nó]]=AI16),"",AQ14&amp;"|"&amp;AN14)</f>
        <v>2|3</v>
      </c>
      <c r="AT14" s="20" t="str">
        <f>IF(Carro1[[#This Row],[Tipo]]&lt;&gt;"Deslocação",AQ14&amp;"|"&amp;AN14,"")</f>
        <v/>
      </c>
      <c r="AU14" s="20" t="str">
        <f>IF(Carro1[[#This Row],[Tipo]]="Início",AQ14&amp;"|"&amp;AN14,"")</f>
        <v/>
      </c>
    </row>
    <row r="15" spans="2:53" x14ac:dyDescent="0.25">
      <c r="D15" s="11">
        <f t="shared" si="6"/>
        <v>12</v>
      </c>
      <c r="E15" s="12" t="str">
        <f t="shared" ref="E15:AA15" si="14">IF(F$2=0,IFERROR(INDEX($AM:$AM,MATCH($D15&amp;"|"&amp;E$3,$AS:$AS,0)),""),IFERROR(INDEX($AR:$AR,MATCH($D15&amp;"|"&amp;E$3,$AS:$AS,0)),""))</f>
        <v>04:54 | 05:02</v>
      </c>
      <c r="F15" s="12" t="str">
        <f t="shared" si="14"/>
        <v/>
      </c>
      <c r="G15" s="12" t="str">
        <f t="shared" si="14"/>
        <v>05:04 | 05:04</v>
      </c>
      <c r="H15" s="12" t="str">
        <f t="shared" si="14"/>
        <v/>
      </c>
      <c r="I15" s="12" t="str">
        <f t="shared" si="14"/>
        <v>05:05 | 05:05</v>
      </c>
      <c r="J15" s="12" t="str">
        <f t="shared" si="14"/>
        <v/>
      </c>
      <c r="K15" s="12" t="str">
        <f t="shared" si="14"/>
        <v>05:08 | 05:08</v>
      </c>
      <c r="L15" s="12" t="str">
        <f t="shared" si="14"/>
        <v/>
      </c>
      <c r="M15" s="12" t="str">
        <f t="shared" si="14"/>
        <v>05:26 | 05:26</v>
      </c>
      <c r="N15" s="12" t="str">
        <f t="shared" si="14"/>
        <v/>
      </c>
      <c r="O15" s="12" t="str">
        <f t="shared" si="14"/>
        <v>05:29 | 05:29</v>
      </c>
      <c r="P15" s="12" t="str">
        <f t="shared" si="14"/>
        <v/>
      </c>
      <c r="Q15" s="12" t="str">
        <f t="shared" si="14"/>
        <v>05:33 | 05:33</v>
      </c>
      <c r="R15" s="12" t="str">
        <f t="shared" si="14"/>
        <v/>
      </c>
      <c r="S15" s="12" t="str">
        <f t="shared" si="14"/>
        <v>05:36 | 05:36</v>
      </c>
      <c r="T15" s="12" t="str">
        <f t="shared" si="14"/>
        <v/>
      </c>
      <c r="U15" s="12" t="str">
        <f t="shared" si="14"/>
        <v>05:52 | 05:52</v>
      </c>
      <c r="V15" s="12" t="str">
        <f t="shared" si="14"/>
        <v/>
      </c>
      <c r="W15" s="12" t="str">
        <f t="shared" si="14"/>
        <v>05:58 | 05:58</v>
      </c>
      <c r="X15" s="12" t="str">
        <f t="shared" si="14"/>
        <v/>
      </c>
      <c r="Y15" s="12" t="str">
        <f t="shared" si="14"/>
        <v/>
      </c>
      <c r="Z15" s="12" t="str">
        <f t="shared" si="14"/>
        <v/>
      </c>
      <c r="AA15" s="12" t="str">
        <f t="shared" si="14"/>
        <v/>
      </c>
      <c r="AG15" s="20" t="s">
        <v>121</v>
      </c>
      <c r="AH15" s="20" t="s">
        <v>125</v>
      </c>
      <c r="AI15" s="20" t="s">
        <v>2</v>
      </c>
      <c r="AJ15" s="7">
        <v>0.34305555555555556</v>
      </c>
      <c r="AK15" s="7">
        <v>0.34305555555555556</v>
      </c>
      <c r="AL15" s="20" t="s">
        <v>44</v>
      </c>
      <c r="AM15" s="20" t="str">
        <f>+TEXT(Carro1[[#This Row],[Column1]],"hh:mm")&amp;" | " &amp;TEXT(Carro1[[#This Row],[Hora Fim]],"hh:mm")</f>
        <v>08:14 | 08:14</v>
      </c>
      <c r="AN15" s="20">
        <f>INDEX($E$3:$AA$3,MATCH(Carro1[[#This Row],[Nó]],$E$1:$AA$1,0))</f>
        <v>4</v>
      </c>
      <c r="AO15" s="7">
        <f>+IF(AND(Carro1[[#This Row],[Nó]]=AI14,Carro1[[#This Row],[Nó]]=AI16),AO14,Carro1[[#This Row],[Hora Início]])</f>
        <v>0.34305555555555556</v>
      </c>
      <c r="AP15" s="20">
        <f t="shared" si="0"/>
        <v>1</v>
      </c>
      <c r="AQ15" s="20" cm="1">
        <f t="array" ref="AQ15">IFERROR(_xlfn.IFS(AP15=AP14,AQ14,AQ14="Ramo",1),AQ14+1)</f>
        <v>2</v>
      </c>
      <c r="AR15" s="20">
        <f t="shared" si="1"/>
        <v>0</v>
      </c>
      <c r="AS15" s="20" t="str">
        <f>IF(AND(Carro1[[#This Row],[Nó]]=AI16,Carro1[[#This Row],[Nó]]=AI17),"",AQ15&amp;"|"&amp;AN15)</f>
        <v>2|4</v>
      </c>
      <c r="AT15" s="20" t="str">
        <f>IF(Carro1[[#This Row],[Tipo]]&lt;&gt;"Deslocação",AQ15&amp;"|"&amp;AN15,"")</f>
        <v/>
      </c>
      <c r="AU15" s="20" t="str">
        <f>IF(Carro1[[#This Row],[Tipo]]="Início",AQ15&amp;"|"&amp;AN15,"")</f>
        <v/>
      </c>
    </row>
    <row r="16" spans="2:53" x14ac:dyDescent="0.2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06:30 | 07:00</v>
      </c>
      <c r="N16" s="12" t="str">
        <f t="shared" si="15"/>
        <v/>
      </c>
      <c r="O16" s="12" t="str">
        <f t="shared" si="15"/>
        <v>06:27 | 06:27</v>
      </c>
      <c r="P16" s="12" t="str">
        <f t="shared" si="15"/>
        <v/>
      </c>
      <c r="Q16" s="12" t="str">
        <f t="shared" si="15"/>
        <v>06:23 | 06:23</v>
      </c>
      <c r="R16" s="12" t="str">
        <f t="shared" si="15"/>
        <v/>
      </c>
      <c r="S16" s="12" t="str">
        <f t="shared" si="15"/>
        <v>06:20 | 06:20</v>
      </c>
      <c r="T16" s="12" t="str">
        <f t="shared" si="15"/>
        <v/>
      </c>
      <c r="U16" s="12" t="str">
        <f t="shared" si="15"/>
        <v>06:14 | 06:14</v>
      </c>
      <c r="V16" s="12" t="str">
        <f t="shared" si="15"/>
        <v/>
      </c>
      <c r="W16" s="12" t="str">
        <f t="shared" si="15"/>
        <v>05:58 | 06:08</v>
      </c>
      <c r="X16" s="12" t="str">
        <f t="shared" si="15"/>
        <v/>
      </c>
      <c r="Y16" s="12" t="str">
        <f t="shared" si="15"/>
        <v/>
      </c>
      <c r="Z16" s="12" t="str">
        <f t="shared" si="15"/>
        <v/>
      </c>
      <c r="AA16" s="12" t="str">
        <f t="shared" si="15"/>
        <v/>
      </c>
      <c r="AG16" s="20" t="s">
        <v>121</v>
      </c>
      <c r="AH16" s="20" t="s">
        <v>125</v>
      </c>
      <c r="AI16" s="20" t="s">
        <v>2</v>
      </c>
      <c r="AJ16" s="7">
        <v>0.34305555555555556</v>
      </c>
      <c r="AK16" s="7">
        <v>0.35208333333333336</v>
      </c>
      <c r="AL16" s="20" t="s">
        <v>43</v>
      </c>
      <c r="AM16" s="20" t="str">
        <f>+TEXT(Carro1[[#This Row],[Column1]],"hh:mm")&amp;" | " &amp;TEXT(Carro1[[#This Row],[Hora Fim]],"hh:mm")</f>
        <v>08:14 | 08:27</v>
      </c>
      <c r="AN16" s="20">
        <f>INDEX($E$3:$AA$3,MATCH(Carro1[[#This Row],[Nó]],$E$1:$AA$1,0))</f>
        <v>4</v>
      </c>
      <c r="AO16" s="7">
        <f>+IF(AND(Carro1[[#This Row],[Nó]]=AI15,Carro1[[#This Row],[Nó]]=AI17),AO15,Carro1[[#This Row],[Hora Início]])</f>
        <v>0.34305555555555556</v>
      </c>
      <c r="AP16" s="20">
        <f t="shared" si="0"/>
        <v>1</v>
      </c>
      <c r="AQ16" s="20" cm="1">
        <f t="array" ref="AQ16">IFERROR(_xlfn.IFS(AP16=AP15,AQ15,AQ15="Ramo",1),AQ15+1)</f>
        <v>2</v>
      </c>
      <c r="AR16" s="20">
        <f t="shared" si="1"/>
        <v>0</v>
      </c>
      <c r="AS16" s="20" t="str">
        <f>IF(AND(Carro1[[#This Row],[Nó]]=AI17,Carro1[[#This Row],[Nó]]=AI18),"",AQ16&amp;"|"&amp;AN16)</f>
        <v>2|4</v>
      </c>
      <c r="AT16" s="20" t="str">
        <f>IF(Carro1[[#This Row],[Tipo]]&lt;&gt;"Deslocação",AQ16&amp;"|"&amp;AN16,"")</f>
        <v>2|4</v>
      </c>
      <c r="AU16" s="20" t="str">
        <f>IF(Carro1[[#This Row],[Tipo]]="Início",AQ16&amp;"|"&amp;AN16,"")</f>
        <v/>
      </c>
    </row>
    <row r="17" spans="4:47" x14ac:dyDescent="0.2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121</v>
      </c>
      <c r="AH17" s="20" t="s">
        <v>172</v>
      </c>
      <c r="AI17" s="20" t="s">
        <v>215</v>
      </c>
      <c r="AJ17" s="7">
        <v>0.35416666666666669</v>
      </c>
      <c r="AK17" s="7">
        <v>0.35416666666666669</v>
      </c>
      <c r="AL17" s="20" t="s">
        <v>44</v>
      </c>
      <c r="AM17" s="20" t="str">
        <f>+TEXT(Carro1[[#This Row],[Column1]],"hh:mm")&amp;" | " &amp;TEXT(Carro1[[#This Row],[Hora Fim]],"hh:mm")</f>
        <v>08:30 | 08:30</v>
      </c>
      <c r="AN17" s="20">
        <f>INDEX($E$3:$AA$3,MATCH(Carro1[[#This Row],[Nó]],$E$1:$AA$1,0))</f>
        <v>5</v>
      </c>
      <c r="AO17" s="7">
        <f>+IF(AND(Carro1[[#This Row],[Nó]]=AI16,Carro1[[#This Row],[Nó]]=AI18),AO16,Carro1[[#This Row],[Hora Início]])</f>
        <v>0.35416666666666669</v>
      </c>
      <c r="AP17" s="20">
        <f t="shared" si="0"/>
        <v>1</v>
      </c>
      <c r="AQ17" s="20" cm="1">
        <f t="array" ref="AQ17">IFERROR(_xlfn.IFS(AP17=AP16,AQ16,AQ16="Ramo",1),AQ16+1)</f>
        <v>2</v>
      </c>
      <c r="AR17" s="20">
        <f t="shared" si="1"/>
        <v>0</v>
      </c>
      <c r="AS17" s="20" t="str">
        <f>IF(AND(Carro1[[#This Row],[Nó]]=AI18,Carro1[[#This Row],[Nó]]=AI19),"",AQ17&amp;"|"&amp;AN17)</f>
        <v>2|5</v>
      </c>
      <c r="AT17" s="20" t="str">
        <f>IF(Carro1[[#This Row],[Tipo]]&lt;&gt;"Deslocação",AQ17&amp;"|"&amp;AN17,"")</f>
        <v/>
      </c>
      <c r="AU17" s="20" t="str">
        <f>IF(Carro1[[#This Row],[Tipo]]="Início",AQ17&amp;"|"&amp;AN17,"")</f>
        <v/>
      </c>
    </row>
    <row r="18" spans="4:47" x14ac:dyDescent="0.2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121</v>
      </c>
      <c r="AH18" s="20" t="s">
        <v>173</v>
      </c>
      <c r="AI18" s="20" t="s">
        <v>300</v>
      </c>
      <c r="AJ18" s="7">
        <v>0.35694444444444445</v>
      </c>
      <c r="AK18" s="7">
        <v>0.35694444444444445</v>
      </c>
      <c r="AL18" s="20" t="s">
        <v>44</v>
      </c>
      <c r="AM18" s="20" t="str">
        <f>+TEXT(Carro1[[#This Row],[Column1]],"hh:mm")&amp;" | " &amp;TEXT(Carro1[[#This Row],[Hora Fim]],"hh:mm")</f>
        <v>08:34 | 08:34</v>
      </c>
      <c r="AN18" s="20">
        <f>INDEX($E$3:$AA$3,MATCH(Carro1[[#This Row],[Nó]],$E$1:$AA$1,0))</f>
        <v>6</v>
      </c>
      <c r="AO18" s="7">
        <f>+IF(AND(Carro1[[#This Row],[Nó]]=AI17,Carro1[[#This Row],[Nó]]=AI19),AO17,Carro1[[#This Row],[Hora Início]])</f>
        <v>0.35694444444444445</v>
      </c>
      <c r="AP18" s="20">
        <f t="shared" si="0"/>
        <v>1</v>
      </c>
      <c r="AQ18" s="20" cm="1">
        <f t="array" ref="AQ18">IFERROR(_xlfn.IFS(AP18=AP17,AQ17,AQ17="Ramo",1),AQ17+1)</f>
        <v>2</v>
      </c>
      <c r="AR18" s="20">
        <f t="shared" si="1"/>
        <v>0</v>
      </c>
      <c r="AS18" s="20" t="str">
        <f>IF(AND(Carro1[[#This Row],[Nó]]=AI19,Carro1[[#This Row],[Nó]]=AI20),"",AQ18&amp;"|"&amp;AN18)</f>
        <v>2|6</v>
      </c>
      <c r="AT18" s="20" t="str">
        <f>IF(Carro1[[#This Row],[Tipo]]&lt;&gt;"Deslocação",AQ18&amp;"|"&amp;AN18,"")</f>
        <v/>
      </c>
      <c r="AU18" s="20" t="str">
        <f>IF(Carro1[[#This Row],[Tipo]]="Início",AQ18&amp;"|"&amp;AN18,"")</f>
        <v/>
      </c>
    </row>
    <row r="19" spans="4:47" x14ac:dyDescent="0.2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121</v>
      </c>
      <c r="AH19" s="20" t="s">
        <v>174</v>
      </c>
      <c r="AI19" s="20" t="s">
        <v>301</v>
      </c>
      <c r="AJ19" s="7">
        <v>0.35902777777777778</v>
      </c>
      <c r="AK19" s="7">
        <v>0.35902777777777778</v>
      </c>
      <c r="AL19" s="20" t="s">
        <v>44</v>
      </c>
      <c r="AM19" s="20" t="str">
        <f>+TEXT(Carro1[[#This Row],[Column1]],"hh:mm")&amp;" | " &amp;TEXT(Carro1[[#This Row],[Hora Fim]],"hh:mm")</f>
        <v>08:37 | 08:37</v>
      </c>
      <c r="AN19" s="20">
        <f>INDEX($E$3:$AA$3,MATCH(Carro1[[#This Row],[Nó]],$E$1:$AA$1,0))</f>
        <v>7</v>
      </c>
      <c r="AO19" s="7">
        <f>+IF(AND(Carro1[[#This Row],[Nó]]=AI18,Carro1[[#This Row],[Nó]]=AI20),AO18,Carro1[[#This Row],[Hora Início]])</f>
        <v>0.35902777777777778</v>
      </c>
      <c r="AP19" s="20">
        <f t="shared" si="0"/>
        <v>1</v>
      </c>
      <c r="AQ19" s="20" cm="1">
        <f t="array" ref="AQ19">IFERROR(_xlfn.IFS(AP19=AP18,AQ18,AQ18="Ramo",1),AQ18+1)</f>
        <v>2</v>
      </c>
      <c r="AR19" s="20">
        <f t="shared" si="1"/>
        <v>0</v>
      </c>
      <c r="AS19" s="20" t="str">
        <f>IF(AND(Carro1[[#This Row],[Nó]]=AI20,Carro1[[#This Row],[Nó]]=AI21),"",AQ19&amp;"|"&amp;AN19)</f>
        <v>2|7</v>
      </c>
      <c r="AT19" s="20" t="str">
        <f>IF(Carro1[[#This Row],[Tipo]]&lt;&gt;"Deslocação",AQ19&amp;"|"&amp;AN19,"")</f>
        <v/>
      </c>
      <c r="AU19" s="20" t="str">
        <f>IF(Carro1[[#This Row],[Tipo]]="Início",AQ19&amp;"|"&amp;AN19,"")</f>
        <v/>
      </c>
    </row>
    <row r="20" spans="4:47" x14ac:dyDescent="0.2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121</v>
      </c>
      <c r="AH20" s="20" t="s">
        <v>240</v>
      </c>
      <c r="AI20" s="20" t="s">
        <v>302</v>
      </c>
      <c r="AJ20" s="7">
        <v>0.36319444444444443</v>
      </c>
      <c r="AK20" s="7">
        <v>0.36319444444444443</v>
      </c>
      <c r="AL20" s="20" t="s">
        <v>44</v>
      </c>
      <c r="AM20" s="20" t="str">
        <f>+TEXT(Carro1[[#This Row],[Column1]],"hh:mm")&amp;" | " &amp;TEXT(Carro1[[#This Row],[Hora Fim]],"hh:mm")</f>
        <v>08:43 | 08:43</v>
      </c>
      <c r="AN20" s="20">
        <f>INDEX($E$3:$AA$3,MATCH(Carro1[[#This Row],[Nó]],$E$1:$AA$1,0))</f>
        <v>8</v>
      </c>
      <c r="AO20" s="7">
        <f>+IF(AND(Carro1[[#This Row],[Nó]]=AI19,Carro1[[#This Row],[Nó]]=AI21),AO19,Carro1[[#This Row],[Hora Início]])</f>
        <v>0.36319444444444443</v>
      </c>
      <c r="AP20" s="20">
        <f t="shared" si="0"/>
        <v>1</v>
      </c>
      <c r="AQ20" s="20" cm="1">
        <f t="array" ref="AQ20">IFERROR(_xlfn.IFS(AP20=AP19,AQ19,AQ19="Ramo",1),AQ19+1)</f>
        <v>2</v>
      </c>
      <c r="AR20" s="20">
        <f t="shared" si="1"/>
        <v>0</v>
      </c>
      <c r="AS20" s="20" t="str">
        <f>IF(AND(Carro1[[#This Row],[Nó]]=AI21,Carro1[[#This Row],[Nó]]=AI22),"",AQ20&amp;"|"&amp;AN20)</f>
        <v>2|8</v>
      </c>
      <c r="AT20" s="20" t="str">
        <f>IF(Carro1[[#This Row],[Tipo]]&lt;&gt;"Deslocação",AQ20&amp;"|"&amp;AN20,"")</f>
        <v/>
      </c>
      <c r="AU20" s="20" t="str">
        <f>IF(Carro1[[#This Row],[Tipo]]="Início",AQ20&amp;"|"&amp;AN20,"")</f>
        <v/>
      </c>
    </row>
    <row r="21" spans="4:47" x14ac:dyDescent="0.2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121</v>
      </c>
      <c r="AH21" s="20" t="s">
        <v>256</v>
      </c>
      <c r="AI21" s="20" t="s">
        <v>303</v>
      </c>
      <c r="AJ21" s="7">
        <v>0.36736111111111114</v>
      </c>
      <c r="AK21" s="7">
        <v>0.36736111111111114</v>
      </c>
      <c r="AL21" s="20" t="s">
        <v>44</v>
      </c>
      <c r="AM21" s="20" t="str">
        <f>+TEXT(Carro1[[#This Row],[Column1]],"hh:mm")&amp;" | " &amp;TEXT(Carro1[[#This Row],[Hora Fim]],"hh:mm")</f>
        <v>08:49 | 08:49</v>
      </c>
      <c r="AN21" s="20">
        <f>INDEX($E$3:$AA$3,MATCH(Carro1[[#This Row],[Nó]],$E$1:$AA$1,0))</f>
        <v>9</v>
      </c>
      <c r="AO21" s="7">
        <f>+IF(AND(Carro1[[#This Row],[Nó]]=AI20,Carro1[[#This Row],[Nó]]=AI22),AO20,Carro1[[#This Row],[Hora Início]])</f>
        <v>0.36736111111111114</v>
      </c>
      <c r="AP21" s="20">
        <f t="shared" si="0"/>
        <v>1</v>
      </c>
      <c r="AQ21" s="20" cm="1">
        <f t="array" ref="AQ21">IFERROR(_xlfn.IFS(AP21=AP20,AQ20,AQ20="Ramo",1),AQ20+1)</f>
        <v>2</v>
      </c>
      <c r="AR21" s="20">
        <f t="shared" si="1"/>
        <v>0</v>
      </c>
      <c r="AS21" s="20" t="str">
        <f>IF(AND(Carro1[[#This Row],[Nó]]=AI22,Carro1[[#This Row],[Nó]]=AI23),"",AQ21&amp;"|"&amp;AN21)</f>
        <v/>
      </c>
      <c r="AT21" s="20" t="str">
        <f>IF(Carro1[[#This Row],[Tipo]]&lt;&gt;"Deslocação",AQ21&amp;"|"&amp;AN21,"")</f>
        <v/>
      </c>
      <c r="AU21" s="20" t="str">
        <f>IF(Carro1[[#This Row],[Tipo]]="Início",AQ21&amp;"|"&amp;AN21,"")</f>
        <v/>
      </c>
    </row>
    <row r="22" spans="4:47" x14ac:dyDescent="0.2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121</v>
      </c>
      <c r="AH22" s="20" t="s">
        <v>256</v>
      </c>
      <c r="AI22" s="20" t="s">
        <v>303</v>
      </c>
      <c r="AJ22" s="7">
        <v>0.36736111111111114</v>
      </c>
      <c r="AK22" s="7">
        <v>0.36736111111111114</v>
      </c>
      <c r="AL22" s="20" t="s">
        <v>44</v>
      </c>
      <c r="AM22" s="20" t="str">
        <f>+TEXT(Carro1[[#This Row],[Column1]],"hh:mm")&amp;" | " &amp;TEXT(Carro1[[#This Row],[Hora Fim]],"hh:mm")</f>
        <v>08:49 | 08:49</v>
      </c>
      <c r="AN22" s="20">
        <f>INDEX($E$3:$AA$3,MATCH(Carro1[[#This Row],[Nó]],$E$1:$AA$1,0))</f>
        <v>9</v>
      </c>
      <c r="AO22" s="7">
        <f>+IF(AND(Carro1[[#This Row],[Nó]]=AI21,Carro1[[#This Row],[Nó]]=AI23),AO21,Carro1[[#This Row],[Hora Início]])</f>
        <v>0.36736111111111114</v>
      </c>
      <c r="AP22" s="20">
        <f t="shared" si="0"/>
        <v>1</v>
      </c>
      <c r="AQ22" s="20" cm="1">
        <f t="array" ref="AQ22">IFERROR(_xlfn.IFS(AP22=AP21,AQ21,AQ21="Ramo",1),AQ21+1)</f>
        <v>2</v>
      </c>
      <c r="AR22" s="20">
        <f t="shared" si="1"/>
        <v>0</v>
      </c>
      <c r="AS22" s="20" t="str">
        <f>IF(AND(Carro1[[#This Row],[Nó]]=AI23,Carro1[[#This Row],[Nó]]=AI24),"",AQ22&amp;"|"&amp;AN22)</f>
        <v>2|9</v>
      </c>
      <c r="AT22" s="20" t="str">
        <f>IF(Carro1[[#This Row],[Tipo]]&lt;&gt;"Deslocação",AQ22&amp;"|"&amp;AN22,"")</f>
        <v/>
      </c>
      <c r="AU22" s="20" t="str">
        <f>IF(Carro1[[#This Row],[Tipo]]="Início",AQ22&amp;"|"&amp;AN22,"")</f>
        <v/>
      </c>
    </row>
    <row r="23" spans="4:47" x14ac:dyDescent="0.2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121</v>
      </c>
      <c r="AH23" s="20" t="s">
        <v>256</v>
      </c>
      <c r="AI23" s="20" t="s">
        <v>303</v>
      </c>
      <c r="AJ23" s="7">
        <v>0.36736111111111114</v>
      </c>
      <c r="AK23" s="7">
        <v>0.37430555555555556</v>
      </c>
      <c r="AL23" s="20" t="s">
        <v>43</v>
      </c>
      <c r="AM23" s="20" t="str">
        <f>+TEXT(Carro1[[#This Row],[Column1]],"hh:mm")&amp;" | " &amp;TEXT(Carro1[[#This Row],[Hora Fim]],"hh:mm")</f>
        <v>08:49 | 08:59</v>
      </c>
      <c r="AN23" s="20">
        <f>INDEX($E$3:$AA$3,MATCH(Carro1[[#This Row],[Nó]],$E$1:$AA$1,0))</f>
        <v>9</v>
      </c>
      <c r="AO23" s="7">
        <f>+IF(AND(Carro1[[#This Row],[Nó]]=AI22,Carro1[[#This Row],[Nó]]=AI24),AO22,Carro1[[#This Row],[Hora Início]])</f>
        <v>0.36736111111111114</v>
      </c>
      <c r="AP23" s="20">
        <f t="shared" si="0"/>
        <v>2</v>
      </c>
      <c r="AQ23" s="20" cm="1">
        <f t="array" ref="AQ23">IFERROR(_xlfn.IFS(AP23=AP22,AQ22,AQ22="Ramo",1),AQ22+1)</f>
        <v>3</v>
      </c>
      <c r="AR23" s="20">
        <f t="shared" si="1"/>
        <v>1</v>
      </c>
      <c r="AS23" s="20" t="str">
        <f>IF(AND(Carro1[[#This Row],[Nó]]=AI24,Carro1[[#This Row],[Nó]]=AI25),"",AQ23&amp;"|"&amp;AN23)</f>
        <v>3|9</v>
      </c>
      <c r="AT23" s="20" t="str">
        <f>IF(Carro1[[#This Row],[Tipo]]&lt;&gt;"Deslocação",AQ23&amp;"|"&amp;AN23,"")</f>
        <v>3|9</v>
      </c>
      <c r="AU23" s="20" t="str">
        <f>IF(Carro1[[#This Row],[Tipo]]="Início",AQ23&amp;"|"&amp;AN23,"")</f>
        <v/>
      </c>
    </row>
    <row r="24" spans="4:47" x14ac:dyDescent="0.2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121</v>
      </c>
      <c r="AH24" s="20" t="s">
        <v>240</v>
      </c>
      <c r="AI24" s="20" t="s">
        <v>302</v>
      </c>
      <c r="AJ24" s="7">
        <v>0.37847222222222221</v>
      </c>
      <c r="AK24" s="7">
        <v>0.37847222222222221</v>
      </c>
      <c r="AL24" s="20" t="s">
        <v>44</v>
      </c>
      <c r="AM24" s="20" t="str">
        <f>+TEXT(Carro1[[#This Row],[Column1]],"hh:mm")&amp;" | " &amp;TEXT(Carro1[[#This Row],[Hora Fim]],"hh:mm")</f>
        <v>09:05 | 09:05</v>
      </c>
      <c r="AN24" s="20">
        <f>INDEX($E$3:$AA$3,MATCH(Carro1[[#This Row],[Nó]],$E$1:$AA$1,0))</f>
        <v>8</v>
      </c>
      <c r="AO24" s="7">
        <f>+IF(AND(Carro1[[#This Row],[Nó]]=AI23,Carro1[[#This Row],[Nó]]=AI25),AO23,Carro1[[#This Row],[Hora Início]])</f>
        <v>0.37847222222222221</v>
      </c>
      <c r="AP24" s="20">
        <f t="shared" si="0"/>
        <v>2</v>
      </c>
      <c r="AQ24" s="20" cm="1">
        <f t="array" ref="AQ24">IFERROR(_xlfn.IFS(AP24=AP23,AQ23,AQ23="Ramo",1),AQ23+1)</f>
        <v>3</v>
      </c>
      <c r="AR24" s="20">
        <f t="shared" si="1"/>
        <v>0</v>
      </c>
      <c r="AS24" s="20" t="str">
        <f>IF(AND(Carro1[[#This Row],[Nó]]=AI25,Carro1[[#This Row],[Nó]]=AI26),"",AQ24&amp;"|"&amp;AN24)</f>
        <v>3|8</v>
      </c>
      <c r="AT24" s="20" t="str">
        <f>IF(Carro1[[#This Row],[Tipo]]&lt;&gt;"Deslocação",AQ24&amp;"|"&amp;AN24,"")</f>
        <v/>
      </c>
      <c r="AU24" s="20" t="str">
        <f>IF(Carro1[[#This Row],[Tipo]]="Início",AQ24&amp;"|"&amp;AN24,"")</f>
        <v/>
      </c>
    </row>
    <row r="25" spans="4:47" x14ac:dyDescent="0.2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121</v>
      </c>
      <c r="AH25" s="20" t="s">
        <v>240</v>
      </c>
      <c r="AI25" s="20" t="s">
        <v>302</v>
      </c>
      <c r="AJ25" s="7">
        <v>0.37847222222222221</v>
      </c>
      <c r="AK25" s="7">
        <v>0.38541666666666669</v>
      </c>
      <c r="AL25" s="20" t="s">
        <v>43</v>
      </c>
      <c r="AM25" s="20" t="str">
        <f>+TEXT(Carro1[[#This Row],[Column1]],"hh:mm")&amp;" | " &amp;TEXT(Carro1[[#This Row],[Hora Fim]],"hh:mm")</f>
        <v>09:05 | 09:15</v>
      </c>
      <c r="AN25" s="20">
        <f>INDEX($E$3:$AA$3,MATCH(Carro1[[#This Row],[Nó]],$E$1:$AA$1,0))</f>
        <v>8</v>
      </c>
      <c r="AO25" s="7">
        <f>+IF(AND(Carro1[[#This Row],[Nó]]=AI24,Carro1[[#This Row],[Nó]]=AI26),AO24,Carro1[[#This Row],[Hora Início]])</f>
        <v>0.37847222222222221</v>
      </c>
      <c r="AP25" s="20">
        <f t="shared" si="0"/>
        <v>2</v>
      </c>
      <c r="AQ25" s="20" cm="1">
        <f t="array" ref="AQ25">IFERROR(_xlfn.IFS(AP25=AP24,AQ24,AQ24="Ramo",1),AQ24+1)</f>
        <v>3</v>
      </c>
      <c r="AR25" s="20">
        <f t="shared" si="1"/>
        <v>0</v>
      </c>
      <c r="AS25" s="20" t="str">
        <f>IF(AND(Carro1[[#This Row],[Nó]]=AI26,Carro1[[#This Row],[Nó]]=AI27),"",AQ25&amp;"|"&amp;AN25)</f>
        <v>3|8</v>
      </c>
      <c r="AT25" s="20" t="str">
        <f>IF(Carro1[[#This Row],[Tipo]]&lt;&gt;"Deslocação",AQ25&amp;"|"&amp;AN25,"")</f>
        <v>3|8</v>
      </c>
      <c r="AU25" s="20" t="str">
        <f>IF(Carro1[[#This Row],[Tipo]]="Início",AQ25&amp;"|"&amp;AN25,"")</f>
        <v/>
      </c>
    </row>
    <row r="26" spans="4:47" x14ac:dyDescent="0.2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121</v>
      </c>
      <c r="AH26" s="20" t="s">
        <v>174</v>
      </c>
      <c r="AI26" s="20" t="s">
        <v>301</v>
      </c>
      <c r="AJ26" s="7">
        <v>0.38958333333333334</v>
      </c>
      <c r="AK26" s="7">
        <v>0.38958333333333334</v>
      </c>
      <c r="AL26" s="20" t="s">
        <v>44</v>
      </c>
      <c r="AM26" s="20" t="str">
        <f>+TEXT(Carro1[[#This Row],[Column1]],"hh:mm")&amp;" | " &amp;TEXT(Carro1[[#This Row],[Hora Fim]],"hh:mm")</f>
        <v>09:21 | 09:21</v>
      </c>
      <c r="AN26" s="20">
        <f>INDEX($E$3:$AA$3,MATCH(Carro1[[#This Row],[Nó]],$E$1:$AA$1,0))</f>
        <v>7</v>
      </c>
      <c r="AO26" s="7">
        <f>+IF(AND(Carro1[[#This Row],[Nó]]=AI25,Carro1[[#This Row],[Nó]]=AI27),AO25,Carro1[[#This Row],[Hora Início]])</f>
        <v>0.38958333333333334</v>
      </c>
      <c r="AP26" s="20">
        <f t="shared" si="0"/>
        <v>2</v>
      </c>
      <c r="AQ26" s="20" cm="1">
        <f t="array" ref="AQ26">IFERROR(_xlfn.IFS(AP26=AP25,AQ25,AQ25="Ramo",1),AQ25+1)</f>
        <v>3</v>
      </c>
      <c r="AR26" s="20">
        <f t="shared" si="1"/>
        <v>0</v>
      </c>
      <c r="AS26" s="20" t="str">
        <f>IF(AND(Carro1[[#This Row],[Nó]]=AI27,Carro1[[#This Row],[Nó]]=AI28),"",AQ26&amp;"|"&amp;AN26)</f>
        <v>3|7</v>
      </c>
      <c r="AT26" s="20" t="str">
        <f>IF(Carro1[[#This Row],[Tipo]]&lt;&gt;"Deslocação",AQ26&amp;"|"&amp;AN26,"")</f>
        <v/>
      </c>
      <c r="AU26" s="20" t="str">
        <f>IF(Carro1[[#This Row],[Tipo]]="Início",AQ26&amp;"|"&amp;AN26,"")</f>
        <v/>
      </c>
    </row>
    <row r="27" spans="4:47" x14ac:dyDescent="0.2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121</v>
      </c>
      <c r="AH27" s="20" t="s">
        <v>174</v>
      </c>
      <c r="AI27" s="20" t="s">
        <v>301</v>
      </c>
      <c r="AJ27" s="7">
        <v>0.38958333333333334</v>
      </c>
      <c r="AK27" s="7">
        <v>0.39652777777777776</v>
      </c>
      <c r="AL27" s="20" t="s">
        <v>43</v>
      </c>
      <c r="AM27" s="20" t="str">
        <f>+TEXT(Carro1[[#This Row],[Column1]],"hh:mm")&amp;" | " &amp;TEXT(Carro1[[#This Row],[Hora Fim]],"hh:mm")</f>
        <v>09:21 | 09:31</v>
      </c>
      <c r="AN27" s="20">
        <f>INDEX($E$3:$AA$3,MATCH(Carro1[[#This Row],[Nó]],$E$1:$AA$1,0))</f>
        <v>7</v>
      </c>
      <c r="AO27" s="7">
        <f>+IF(AND(Carro1[[#This Row],[Nó]]=AI26,Carro1[[#This Row],[Nó]]=AI28),AO26,Carro1[[#This Row],[Hora Início]])</f>
        <v>0.38958333333333334</v>
      </c>
      <c r="AP27" s="20">
        <f t="shared" si="0"/>
        <v>2</v>
      </c>
      <c r="AQ27" s="20" cm="1">
        <f t="array" ref="AQ27">IFERROR(_xlfn.IFS(AP27=AP26,AQ26,AQ26="Ramo",1),AQ26+1)</f>
        <v>3</v>
      </c>
      <c r="AR27" s="20">
        <f t="shared" si="1"/>
        <v>0</v>
      </c>
      <c r="AS27" s="20" t="str">
        <f>IF(AND(Carro1[[#This Row],[Nó]]=AI28,Carro1[[#This Row],[Nó]]=AI29),"",AQ27&amp;"|"&amp;AN27)</f>
        <v>3|7</v>
      </c>
      <c r="AT27" s="20" t="str">
        <f>IF(Carro1[[#This Row],[Tipo]]&lt;&gt;"Deslocação",AQ27&amp;"|"&amp;AN27,"")</f>
        <v>3|7</v>
      </c>
      <c r="AU27" s="20" t="str">
        <f>IF(Carro1[[#This Row],[Tipo]]="Início",AQ27&amp;"|"&amp;AN27,"")</f>
        <v/>
      </c>
    </row>
    <row r="28" spans="4:47" x14ac:dyDescent="0.2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121</v>
      </c>
      <c r="AH28" s="20" t="s">
        <v>173</v>
      </c>
      <c r="AI28" s="20" t="s">
        <v>300</v>
      </c>
      <c r="AJ28" s="7">
        <v>0.39861111111111114</v>
      </c>
      <c r="AK28" s="7">
        <v>0.39861111111111114</v>
      </c>
      <c r="AL28" s="20" t="s">
        <v>44</v>
      </c>
      <c r="AM28" s="20" t="str">
        <f>+TEXT(Carro1[[#This Row],[Column1]],"hh:mm")&amp;" | " &amp;TEXT(Carro1[[#This Row],[Hora Fim]],"hh:mm")</f>
        <v>09:34 | 09:34</v>
      </c>
      <c r="AN28" s="20">
        <f>INDEX($E$3:$AA$3,MATCH(Carro1[[#This Row],[Nó]],$E$1:$AA$1,0))</f>
        <v>6</v>
      </c>
      <c r="AO28" s="7">
        <f>+IF(AND(Carro1[[#This Row],[Nó]]=AI27,Carro1[[#This Row],[Nó]]=AI29),AO27,Carro1[[#This Row],[Hora Início]])</f>
        <v>0.39861111111111114</v>
      </c>
      <c r="AP28" s="20">
        <f t="shared" si="0"/>
        <v>2</v>
      </c>
      <c r="AQ28" s="20" cm="1">
        <f t="array" ref="AQ28">IFERROR(_xlfn.IFS(AP28=AP27,AQ27,AQ27="Ramo",1),AQ27+1)</f>
        <v>3</v>
      </c>
      <c r="AR28" s="20">
        <f t="shared" si="1"/>
        <v>0</v>
      </c>
      <c r="AS28" s="20" t="str">
        <f>IF(AND(Carro1[[#This Row],[Nó]]=AI29,Carro1[[#This Row],[Nó]]=AI30),"",AQ28&amp;"|"&amp;AN28)</f>
        <v>3|6</v>
      </c>
      <c r="AT28" s="20" t="str">
        <f>IF(Carro1[[#This Row],[Tipo]]&lt;&gt;"Deslocação",AQ28&amp;"|"&amp;AN28,"")</f>
        <v/>
      </c>
      <c r="AU28" s="20" t="str">
        <f>IF(Carro1[[#This Row],[Tipo]]="Início",AQ28&amp;"|"&amp;AN28,"")</f>
        <v/>
      </c>
    </row>
    <row r="29" spans="4:47" x14ac:dyDescent="0.2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121</v>
      </c>
      <c r="AH29" s="20" t="s">
        <v>172</v>
      </c>
      <c r="AI29" s="20" t="s">
        <v>215</v>
      </c>
      <c r="AJ29" s="7">
        <v>0.40138888888888891</v>
      </c>
      <c r="AK29" s="7">
        <v>0.40138888888888891</v>
      </c>
      <c r="AL29" s="20" t="s">
        <v>44</v>
      </c>
      <c r="AM29" s="20" t="str">
        <f>+TEXT(Carro1[[#This Row],[Column1]],"hh:mm")&amp;" | " &amp;TEXT(Carro1[[#This Row],[Hora Fim]],"hh:mm")</f>
        <v>09:38 | 09:38</v>
      </c>
      <c r="AN29" s="20">
        <f>INDEX($E$3:$AA$3,MATCH(Carro1[[#This Row],[Nó]],$E$1:$AA$1,0))</f>
        <v>5</v>
      </c>
      <c r="AO29" s="7">
        <f>+IF(AND(Carro1[[#This Row],[Nó]]=AI28,Carro1[[#This Row],[Nó]]=AI30),AO28,Carro1[[#This Row],[Hora Início]])</f>
        <v>0.40138888888888891</v>
      </c>
      <c r="AP29" s="20">
        <f t="shared" si="0"/>
        <v>2</v>
      </c>
      <c r="AQ29" s="20" cm="1">
        <f t="array" ref="AQ29">IFERROR(_xlfn.IFS(AP29=AP28,AQ28,AQ28="Ramo",1),AQ28+1)</f>
        <v>3</v>
      </c>
      <c r="AR29" s="20">
        <f t="shared" si="1"/>
        <v>0</v>
      </c>
      <c r="AS29" s="20" t="str">
        <f>IF(AND(Carro1[[#This Row],[Nó]]=AI30,Carro1[[#This Row],[Nó]]=AI31),"",AQ29&amp;"|"&amp;AN29)</f>
        <v>3|5</v>
      </c>
      <c r="AT29" s="20" t="str">
        <f>IF(Carro1[[#This Row],[Tipo]]&lt;&gt;"Deslocação",AQ29&amp;"|"&amp;AN29,"")</f>
        <v/>
      </c>
      <c r="AU29" s="20" t="str">
        <f>IF(Carro1[[#This Row],[Tipo]]="Início",AQ29&amp;"|"&amp;AN29,"")</f>
        <v/>
      </c>
    </row>
    <row r="30" spans="4:47" x14ac:dyDescent="0.2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121</v>
      </c>
      <c r="AH30" s="20" t="s">
        <v>125</v>
      </c>
      <c r="AI30" s="20" t="s">
        <v>2</v>
      </c>
      <c r="AJ30" s="7">
        <v>0.40347222222222223</v>
      </c>
      <c r="AK30" s="7">
        <v>0.40347222222222223</v>
      </c>
      <c r="AL30" s="20" t="s">
        <v>44</v>
      </c>
      <c r="AM30" s="20" t="str">
        <f>+TEXT(Carro1[[#This Row],[Column1]],"hh:mm")&amp;" | " &amp;TEXT(Carro1[[#This Row],[Hora Fim]],"hh:mm")</f>
        <v>09:41 | 09:41</v>
      </c>
      <c r="AN30" s="20">
        <f>INDEX($E$3:$AA$3,MATCH(Carro1[[#This Row],[Nó]],$E$1:$AA$1,0))</f>
        <v>4</v>
      </c>
      <c r="AO30" s="7">
        <f>+IF(AND(Carro1[[#This Row],[Nó]]=AI29,Carro1[[#This Row],[Nó]]=AI31),AO29,Carro1[[#This Row],[Hora Início]])</f>
        <v>0.40347222222222223</v>
      </c>
      <c r="AP30" s="20">
        <f t="shared" si="0"/>
        <v>2</v>
      </c>
      <c r="AQ30" s="20" cm="1">
        <f t="array" ref="AQ30">IFERROR(_xlfn.IFS(AP30=AP29,AQ29,AQ29="Ramo",1),AQ29+1)</f>
        <v>3</v>
      </c>
      <c r="AR30" s="20">
        <f t="shared" si="1"/>
        <v>0</v>
      </c>
      <c r="AS30" s="20" t="str">
        <f>IF(AND(Carro1[[#This Row],[Nó]]=AI31,Carro1[[#This Row],[Nó]]=AI32),"",AQ30&amp;"|"&amp;AN30)</f>
        <v/>
      </c>
      <c r="AT30" s="20" t="str">
        <f>IF(Carro1[[#This Row],[Tipo]]&lt;&gt;"Deslocação",AQ30&amp;"|"&amp;AN30,"")</f>
        <v/>
      </c>
      <c r="AU30" s="20" t="str">
        <f>IF(Carro1[[#This Row],[Tipo]]="Início",AQ30&amp;"|"&amp;AN30,"")</f>
        <v/>
      </c>
    </row>
    <row r="31" spans="4:47" x14ac:dyDescent="0.2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121</v>
      </c>
      <c r="AH31" s="20" t="s">
        <v>125</v>
      </c>
      <c r="AI31" s="20" t="s">
        <v>2</v>
      </c>
      <c r="AJ31" s="7">
        <v>0.40347222222222223</v>
      </c>
      <c r="AK31" s="7">
        <v>0.41388888888888886</v>
      </c>
      <c r="AL31" s="20" t="s">
        <v>47</v>
      </c>
      <c r="AM31" s="20" t="str">
        <f>+TEXT(Carro1[[#This Row],[Column1]],"hh:mm")&amp;" | " &amp;TEXT(Carro1[[#This Row],[Hora Fim]],"hh:mm")</f>
        <v>09:41 | 09:56</v>
      </c>
      <c r="AN31" s="20">
        <f>INDEX($E$3:$AA$3,MATCH(Carro1[[#This Row],[Nó]],$E$1:$AA$1,0))</f>
        <v>4</v>
      </c>
      <c r="AO31" s="7">
        <f>+IF(AND(Carro1[[#This Row],[Nó]]=AI30,Carro1[[#This Row],[Nó]]=AI32),AO30,Carro1[[#This Row],[Hora Início]])</f>
        <v>0.40347222222222223</v>
      </c>
      <c r="AP31" s="20">
        <f t="shared" si="0"/>
        <v>2</v>
      </c>
      <c r="AQ31" s="20" cm="1">
        <f t="array" ref="AQ31">IFERROR(_xlfn.IFS(AP31=AP30,AQ30,AQ30="Ramo",1),AQ30+1)</f>
        <v>3</v>
      </c>
      <c r="AR31" s="20">
        <f t="shared" si="1"/>
        <v>0</v>
      </c>
      <c r="AS31" s="20" t="str">
        <f>IF(AND(Carro1[[#This Row],[Nó]]=AI32,Carro1[[#This Row],[Nó]]=AI33),"",AQ31&amp;"|"&amp;AN31)</f>
        <v>3|4</v>
      </c>
      <c r="AT31" s="20" t="str">
        <f>IF(Carro1[[#This Row],[Tipo]]&lt;&gt;"Deslocação",AQ31&amp;"|"&amp;AN31,"")</f>
        <v>3|4</v>
      </c>
      <c r="AU31" s="20" t="str">
        <f>IF(Carro1[[#This Row],[Tipo]]="Início",AQ31&amp;"|"&amp;AN31,"")</f>
        <v/>
      </c>
    </row>
    <row r="32" spans="4:47" x14ac:dyDescent="0.2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121</v>
      </c>
      <c r="AH32" s="20" t="s">
        <v>125</v>
      </c>
      <c r="AI32" s="20" t="s">
        <v>2</v>
      </c>
      <c r="AJ32" s="7">
        <v>0.41388888888888886</v>
      </c>
      <c r="AK32" s="7">
        <v>0.42291666666666666</v>
      </c>
      <c r="AL32" s="20" t="s">
        <v>43</v>
      </c>
      <c r="AM32" s="20" t="str">
        <f>+TEXT(Carro1[[#This Row],[Column1]],"hh:mm")&amp;" | " &amp;TEXT(Carro1[[#This Row],[Hora Fim]],"hh:mm")</f>
        <v>09:56 | 10:09</v>
      </c>
      <c r="AN32" s="20">
        <f>INDEX($E$3:$AA$3,MATCH(Carro1[[#This Row],[Nó]],$E$1:$AA$1,0))</f>
        <v>4</v>
      </c>
      <c r="AO32" s="7">
        <f>+IF(AND(Carro1[[#This Row],[Nó]]=AI31,Carro1[[#This Row],[Nó]]=AI33),AO31,Carro1[[#This Row],[Hora Início]])</f>
        <v>0.41388888888888886</v>
      </c>
      <c r="AP32" s="20">
        <f t="shared" si="0"/>
        <v>2</v>
      </c>
      <c r="AQ32" s="20" cm="1">
        <f t="array" ref="AQ32">IFERROR(_xlfn.IFS(AP32=AP31,AQ31,AQ31="Ramo",1),AQ31+1)</f>
        <v>3</v>
      </c>
      <c r="AR32" s="20">
        <f t="shared" si="1"/>
        <v>0</v>
      </c>
      <c r="AS32" s="20" t="str">
        <f>IF(AND(Carro1[[#This Row],[Nó]]=AI33,Carro1[[#This Row],[Nó]]=AI34),"",AQ32&amp;"|"&amp;AN32)</f>
        <v>3|4</v>
      </c>
      <c r="AT32" s="20" t="str">
        <f>IF(Carro1[[#This Row],[Tipo]]&lt;&gt;"Deslocação",AQ32&amp;"|"&amp;AN32,"")</f>
        <v>3|4</v>
      </c>
      <c r="AU32" s="20" t="str">
        <f>IF(Carro1[[#This Row],[Tipo]]="Início",AQ32&amp;"|"&amp;AN32,"")</f>
        <v/>
      </c>
    </row>
    <row r="33" spans="5:47" x14ac:dyDescent="0.25">
      <c r="H33"/>
      <c r="I33"/>
      <c r="J33"/>
      <c r="K33"/>
      <c r="L33"/>
      <c r="M33"/>
      <c r="N33"/>
      <c r="O33"/>
      <c r="P33"/>
      <c r="Q33"/>
      <c r="R33"/>
      <c r="S33"/>
      <c r="T33"/>
      <c r="U33"/>
      <c r="V33"/>
      <c r="W33"/>
      <c r="X33"/>
      <c r="Y33"/>
      <c r="Z33"/>
      <c r="AA33"/>
      <c r="AG33" s="20" t="s">
        <v>121</v>
      </c>
      <c r="AH33" s="20" t="s">
        <v>124</v>
      </c>
      <c r="AI33" s="20" t="s">
        <v>208</v>
      </c>
      <c r="AJ33" s="7">
        <v>0.42638888888888887</v>
      </c>
      <c r="AK33" s="7">
        <v>0.42638888888888887</v>
      </c>
      <c r="AL33" s="20" t="s">
        <v>44</v>
      </c>
      <c r="AM33" s="20" t="str">
        <f>+TEXT(Carro1[[#This Row],[Column1]],"hh:mm")&amp;" | " &amp;TEXT(Carro1[[#This Row],[Hora Fim]],"hh:mm")</f>
        <v>10:14 | 10:14</v>
      </c>
      <c r="AN33" s="20">
        <f>INDEX($E$3:$AA$3,MATCH(Carro1[[#This Row],[Nó]],$E$1:$AA$1,0))</f>
        <v>3</v>
      </c>
      <c r="AO33" s="7">
        <f>+IF(AND(Carro1[[#This Row],[Nó]]=AI32,Carro1[[#This Row],[Nó]]=AI34),AO32,Carro1[[#This Row],[Hora Início]])</f>
        <v>0.42638888888888887</v>
      </c>
      <c r="AP33" s="20">
        <f t="shared" si="0"/>
        <v>2</v>
      </c>
      <c r="AQ33" s="20" cm="1">
        <f t="array" ref="AQ33">IFERROR(_xlfn.IFS(AP33=AP32,AQ32,AQ32="Ramo",1),AQ32+1)</f>
        <v>3</v>
      </c>
      <c r="AR33" s="20">
        <f t="shared" si="1"/>
        <v>0</v>
      </c>
      <c r="AS33" s="20" t="str">
        <f>IF(AND(Carro1[[#This Row],[Nó]]=AI34,Carro1[[#This Row],[Nó]]=AI35),"",AQ33&amp;"|"&amp;AN33)</f>
        <v/>
      </c>
      <c r="AT33" s="20" t="str">
        <f>IF(Carro1[[#This Row],[Tipo]]&lt;&gt;"Deslocação",AQ33&amp;"|"&amp;AN33,"")</f>
        <v/>
      </c>
      <c r="AU33" s="20" t="str">
        <f>IF(Carro1[[#This Row],[Tipo]]="Início",AQ33&amp;"|"&amp;AN33,"")</f>
        <v/>
      </c>
    </row>
    <row r="34" spans="5:47" x14ac:dyDescent="0.25">
      <c r="H34"/>
      <c r="I34"/>
      <c r="J34"/>
      <c r="K34"/>
      <c r="L34"/>
      <c r="M34"/>
      <c r="N34"/>
      <c r="O34"/>
      <c r="P34"/>
      <c r="Q34"/>
      <c r="R34"/>
      <c r="S34"/>
      <c r="T34"/>
      <c r="U34"/>
      <c r="V34"/>
      <c r="W34"/>
      <c r="X34"/>
      <c r="Y34"/>
      <c r="Z34"/>
      <c r="AA34"/>
      <c r="AG34" s="20" t="s">
        <v>121</v>
      </c>
      <c r="AH34" s="20" t="s">
        <v>124</v>
      </c>
      <c r="AI34" s="20" t="s">
        <v>208</v>
      </c>
      <c r="AJ34" s="7">
        <v>0.42638888888888887</v>
      </c>
      <c r="AK34" s="7">
        <v>0.46805555555555556</v>
      </c>
      <c r="AL34" s="20" t="s">
        <v>47</v>
      </c>
      <c r="AM34" s="20" t="str">
        <f>+TEXT(Carro1[[#This Row],[Column1]],"hh:mm")&amp;" | " &amp;TEXT(Carro1[[#This Row],[Hora Fim]],"hh:mm")</f>
        <v>10:14 | 11:14</v>
      </c>
      <c r="AN34" s="20">
        <f>INDEX($E$3:$AA$3,MATCH(Carro1[[#This Row],[Nó]],$E$1:$AA$1,0))</f>
        <v>3</v>
      </c>
      <c r="AO34" s="7">
        <f>+IF(AND(Carro1[[#This Row],[Nó]]=AI33,Carro1[[#This Row],[Nó]]=AI35),AO33,Carro1[[#This Row],[Hora Início]])</f>
        <v>0.42638888888888887</v>
      </c>
      <c r="AP34" s="20">
        <f t="shared" si="0"/>
        <v>2</v>
      </c>
      <c r="AQ34" s="20" cm="1">
        <f t="array" ref="AQ34">IFERROR(_xlfn.IFS(AP34=AP33,AQ33,AQ33="Ramo",1),AQ33+1)</f>
        <v>3</v>
      </c>
      <c r="AR34" s="20">
        <f t="shared" si="1"/>
        <v>0</v>
      </c>
      <c r="AS34" s="20" t="str">
        <f>IF(AND(Carro1[[#This Row],[Nó]]=AI35,Carro1[[#This Row],[Nó]]=AI36),"",AQ34&amp;"|"&amp;AN34)</f>
        <v>3|3</v>
      </c>
      <c r="AT34" s="20" t="str">
        <f>IF(Carro1[[#This Row],[Tipo]]&lt;&gt;"Deslocação",AQ34&amp;"|"&amp;AN34,"")</f>
        <v>3|3</v>
      </c>
      <c r="AU34" s="20" t="str">
        <f>IF(Carro1[[#This Row],[Tipo]]="Início",AQ34&amp;"|"&amp;AN34,"")</f>
        <v/>
      </c>
    </row>
    <row r="35" spans="5:47" x14ac:dyDescent="0.25">
      <c r="H35"/>
      <c r="I35"/>
      <c r="J35"/>
      <c r="K35"/>
      <c r="L35"/>
      <c r="M35"/>
      <c r="N35"/>
      <c r="O35"/>
      <c r="P35"/>
      <c r="Q35"/>
      <c r="R35"/>
      <c r="S35"/>
      <c r="T35"/>
      <c r="U35"/>
      <c r="V35"/>
      <c r="W35"/>
      <c r="X35"/>
      <c r="Y35"/>
      <c r="Z35"/>
      <c r="AA35"/>
      <c r="AG35" s="20" t="s">
        <v>121</v>
      </c>
      <c r="AH35" s="20" t="s">
        <v>124</v>
      </c>
      <c r="AI35" s="20" t="s">
        <v>208</v>
      </c>
      <c r="AJ35" s="7">
        <v>0.46805555555555556</v>
      </c>
      <c r="AK35" s="7">
        <v>0.47708333333333336</v>
      </c>
      <c r="AL35" s="20" t="s">
        <v>43</v>
      </c>
      <c r="AM35" s="20" t="str">
        <f>+TEXT(Carro1[[#This Row],[Column1]],"hh:mm")&amp;" | " &amp;TEXT(Carro1[[#This Row],[Hora Fim]],"hh:mm")</f>
        <v>11:14 | 11:27</v>
      </c>
      <c r="AN35" s="20">
        <f>INDEX($E$3:$AA$3,MATCH(Carro1[[#This Row],[Nó]],$E$1:$AA$1,0))</f>
        <v>3</v>
      </c>
      <c r="AO35" s="7">
        <f>+IF(AND(Carro1[[#This Row],[Nó]]=AI34,Carro1[[#This Row],[Nó]]=AI36),AO34,Carro1[[#This Row],[Hora Início]])</f>
        <v>0.46805555555555556</v>
      </c>
      <c r="AP35" s="20">
        <f t="shared" si="0"/>
        <v>2</v>
      </c>
      <c r="AQ35" s="20" cm="1">
        <f t="array" ref="AQ35">IFERROR(_xlfn.IFS(AP35=AP34,AQ34,AQ34="Ramo",1),AQ34+1)</f>
        <v>3</v>
      </c>
      <c r="AR35" s="20">
        <f t="shared" si="1"/>
        <v>0</v>
      </c>
      <c r="AS35" s="20" t="str">
        <f>IF(AND(Carro1[[#This Row],[Nó]]=AI36,Carro1[[#This Row],[Nó]]=AI37),"",AQ35&amp;"|"&amp;AN35)</f>
        <v>3|3</v>
      </c>
      <c r="AT35" s="20" t="str">
        <f>IF(Carro1[[#This Row],[Tipo]]&lt;&gt;"Deslocação",AQ35&amp;"|"&amp;AN35,"")</f>
        <v>3|3</v>
      </c>
      <c r="AU35" s="20" t="str">
        <f>IF(Carro1[[#This Row],[Tipo]]="Início",AQ35&amp;"|"&amp;AN35,"")</f>
        <v/>
      </c>
    </row>
    <row r="36" spans="5:47" x14ac:dyDescent="0.25">
      <c r="H36"/>
      <c r="I36"/>
      <c r="J36"/>
      <c r="K36"/>
      <c r="L36"/>
      <c r="M36"/>
      <c r="N36"/>
      <c r="O36"/>
      <c r="P36"/>
      <c r="Q36"/>
      <c r="R36"/>
      <c r="S36"/>
      <c r="T36"/>
      <c r="U36"/>
      <c r="V36"/>
      <c r="W36"/>
      <c r="X36"/>
      <c r="Y36"/>
      <c r="Z36"/>
      <c r="AA36"/>
      <c r="AG36" s="20" t="s">
        <v>121</v>
      </c>
      <c r="AH36" s="20" t="s">
        <v>123</v>
      </c>
      <c r="AI36" s="20" t="s">
        <v>228</v>
      </c>
      <c r="AJ36" s="7">
        <v>0.47916666666666669</v>
      </c>
      <c r="AK36" s="7">
        <v>0.47916666666666669</v>
      </c>
      <c r="AL36" s="20" t="s">
        <v>44</v>
      </c>
      <c r="AM36" s="20" t="str">
        <f>+TEXT(Carro1[[#This Row],[Column1]],"hh:mm")&amp;" | " &amp;TEXT(Carro1[[#This Row],[Hora Fim]],"hh:mm")</f>
        <v>11:30 | 11:30</v>
      </c>
      <c r="AN36" s="20">
        <f>INDEX($E$3:$AA$3,MATCH(Carro1[[#This Row],[Nó]],$E$1:$AA$1,0))</f>
        <v>2</v>
      </c>
      <c r="AO36" s="7">
        <f>+IF(AND(Carro1[[#This Row],[Nó]]=AI35,Carro1[[#This Row],[Nó]]=AI37),AO35,Carro1[[#This Row],[Hora Início]])</f>
        <v>0.47916666666666669</v>
      </c>
      <c r="AP36" s="20">
        <f t="shared" si="0"/>
        <v>2</v>
      </c>
      <c r="AQ36" s="20" cm="1">
        <f t="array" ref="AQ36">IFERROR(_xlfn.IFS(AP36=AP35,AQ35,AQ35="Ramo",1),AQ35+1)</f>
        <v>3</v>
      </c>
      <c r="AR36" s="20">
        <f t="shared" si="1"/>
        <v>0</v>
      </c>
      <c r="AS36" s="20" t="str">
        <f>IF(AND(Carro1[[#This Row],[Nó]]=AI37,Carro1[[#This Row],[Nó]]=AI38),"",AQ36&amp;"|"&amp;AN36)</f>
        <v>3|2</v>
      </c>
      <c r="AT36" s="20" t="str">
        <f>IF(Carro1[[#This Row],[Tipo]]&lt;&gt;"Deslocação",AQ36&amp;"|"&amp;AN36,"")</f>
        <v/>
      </c>
      <c r="AU36" s="20" t="str">
        <f>IF(Carro1[[#This Row],[Tipo]]="Início",AQ36&amp;"|"&amp;AN36,"")</f>
        <v/>
      </c>
    </row>
    <row r="37" spans="5:47" x14ac:dyDescent="0.25">
      <c r="H37"/>
      <c r="I37"/>
      <c r="J37"/>
      <c r="K37"/>
      <c r="L37"/>
      <c r="M37"/>
      <c r="N37"/>
      <c r="O37"/>
      <c r="P37"/>
      <c r="Q37"/>
      <c r="R37"/>
      <c r="S37"/>
      <c r="T37"/>
      <c r="U37"/>
      <c r="V37"/>
      <c r="W37"/>
      <c r="X37"/>
      <c r="Y37"/>
      <c r="Z37"/>
      <c r="AA37"/>
      <c r="AG37" s="20" t="s">
        <v>121</v>
      </c>
      <c r="AH37" s="20" t="s">
        <v>123</v>
      </c>
      <c r="AI37" s="20" t="s">
        <v>228</v>
      </c>
      <c r="AJ37" s="7">
        <v>0.47916666666666669</v>
      </c>
      <c r="AK37" s="7">
        <v>0.49166666666666664</v>
      </c>
      <c r="AL37" s="20" t="s">
        <v>43</v>
      </c>
      <c r="AM37" s="20" t="str">
        <f>+TEXT(Carro1[[#This Row],[Column1]],"hh:mm")&amp;" | " &amp;TEXT(Carro1[[#This Row],[Hora Fim]],"hh:mm")</f>
        <v>11:30 | 11:48</v>
      </c>
      <c r="AN37" s="20">
        <f>INDEX($E$3:$AA$3,MATCH(Carro1[[#This Row],[Nó]],$E$1:$AA$1,0))</f>
        <v>2</v>
      </c>
      <c r="AO37" s="7">
        <f>+IF(AND(Carro1[[#This Row],[Nó]]=AI36,Carro1[[#This Row],[Nó]]=AI38),AO36,Carro1[[#This Row],[Hora Início]])</f>
        <v>0.47916666666666669</v>
      </c>
      <c r="AP37" s="20">
        <f t="shared" si="0"/>
        <v>2</v>
      </c>
      <c r="AQ37" s="20" cm="1">
        <f t="array" ref="AQ37">IFERROR(_xlfn.IFS(AP37=AP36,AQ36,AQ36="Ramo",1),AQ36+1)</f>
        <v>3</v>
      </c>
      <c r="AR37" s="20">
        <f t="shared" si="1"/>
        <v>0</v>
      </c>
      <c r="AS37" s="20" t="str">
        <f>IF(AND(Carro1[[#This Row],[Nó]]=AI38,Carro1[[#This Row],[Nó]]=AI39),"",AQ37&amp;"|"&amp;AN37)</f>
        <v>3|2</v>
      </c>
      <c r="AT37" s="20" t="str">
        <f>IF(Carro1[[#This Row],[Tipo]]&lt;&gt;"Deslocação",AQ37&amp;"|"&amp;AN37,"")</f>
        <v>3|2</v>
      </c>
      <c r="AU37" s="20" t="str">
        <f>IF(Carro1[[#This Row],[Tipo]]="Início",AQ37&amp;"|"&amp;AN37,"")</f>
        <v/>
      </c>
    </row>
    <row r="38" spans="5:47" x14ac:dyDescent="0.25">
      <c r="H38"/>
      <c r="I38"/>
      <c r="J38"/>
      <c r="K38"/>
      <c r="L38"/>
      <c r="M38"/>
      <c r="N38"/>
      <c r="O38"/>
      <c r="P38"/>
      <c r="Q38"/>
      <c r="R38"/>
      <c r="S38"/>
      <c r="T38"/>
      <c r="U38"/>
      <c r="V38"/>
      <c r="W38"/>
      <c r="X38"/>
      <c r="Y38"/>
      <c r="Z38"/>
      <c r="AA38"/>
      <c r="AG38" s="20" t="s">
        <v>121</v>
      </c>
      <c r="AH38" s="20" t="s">
        <v>122</v>
      </c>
      <c r="AI38" s="20" t="s">
        <v>200</v>
      </c>
      <c r="AJ38" s="7">
        <v>0.49236111111111114</v>
      </c>
      <c r="AK38" s="7">
        <v>0.49236111111111114</v>
      </c>
      <c r="AL38" s="20" t="s">
        <v>44</v>
      </c>
      <c r="AM38" s="20" t="str">
        <f>+TEXT(Carro1[[#This Row],[Column1]],"hh:mm")&amp;" | " &amp;TEXT(Carro1[[#This Row],[Hora Fim]],"hh:mm")</f>
        <v>11:49 | 11:49</v>
      </c>
      <c r="AN38" s="20">
        <f>INDEX($E$3:$AA$3,MATCH(Carro1[[#This Row],[Nó]],$E$1:$AA$1,0))</f>
        <v>1</v>
      </c>
      <c r="AO38" s="7">
        <f>+IF(AND(Carro1[[#This Row],[Nó]]=AI37,Carro1[[#This Row],[Nó]]=AI39),AO37,Carro1[[#This Row],[Hora Início]])</f>
        <v>0.49236111111111114</v>
      </c>
      <c r="AP38" s="20">
        <f t="shared" si="0"/>
        <v>2</v>
      </c>
      <c r="AQ38" s="20" cm="1">
        <f t="array" ref="AQ38">IFERROR(_xlfn.IFS(AP38=AP37,AQ37,AQ37="Ramo",1),AQ37+1)</f>
        <v>3</v>
      </c>
      <c r="AR38" s="20">
        <f t="shared" si="1"/>
        <v>0</v>
      </c>
      <c r="AS38" s="20" t="str">
        <f>IF(AND(Carro1[[#This Row],[Nó]]=AI39,Carro1[[#This Row],[Nó]]=AI40),"",AQ38&amp;"|"&amp;AN38)</f>
        <v>3|1</v>
      </c>
      <c r="AT38" s="20" t="str">
        <f>IF(Carro1[[#This Row],[Tipo]]&lt;&gt;"Deslocação",AQ38&amp;"|"&amp;AN38,"")</f>
        <v/>
      </c>
      <c r="AU38" s="20" t="str">
        <f>IF(Carro1[[#This Row],[Tipo]]="Início",AQ38&amp;"|"&amp;AN38,"")</f>
        <v/>
      </c>
    </row>
    <row r="39" spans="5:47" x14ac:dyDescent="0.25">
      <c r="H39"/>
      <c r="I39"/>
      <c r="J39"/>
      <c r="K39"/>
      <c r="L39"/>
      <c r="M39"/>
      <c r="N39"/>
      <c r="O39"/>
      <c r="P39"/>
      <c r="Q39"/>
      <c r="R39"/>
      <c r="S39"/>
      <c r="T39"/>
      <c r="U39"/>
      <c r="V39"/>
      <c r="W39"/>
      <c r="X39"/>
      <c r="Y39"/>
      <c r="Z39"/>
      <c r="AA39"/>
      <c r="AG39" s="20" t="s">
        <v>121</v>
      </c>
      <c r="AH39" s="20" t="s">
        <v>122</v>
      </c>
      <c r="AI39" s="20" t="s">
        <v>200</v>
      </c>
      <c r="AJ39" s="7">
        <v>0.49236111111111114</v>
      </c>
      <c r="AK39" s="7">
        <v>0.49513888888888891</v>
      </c>
      <c r="AL39" s="20" t="s">
        <v>43</v>
      </c>
      <c r="AM39" s="20" t="str">
        <f>+TEXT(Carro1[[#This Row],[Column1]],"hh:mm")&amp;" | " &amp;TEXT(Carro1[[#This Row],[Hora Fim]],"hh:mm")</f>
        <v>11:49 | 11:53</v>
      </c>
      <c r="AN39" s="20">
        <f>INDEX($E$3:$AA$3,MATCH(Carro1[[#This Row],[Nó]],$E$1:$AA$1,0))</f>
        <v>1</v>
      </c>
      <c r="AO39" s="7">
        <f>+IF(AND(Carro1[[#This Row],[Nó]]=AI38,Carro1[[#This Row],[Nó]]=AI40),AO38,Carro1[[#This Row],[Hora Início]])</f>
        <v>0.49236111111111114</v>
      </c>
      <c r="AP39" s="20">
        <f t="shared" si="0"/>
        <v>2</v>
      </c>
      <c r="AQ39" s="20" cm="1">
        <f t="array" ref="AQ39">IFERROR(_xlfn.IFS(AP39=AP38,AQ38,AQ38="Ramo",1),AQ38+1)</f>
        <v>3</v>
      </c>
      <c r="AR39" s="20">
        <f t="shared" si="1"/>
        <v>0</v>
      </c>
      <c r="AS39" s="20" t="str">
        <f>IF(AND(Carro1[[#This Row],[Nó]]=AI40,Carro1[[#This Row],[Nó]]=AI41),"",AQ39&amp;"|"&amp;AN39)</f>
        <v>3|1</v>
      </c>
      <c r="AT39" s="20" t="str">
        <f>IF(Carro1[[#This Row],[Tipo]]&lt;&gt;"Deslocação",AQ39&amp;"|"&amp;AN39,"")</f>
        <v>3|1</v>
      </c>
      <c r="AU39" s="20" t="str">
        <f>IF(Carro1[[#This Row],[Tipo]]="Início",AQ39&amp;"|"&amp;AN39,"")</f>
        <v/>
      </c>
    </row>
    <row r="40" spans="5:47" x14ac:dyDescent="0.25">
      <c r="H40"/>
      <c r="I40"/>
      <c r="J40"/>
      <c r="K40"/>
      <c r="L40"/>
      <c r="M40"/>
      <c r="N40"/>
      <c r="O40"/>
      <c r="P40"/>
      <c r="Q40"/>
      <c r="R40"/>
      <c r="S40"/>
      <c r="T40"/>
      <c r="U40"/>
      <c r="V40"/>
      <c r="W40"/>
      <c r="X40"/>
      <c r="Y40"/>
      <c r="Z40"/>
      <c r="AA40"/>
      <c r="AG40" s="20" t="s">
        <v>121</v>
      </c>
      <c r="AH40" s="20" t="s">
        <v>121</v>
      </c>
      <c r="AI40" s="20" t="s">
        <v>203</v>
      </c>
      <c r="AJ40" s="7">
        <v>0.49652777777777779</v>
      </c>
      <c r="AK40" s="7">
        <v>0.49652777777777779</v>
      </c>
      <c r="AL40" s="20" t="s">
        <v>44</v>
      </c>
      <c r="AM40" s="20" t="str">
        <f>+TEXT(Carro1[[#This Row],[Column1]],"hh:mm")&amp;" | " &amp;TEXT(Carro1[[#This Row],[Hora Fim]],"hh:mm")</f>
        <v>11:55 | 11:55</v>
      </c>
      <c r="AN40" s="20">
        <f>INDEX($E$3:$AA$3,MATCH(Carro1[[#This Row],[Nó]],$E$1:$AA$1,0))</f>
        <v>0</v>
      </c>
      <c r="AO40" s="7">
        <f>+IF(AND(Carro1[[#This Row],[Nó]]=AI39,Carro1[[#This Row],[Nó]]=AI41),AO39,Carro1[[#This Row],[Hora Início]])</f>
        <v>0.49652777777777779</v>
      </c>
      <c r="AP40" s="20">
        <f t="shared" si="0"/>
        <v>2</v>
      </c>
      <c r="AQ40" s="20" cm="1">
        <f t="array" ref="AQ40">IFERROR(_xlfn.IFS(AP40=AP39,AQ39,AQ39="Ramo",1),AQ39+1)</f>
        <v>3</v>
      </c>
      <c r="AR40" s="20">
        <f t="shared" si="1"/>
        <v>0</v>
      </c>
      <c r="AS40" s="20" t="str">
        <f>IF(AND(Carro1[[#This Row],[Nó]]=AI41,Carro1[[#This Row],[Nó]]=AI42),"",AQ40&amp;"|"&amp;AN40)</f>
        <v/>
      </c>
      <c r="AT40" s="20" t="str">
        <f>IF(Carro1[[#This Row],[Tipo]]&lt;&gt;"Deslocação",AQ40&amp;"|"&amp;AN40,"")</f>
        <v/>
      </c>
      <c r="AU40" s="20" t="str">
        <f>IF(Carro1[[#This Row],[Tipo]]="Início",AQ40&amp;"|"&amp;AN40,"")</f>
        <v/>
      </c>
    </row>
    <row r="41" spans="5:47" x14ac:dyDescent="0.25">
      <c r="H41"/>
      <c r="I41"/>
      <c r="J41"/>
      <c r="K41"/>
      <c r="L41"/>
      <c r="M41"/>
      <c r="N41"/>
      <c r="O41"/>
      <c r="P41"/>
      <c r="Q41"/>
      <c r="R41"/>
      <c r="S41"/>
      <c r="T41"/>
      <c r="U41"/>
      <c r="V41"/>
      <c r="W41"/>
      <c r="X41"/>
      <c r="Y41"/>
      <c r="Z41"/>
      <c r="AA41"/>
      <c r="AG41" s="20" t="s">
        <v>121</v>
      </c>
      <c r="AH41" s="20" t="s">
        <v>121</v>
      </c>
      <c r="AI41" s="20" t="s">
        <v>203</v>
      </c>
      <c r="AJ41" s="7">
        <v>0.49652777777777779</v>
      </c>
      <c r="AK41" s="7">
        <v>0.51666666666666672</v>
      </c>
      <c r="AL41" s="20" t="s">
        <v>45</v>
      </c>
      <c r="AM41" s="20" t="str">
        <f>+TEXT(Carro1[[#This Row],[Column1]],"hh:mm")&amp;" | " &amp;TEXT(Carro1[[#This Row],[Hora Fim]],"hh:mm")</f>
        <v>11:55 | 12:24</v>
      </c>
      <c r="AN41" s="20">
        <f>INDEX($E$3:$AA$3,MATCH(Carro1[[#This Row],[Nó]],$E$1:$AA$1,0))</f>
        <v>0</v>
      </c>
      <c r="AO41" s="7">
        <f>+IF(AND(Carro1[[#This Row],[Nó]]=AI40,Carro1[[#This Row],[Nó]]=AI42),AO40,Carro1[[#This Row],[Hora Início]])</f>
        <v>0.49652777777777779</v>
      </c>
      <c r="AP41" s="20">
        <f t="shared" si="0"/>
        <v>2</v>
      </c>
      <c r="AQ41" s="20" cm="1">
        <f t="array" ref="AQ41">IFERROR(_xlfn.IFS(AP41=AP40,AQ40,AQ40="Ramo",1),AQ40+1)</f>
        <v>3</v>
      </c>
      <c r="AR41" s="20">
        <f t="shared" si="1"/>
        <v>0</v>
      </c>
      <c r="AS41" s="20" t="str">
        <f>IF(AND(Carro1[[#This Row],[Nó]]=AI42,Carro1[[#This Row],[Nó]]=AI43),"",AQ41&amp;"|"&amp;AN41)</f>
        <v/>
      </c>
      <c r="AT41" s="20" t="str">
        <f>IF(Carro1[[#This Row],[Tipo]]&lt;&gt;"Deslocação",AQ41&amp;"|"&amp;AN41,"")</f>
        <v>3|0</v>
      </c>
      <c r="AU41" s="20" t="str">
        <f>IF(Carro1[[#This Row],[Tipo]]="Início",AQ41&amp;"|"&amp;AN41,"")</f>
        <v/>
      </c>
    </row>
    <row r="42" spans="5:47" x14ac:dyDescent="0.25">
      <c r="H42"/>
      <c r="I42"/>
      <c r="J42"/>
      <c r="K42"/>
      <c r="L42"/>
      <c r="M42"/>
      <c r="N42"/>
      <c r="O42"/>
      <c r="P42"/>
      <c r="Q42"/>
      <c r="R42"/>
      <c r="S42"/>
      <c r="T42"/>
      <c r="U42"/>
      <c r="V42"/>
      <c r="W42"/>
      <c r="X42"/>
      <c r="Y42"/>
      <c r="Z42"/>
      <c r="AA42"/>
      <c r="AG42" s="20" t="s">
        <v>121</v>
      </c>
      <c r="AH42" s="20" t="s">
        <v>121</v>
      </c>
      <c r="AI42" s="20" t="s">
        <v>203</v>
      </c>
      <c r="AJ42" s="7">
        <v>0.51666666666666672</v>
      </c>
      <c r="AK42" s="7">
        <v>0.53749999999999998</v>
      </c>
      <c r="AL42" s="20" t="s">
        <v>45</v>
      </c>
      <c r="AM42" s="20" t="str">
        <f>+TEXT(Carro1[[#This Row],[Column1]],"hh:mm")&amp;" | " &amp;TEXT(Carro1[[#This Row],[Hora Fim]],"hh:mm")</f>
        <v>11:55 | 12:54</v>
      </c>
      <c r="AN42" s="20">
        <f>INDEX($E$3:$AA$3,MATCH(Carro1[[#This Row],[Nó]],$E$1:$AA$1,0))</f>
        <v>0</v>
      </c>
      <c r="AO42" s="7">
        <f>+IF(AND(Carro1[[#This Row],[Nó]]=AI41,Carro1[[#This Row],[Nó]]=AI43),AO41,Carro1[[#This Row],[Hora Início]])</f>
        <v>0.49652777777777779</v>
      </c>
      <c r="AP42" s="20">
        <f t="shared" si="0"/>
        <v>2</v>
      </c>
      <c r="AQ42" s="20" cm="1">
        <f t="array" ref="AQ42">IFERROR(_xlfn.IFS(AP42=AP41,AQ41,AQ41="Ramo",1),AQ41+1)</f>
        <v>3</v>
      </c>
      <c r="AR42" s="20">
        <f t="shared" si="1"/>
        <v>0</v>
      </c>
      <c r="AS42" s="20" t="str">
        <f>IF(AND(Carro1[[#This Row],[Nó]]=AI43,Carro1[[#This Row],[Nó]]=AI44),"",AQ42&amp;"|"&amp;AN42)</f>
        <v/>
      </c>
      <c r="AT42" s="20" t="str">
        <f>IF(Carro1[[#This Row],[Tipo]]&lt;&gt;"Deslocação",AQ42&amp;"|"&amp;AN42,"")</f>
        <v>3|0</v>
      </c>
      <c r="AU42" s="20" t="str">
        <f>IF(Carro1[[#This Row],[Tipo]]="Início",AQ42&amp;"|"&amp;AN42,"")</f>
        <v/>
      </c>
    </row>
    <row r="43" spans="5:47" x14ac:dyDescent="0.25">
      <c r="E43" s="7"/>
      <c r="H43"/>
      <c r="I43"/>
      <c r="J43"/>
      <c r="K43"/>
      <c r="L43"/>
      <c r="M43"/>
      <c r="N43"/>
      <c r="O43"/>
      <c r="P43"/>
      <c r="Q43"/>
      <c r="R43"/>
      <c r="S43"/>
      <c r="T43"/>
      <c r="U43"/>
      <c r="V43"/>
      <c r="W43"/>
      <c r="X43"/>
      <c r="Y43"/>
      <c r="Z43"/>
      <c r="AA43"/>
      <c r="AG43" s="20" t="s">
        <v>121</v>
      </c>
      <c r="AH43" s="20" t="s">
        <v>121</v>
      </c>
      <c r="AI43" s="20" t="s">
        <v>203</v>
      </c>
      <c r="AJ43" s="7">
        <v>0.53749999999999998</v>
      </c>
      <c r="AK43" s="7">
        <v>0.53749999999999998</v>
      </c>
      <c r="AL43" s="20" t="s">
        <v>44</v>
      </c>
      <c r="AM43" s="20" t="str">
        <f>+TEXT(Carro1[[#This Row],[Column1]],"hh:mm")&amp;" | " &amp;TEXT(Carro1[[#This Row],[Hora Fim]],"hh:mm")</f>
        <v>11:55 | 12:54</v>
      </c>
      <c r="AN43" s="20">
        <f>INDEX($E$3:$AA$3,MATCH(Carro1[[#This Row],[Nó]],$E$1:$AA$1,0))</f>
        <v>0</v>
      </c>
      <c r="AO43" s="7">
        <f>+IF(AND(Carro1[[#This Row],[Nó]]=AI42,Carro1[[#This Row],[Nó]]=AI44),AO42,Carro1[[#This Row],[Hora Início]])</f>
        <v>0.49652777777777779</v>
      </c>
      <c r="AP43" s="20">
        <f t="shared" si="0"/>
        <v>2</v>
      </c>
      <c r="AQ43" s="20" cm="1">
        <f t="array" ref="AQ43">IFERROR(_xlfn.IFS(AP43=AP42,AQ42,AQ42="Ramo",1),AQ42+1)</f>
        <v>3</v>
      </c>
      <c r="AR43" s="20">
        <f t="shared" si="1"/>
        <v>0</v>
      </c>
      <c r="AS43" s="20" t="str">
        <f>IF(AND(Carro1[[#This Row],[Nó]]=AI44,Carro1[[#This Row],[Nó]]=AI45),"",AQ43&amp;"|"&amp;AN43)</f>
        <v>3|0</v>
      </c>
      <c r="AT43" s="20" t="str">
        <f>IF(Carro1[[#This Row],[Tipo]]&lt;&gt;"Deslocação",AQ43&amp;"|"&amp;AN43,"")</f>
        <v/>
      </c>
      <c r="AU43" s="20" t="str">
        <f>IF(Carro1[[#This Row],[Tipo]]="Início",AQ43&amp;"|"&amp;AN43,"")</f>
        <v/>
      </c>
    </row>
    <row r="44" spans="5:47" x14ac:dyDescent="0.25">
      <c r="H44"/>
      <c r="I44"/>
      <c r="J44"/>
      <c r="K44"/>
      <c r="L44"/>
      <c r="M44"/>
      <c r="N44"/>
      <c r="O44"/>
      <c r="P44"/>
      <c r="Q44"/>
      <c r="R44"/>
      <c r="S44"/>
      <c r="T44"/>
      <c r="U44"/>
      <c r="V44"/>
      <c r="W44"/>
      <c r="X44"/>
      <c r="Y44"/>
      <c r="Z44"/>
      <c r="AA44"/>
      <c r="AG44" s="20" t="s">
        <v>121</v>
      </c>
      <c r="AH44" s="20" t="s">
        <v>121</v>
      </c>
      <c r="AI44" s="20" t="s">
        <v>203</v>
      </c>
      <c r="AJ44" s="7">
        <v>0.53749999999999998</v>
      </c>
      <c r="AK44" s="7">
        <v>0.54305555555555551</v>
      </c>
      <c r="AL44" s="20" t="s">
        <v>43</v>
      </c>
      <c r="AM44" s="20" t="str">
        <f>+TEXT(Carro1[[#This Row],[Column1]],"hh:mm")&amp;" | " &amp;TEXT(Carro1[[#This Row],[Hora Fim]],"hh:mm")</f>
        <v>12:54 | 13:02</v>
      </c>
      <c r="AN44" s="20">
        <f>INDEX($E$3:$AA$3,MATCH(Carro1[[#This Row],[Nó]],$E$1:$AA$1,0))</f>
        <v>0</v>
      </c>
      <c r="AO44" s="7">
        <f>+IF(AND(Carro1[[#This Row],[Nó]]=AI43,Carro1[[#This Row],[Nó]]=AI45),AO43,Carro1[[#This Row],[Hora Início]])</f>
        <v>0.53749999999999998</v>
      </c>
      <c r="AP44" s="20">
        <f t="shared" si="0"/>
        <v>1</v>
      </c>
      <c r="AQ44" s="20" cm="1">
        <f t="array" ref="AQ44">IFERROR(_xlfn.IFS(AP44=AP43,AQ43,AQ43="Ramo",1),AQ43+1)</f>
        <v>4</v>
      </c>
      <c r="AR44" s="20">
        <f t="shared" si="1"/>
        <v>1</v>
      </c>
      <c r="AS44" s="20" t="str">
        <f>IF(AND(Carro1[[#This Row],[Nó]]=AI45,Carro1[[#This Row],[Nó]]=AI46),"",AQ44&amp;"|"&amp;AN44)</f>
        <v>4|0</v>
      </c>
      <c r="AT44" s="20" t="str">
        <f>IF(Carro1[[#This Row],[Tipo]]&lt;&gt;"Deslocação",AQ44&amp;"|"&amp;AN44,"")</f>
        <v>4|0</v>
      </c>
      <c r="AU44" s="20" t="str">
        <f>IF(Carro1[[#This Row],[Tipo]]="Início",AQ44&amp;"|"&amp;AN44,"")</f>
        <v/>
      </c>
    </row>
    <row r="45" spans="5:47" x14ac:dyDescent="0.25">
      <c r="H45"/>
      <c r="I45"/>
      <c r="J45"/>
      <c r="K45"/>
      <c r="L45"/>
      <c r="M45"/>
      <c r="N45"/>
      <c r="O45"/>
      <c r="P45"/>
      <c r="Q45"/>
      <c r="R45"/>
      <c r="S45"/>
      <c r="T45"/>
      <c r="U45"/>
      <c r="V45"/>
      <c r="W45"/>
      <c r="X45"/>
      <c r="Y45"/>
      <c r="Z45"/>
      <c r="AA45"/>
      <c r="AG45" s="20" t="s">
        <v>121</v>
      </c>
      <c r="AH45" s="20" t="s">
        <v>122</v>
      </c>
      <c r="AI45" s="20" t="s">
        <v>200</v>
      </c>
      <c r="AJ45" s="7">
        <v>0.5444444444444444</v>
      </c>
      <c r="AK45" s="7">
        <v>0.5444444444444444</v>
      </c>
      <c r="AL45" s="20" t="s">
        <v>44</v>
      </c>
      <c r="AM45" s="20" t="str">
        <f>+TEXT(Carro1[[#This Row],[Column1]],"hh:mm")&amp;" | " &amp;TEXT(Carro1[[#This Row],[Hora Fim]],"hh:mm")</f>
        <v>13:04 | 13:04</v>
      </c>
      <c r="AN45" s="20">
        <f>INDEX($E$3:$AA$3,MATCH(Carro1[[#This Row],[Nó]],$E$1:$AA$1,0))</f>
        <v>1</v>
      </c>
      <c r="AO45" s="7">
        <f>+IF(AND(Carro1[[#This Row],[Nó]]=AI44,Carro1[[#This Row],[Nó]]=AI46),AO44,Carro1[[#This Row],[Hora Início]])</f>
        <v>0.5444444444444444</v>
      </c>
      <c r="AP45" s="20">
        <f t="shared" si="0"/>
        <v>1</v>
      </c>
      <c r="AQ45" s="20" cm="1">
        <f t="array" ref="AQ45">IFERROR(_xlfn.IFS(AP45=AP44,AQ44,AQ44="Ramo",1),AQ44+1)</f>
        <v>4</v>
      </c>
      <c r="AR45" s="20">
        <f t="shared" si="1"/>
        <v>0</v>
      </c>
      <c r="AS45" s="20" t="str">
        <f>IF(AND(Carro1[[#This Row],[Nó]]=AI46,Carro1[[#This Row],[Nó]]=AI47),"",AQ45&amp;"|"&amp;AN45)</f>
        <v>4|1</v>
      </c>
      <c r="AT45" s="20" t="str">
        <f>IF(Carro1[[#This Row],[Tipo]]&lt;&gt;"Deslocação",AQ45&amp;"|"&amp;AN45,"")</f>
        <v/>
      </c>
      <c r="AU45" s="20" t="str">
        <f>IF(Carro1[[#This Row],[Tipo]]="Início",AQ45&amp;"|"&amp;AN45,"")</f>
        <v/>
      </c>
    </row>
    <row r="46" spans="5:47" x14ac:dyDescent="0.25">
      <c r="H46"/>
      <c r="I46"/>
      <c r="J46"/>
      <c r="K46"/>
      <c r="L46"/>
      <c r="M46"/>
      <c r="N46"/>
      <c r="O46"/>
      <c r="P46"/>
      <c r="Q46"/>
      <c r="R46"/>
      <c r="S46"/>
      <c r="T46"/>
      <c r="U46"/>
      <c r="V46"/>
      <c r="W46"/>
      <c r="X46"/>
      <c r="Y46"/>
      <c r="Z46"/>
      <c r="AA46"/>
      <c r="AG46" s="20" t="s">
        <v>121</v>
      </c>
      <c r="AH46" s="20" t="s">
        <v>123</v>
      </c>
      <c r="AI46" s="20" t="s">
        <v>228</v>
      </c>
      <c r="AJ46" s="7">
        <v>0.54513888888888884</v>
      </c>
      <c r="AK46" s="7">
        <v>0.54513888888888884</v>
      </c>
      <c r="AL46" s="20" t="s">
        <v>44</v>
      </c>
      <c r="AM46" s="20" t="str">
        <f>+TEXT(Carro1[[#This Row],[Column1]],"hh:mm")&amp;" | " &amp;TEXT(Carro1[[#This Row],[Hora Fim]],"hh:mm")</f>
        <v>13:05 | 13:05</v>
      </c>
      <c r="AN46" s="20">
        <f>INDEX($E$3:$AA$3,MATCH(Carro1[[#This Row],[Nó]],$E$1:$AA$1,0))</f>
        <v>2</v>
      </c>
      <c r="AO46" s="7">
        <f>+IF(AND(Carro1[[#This Row],[Nó]]=AI45,Carro1[[#This Row],[Nó]]=AI47),AO45,Carro1[[#This Row],[Hora Início]])</f>
        <v>0.54513888888888884</v>
      </c>
      <c r="AP46" s="20">
        <f t="shared" si="0"/>
        <v>1</v>
      </c>
      <c r="AQ46" s="20" cm="1">
        <f t="array" ref="AQ46">IFERROR(_xlfn.IFS(AP46=AP45,AQ45,AQ45="Ramo",1),AQ45+1)</f>
        <v>4</v>
      </c>
      <c r="AR46" s="20">
        <f t="shared" si="1"/>
        <v>0</v>
      </c>
      <c r="AS46" s="20" t="str">
        <f>IF(AND(Carro1[[#This Row],[Nó]]=AI47,Carro1[[#This Row],[Nó]]=AI48),"",AQ46&amp;"|"&amp;AN46)</f>
        <v>4|2</v>
      </c>
      <c r="AT46" s="20" t="str">
        <f>IF(Carro1[[#This Row],[Tipo]]&lt;&gt;"Deslocação",AQ46&amp;"|"&amp;AN46,"")</f>
        <v/>
      </c>
      <c r="AU46" s="20" t="str">
        <f>IF(Carro1[[#This Row],[Tipo]]="Início",AQ46&amp;"|"&amp;AN46,"")</f>
        <v/>
      </c>
    </row>
    <row r="47" spans="5:47" x14ac:dyDescent="0.25">
      <c r="H47"/>
      <c r="I47"/>
      <c r="J47"/>
      <c r="K47"/>
      <c r="L47"/>
      <c r="M47"/>
      <c r="N47"/>
      <c r="O47"/>
      <c r="P47"/>
      <c r="Q47"/>
      <c r="R47"/>
      <c r="S47"/>
      <c r="T47"/>
      <c r="U47"/>
      <c r="V47"/>
      <c r="W47"/>
      <c r="X47"/>
      <c r="Y47"/>
      <c r="Z47"/>
      <c r="AA47"/>
      <c r="AG47" s="20" t="s">
        <v>121</v>
      </c>
      <c r="AH47" s="20" t="s">
        <v>124</v>
      </c>
      <c r="AI47" s="20" t="s">
        <v>208</v>
      </c>
      <c r="AJ47" s="7">
        <v>0.54722222222222228</v>
      </c>
      <c r="AK47" s="7">
        <v>0.54722222222222228</v>
      </c>
      <c r="AL47" s="20" t="s">
        <v>44</v>
      </c>
      <c r="AM47" s="20" t="str">
        <f>+TEXT(Carro1[[#This Row],[Column1]],"hh:mm")&amp;" | " &amp;TEXT(Carro1[[#This Row],[Hora Fim]],"hh:mm")</f>
        <v>13:08 | 13:08</v>
      </c>
      <c r="AN47" s="20">
        <f>INDEX($E$3:$AA$3,MATCH(Carro1[[#This Row],[Nó]],$E$1:$AA$1,0))</f>
        <v>3</v>
      </c>
      <c r="AO47" s="7">
        <f>+IF(AND(Carro1[[#This Row],[Nó]]=AI46,Carro1[[#This Row],[Nó]]=AI48),AO46,Carro1[[#This Row],[Hora Início]])</f>
        <v>0.54722222222222228</v>
      </c>
      <c r="AP47" s="20">
        <f t="shared" si="0"/>
        <v>1</v>
      </c>
      <c r="AQ47" s="20" cm="1">
        <f t="array" ref="AQ47">IFERROR(_xlfn.IFS(AP47=AP46,AQ46,AQ46="Ramo",1),AQ46+1)</f>
        <v>4</v>
      </c>
      <c r="AR47" s="20">
        <f t="shared" si="1"/>
        <v>0</v>
      </c>
      <c r="AS47" s="20" t="str">
        <f>IF(AND(Carro1[[#This Row],[Nó]]=AI48,Carro1[[#This Row],[Nó]]=AI49),"",AQ47&amp;"|"&amp;AN47)</f>
        <v>4|3</v>
      </c>
      <c r="AT47" s="20" t="str">
        <f>IF(Carro1[[#This Row],[Tipo]]&lt;&gt;"Deslocação",AQ47&amp;"|"&amp;AN47,"")</f>
        <v/>
      </c>
      <c r="AU47" s="20" t="str">
        <f>IF(Carro1[[#This Row],[Tipo]]="Início",AQ47&amp;"|"&amp;AN47,"")</f>
        <v/>
      </c>
    </row>
    <row r="48" spans="5:47" x14ac:dyDescent="0.25">
      <c r="H48"/>
      <c r="I48"/>
      <c r="J48"/>
      <c r="K48"/>
      <c r="L48"/>
      <c r="M48"/>
      <c r="N48"/>
      <c r="O48"/>
      <c r="P48"/>
      <c r="Q48"/>
      <c r="R48"/>
      <c r="S48"/>
      <c r="T48"/>
      <c r="U48"/>
      <c r="V48"/>
      <c r="W48"/>
      <c r="X48"/>
      <c r="Y48"/>
      <c r="Z48"/>
      <c r="AA48"/>
      <c r="AG48" s="20" t="s">
        <v>121</v>
      </c>
      <c r="AH48" s="20" t="s">
        <v>124</v>
      </c>
      <c r="AI48" s="20" t="s">
        <v>208</v>
      </c>
      <c r="AJ48" s="7">
        <v>0.54722222222222228</v>
      </c>
      <c r="AK48" s="7">
        <v>0.55625000000000002</v>
      </c>
      <c r="AL48" s="20" t="s">
        <v>43</v>
      </c>
      <c r="AM48" s="20" t="str">
        <f>+TEXT(Carro1[[#This Row],[Column1]],"hh:mm")&amp;" | " &amp;TEXT(Carro1[[#This Row],[Hora Fim]],"hh:mm")</f>
        <v>13:08 | 13:21</v>
      </c>
      <c r="AN48" s="20">
        <f>INDEX($E$3:$AA$3,MATCH(Carro1[[#This Row],[Nó]],$E$1:$AA$1,0))</f>
        <v>3</v>
      </c>
      <c r="AO48" s="7">
        <f>+IF(AND(Carro1[[#This Row],[Nó]]=AI47,Carro1[[#This Row],[Nó]]=AI49),AO47,Carro1[[#This Row],[Hora Início]])</f>
        <v>0.54722222222222228</v>
      </c>
      <c r="AP48" s="20">
        <f t="shared" si="0"/>
        <v>1</v>
      </c>
      <c r="AQ48" s="20" cm="1">
        <f t="array" ref="AQ48">IFERROR(_xlfn.IFS(AP48=AP47,AQ47,AQ47="Ramo",1),AQ47+1)</f>
        <v>4</v>
      </c>
      <c r="AR48" s="20">
        <f t="shared" si="1"/>
        <v>0</v>
      </c>
      <c r="AS48" s="20" t="str">
        <f>IF(AND(Carro1[[#This Row],[Nó]]=AI49,Carro1[[#This Row],[Nó]]=AI50),"",AQ48&amp;"|"&amp;AN48)</f>
        <v>4|3</v>
      </c>
      <c r="AT48" s="20" t="str">
        <f>IF(Carro1[[#This Row],[Tipo]]&lt;&gt;"Deslocação",AQ48&amp;"|"&amp;AN48,"")</f>
        <v>4|3</v>
      </c>
      <c r="AU48" s="20" t="str">
        <f>IF(Carro1[[#This Row],[Tipo]]="Início",AQ48&amp;"|"&amp;AN48,"")</f>
        <v/>
      </c>
    </row>
    <row r="49" spans="8:47" x14ac:dyDescent="0.25">
      <c r="H49"/>
      <c r="I49"/>
      <c r="J49"/>
      <c r="K49"/>
      <c r="L49"/>
      <c r="M49"/>
      <c r="N49"/>
      <c r="O49"/>
      <c r="P49"/>
      <c r="Q49"/>
      <c r="R49"/>
      <c r="S49"/>
      <c r="T49"/>
      <c r="U49"/>
      <c r="V49"/>
      <c r="W49"/>
      <c r="X49"/>
      <c r="Y49"/>
      <c r="Z49"/>
      <c r="AA49"/>
      <c r="AG49" s="20" t="s">
        <v>121</v>
      </c>
      <c r="AH49" s="20" t="s">
        <v>125</v>
      </c>
      <c r="AI49" s="20" t="s">
        <v>2</v>
      </c>
      <c r="AJ49" s="7">
        <v>0.55972222222222223</v>
      </c>
      <c r="AK49" s="7">
        <v>0.55972222222222223</v>
      </c>
      <c r="AL49" s="20" t="s">
        <v>44</v>
      </c>
      <c r="AM49" s="20" t="str">
        <f>+TEXT(Carro1[[#This Row],[Column1]],"hh:mm")&amp;" | " &amp;TEXT(Carro1[[#This Row],[Hora Fim]],"hh:mm")</f>
        <v>13:26 | 13:26</v>
      </c>
      <c r="AN49" s="20">
        <f>INDEX($E$3:$AA$3,MATCH(Carro1[[#This Row],[Nó]],$E$1:$AA$1,0))</f>
        <v>4</v>
      </c>
      <c r="AO49" s="7">
        <f>+IF(AND(Carro1[[#This Row],[Nó]]=AI48,Carro1[[#This Row],[Nó]]=AI50),AO48,Carro1[[#This Row],[Hora Início]])</f>
        <v>0.55972222222222223</v>
      </c>
      <c r="AP49" s="20">
        <f t="shared" si="0"/>
        <v>1</v>
      </c>
      <c r="AQ49" s="20" cm="1">
        <f t="array" ref="AQ49">IFERROR(_xlfn.IFS(AP49=AP48,AQ48,AQ48="Ramo",1),AQ48+1)</f>
        <v>4</v>
      </c>
      <c r="AR49" s="20">
        <f t="shared" si="1"/>
        <v>0</v>
      </c>
      <c r="AS49" s="20" t="str">
        <f>IF(AND(Carro1[[#This Row],[Nó]]=AI50,Carro1[[#This Row],[Nó]]=AI51),"",AQ49&amp;"|"&amp;AN49)</f>
        <v>4|4</v>
      </c>
      <c r="AT49" s="20" t="str">
        <f>IF(Carro1[[#This Row],[Tipo]]&lt;&gt;"Deslocação",AQ49&amp;"|"&amp;AN49,"")</f>
        <v/>
      </c>
      <c r="AU49" s="20" t="str">
        <f>IF(Carro1[[#This Row],[Tipo]]="Início",AQ49&amp;"|"&amp;AN49,"")</f>
        <v/>
      </c>
    </row>
    <row r="50" spans="8:47" x14ac:dyDescent="0.25">
      <c r="H50"/>
      <c r="I50"/>
      <c r="J50"/>
      <c r="K50"/>
      <c r="L50"/>
      <c r="M50"/>
      <c r="N50"/>
      <c r="O50"/>
      <c r="P50"/>
      <c r="Q50"/>
      <c r="R50"/>
      <c r="S50"/>
      <c r="T50"/>
      <c r="U50"/>
      <c r="V50"/>
      <c r="W50"/>
      <c r="X50"/>
      <c r="Y50"/>
      <c r="Z50"/>
      <c r="AA50"/>
      <c r="AG50" s="20" t="s">
        <v>121</v>
      </c>
      <c r="AH50" s="20" t="s">
        <v>172</v>
      </c>
      <c r="AI50" s="20" t="s">
        <v>215</v>
      </c>
      <c r="AJ50" s="7">
        <v>0.56180555555555556</v>
      </c>
      <c r="AK50" s="7">
        <v>0.56180555555555556</v>
      </c>
      <c r="AL50" s="20" t="s">
        <v>44</v>
      </c>
      <c r="AM50" s="20" t="str">
        <f>+TEXT(Carro1[[#This Row],[Column1]],"hh:mm")&amp;" | " &amp;TEXT(Carro1[[#This Row],[Hora Fim]],"hh:mm")</f>
        <v>13:29 | 13:29</v>
      </c>
      <c r="AN50" s="20">
        <f>INDEX($E$3:$AA$3,MATCH(Carro1[[#This Row],[Nó]],$E$1:$AA$1,0))</f>
        <v>5</v>
      </c>
      <c r="AO50" s="7">
        <f>+IF(AND(Carro1[[#This Row],[Nó]]=AI49,Carro1[[#This Row],[Nó]]=AI51),AO49,Carro1[[#This Row],[Hora Início]])</f>
        <v>0.56180555555555556</v>
      </c>
      <c r="AP50" s="20">
        <f t="shared" si="0"/>
        <v>1</v>
      </c>
      <c r="AQ50" s="20" cm="1">
        <f t="array" ref="AQ50">IFERROR(_xlfn.IFS(AP50=AP49,AQ49,AQ49="Ramo",1),AQ49+1)</f>
        <v>4</v>
      </c>
      <c r="AR50" s="20">
        <f t="shared" si="1"/>
        <v>0</v>
      </c>
      <c r="AS50" s="20" t="str">
        <f>IF(AND(Carro1[[#This Row],[Nó]]=AI51,Carro1[[#This Row],[Nó]]=AI52),"",AQ50&amp;"|"&amp;AN50)</f>
        <v>4|5</v>
      </c>
      <c r="AT50" s="20" t="str">
        <f>IF(Carro1[[#This Row],[Tipo]]&lt;&gt;"Deslocação",AQ50&amp;"|"&amp;AN50,"")</f>
        <v/>
      </c>
      <c r="AU50" s="20" t="str">
        <f>IF(Carro1[[#This Row],[Tipo]]="Início",AQ50&amp;"|"&amp;AN50,"")</f>
        <v/>
      </c>
    </row>
    <row r="51" spans="8:47" x14ac:dyDescent="0.25">
      <c r="H51"/>
      <c r="I51"/>
      <c r="J51"/>
      <c r="K51"/>
      <c r="L51"/>
      <c r="M51"/>
      <c r="N51"/>
      <c r="O51"/>
      <c r="P51"/>
      <c r="Q51"/>
      <c r="R51"/>
      <c r="S51"/>
      <c r="T51"/>
      <c r="U51"/>
      <c r="V51"/>
      <c r="W51"/>
      <c r="X51"/>
      <c r="Y51"/>
      <c r="Z51"/>
      <c r="AA51"/>
      <c r="AG51" s="20" t="s">
        <v>121</v>
      </c>
      <c r="AH51" s="20" t="s">
        <v>172</v>
      </c>
      <c r="AI51" s="20" t="s">
        <v>215</v>
      </c>
      <c r="AJ51" s="7">
        <v>0.56180555555555556</v>
      </c>
      <c r="AK51" s="7">
        <v>0.56180555555555556</v>
      </c>
      <c r="AL51" s="20" t="s">
        <v>43</v>
      </c>
      <c r="AM51" s="20" t="str">
        <f>+TEXT(Carro1[[#This Row],[Column1]],"hh:mm")&amp;" | " &amp;TEXT(Carro1[[#This Row],[Hora Fim]],"hh:mm")</f>
        <v>13:29 | 13:29</v>
      </c>
      <c r="AN51" s="20">
        <f>INDEX($E$3:$AA$3,MATCH(Carro1[[#This Row],[Nó]],$E$1:$AA$1,0))</f>
        <v>5</v>
      </c>
      <c r="AO51" s="7">
        <f>+IF(AND(Carro1[[#This Row],[Nó]]=AI50,Carro1[[#This Row],[Nó]]=AI52),AO50,Carro1[[#This Row],[Hora Início]])</f>
        <v>0.56180555555555556</v>
      </c>
      <c r="AP51" s="20">
        <f t="shared" si="0"/>
        <v>1</v>
      </c>
      <c r="AQ51" s="20" cm="1">
        <f t="array" ref="AQ51">IFERROR(_xlfn.IFS(AP51=AP50,AQ50,AQ50="Ramo",1),AQ50+1)</f>
        <v>4</v>
      </c>
      <c r="AR51" s="20">
        <f t="shared" si="1"/>
        <v>0</v>
      </c>
      <c r="AS51" s="20" t="str">
        <f>IF(AND(Carro1[[#This Row],[Nó]]=AI52,Carro1[[#This Row],[Nó]]=AI53),"",AQ51&amp;"|"&amp;AN51)</f>
        <v>4|5</v>
      </c>
      <c r="AT51" s="20" t="str">
        <f>IF(Carro1[[#This Row],[Tipo]]&lt;&gt;"Deslocação",AQ51&amp;"|"&amp;AN51,"")</f>
        <v>4|5</v>
      </c>
      <c r="AU51" s="20" t="str">
        <f>IF(Carro1[[#This Row],[Tipo]]="Início",AQ51&amp;"|"&amp;AN51,"")</f>
        <v/>
      </c>
    </row>
    <row r="52" spans="8:47" x14ac:dyDescent="0.25">
      <c r="H52"/>
      <c r="I52"/>
      <c r="J52"/>
      <c r="K52"/>
      <c r="L52"/>
      <c r="M52"/>
      <c r="N52"/>
      <c r="O52"/>
      <c r="P52"/>
      <c r="Q52"/>
      <c r="R52"/>
      <c r="S52"/>
      <c r="T52"/>
      <c r="U52"/>
      <c r="V52"/>
      <c r="W52"/>
      <c r="X52"/>
      <c r="Y52"/>
      <c r="Z52"/>
      <c r="AA52"/>
      <c r="AG52" s="20" t="s">
        <v>121</v>
      </c>
      <c r="AH52" s="20" t="s">
        <v>173</v>
      </c>
      <c r="AI52" s="20" t="s">
        <v>300</v>
      </c>
      <c r="AJ52" s="7">
        <v>0.56458333333333333</v>
      </c>
      <c r="AK52" s="7">
        <v>0.56458333333333333</v>
      </c>
      <c r="AL52" s="20" t="s">
        <v>44</v>
      </c>
      <c r="AM52" s="20" t="str">
        <f>+TEXT(Carro1[[#This Row],[Column1]],"hh:mm")&amp;" | " &amp;TEXT(Carro1[[#This Row],[Hora Fim]],"hh:mm")</f>
        <v>13:33 | 13:33</v>
      </c>
      <c r="AN52" s="20">
        <f>INDEX($E$3:$AA$3,MATCH(Carro1[[#This Row],[Nó]],$E$1:$AA$1,0))</f>
        <v>6</v>
      </c>
      <c r="AO52" s="7">
        <f>+IF(AND(Carro1[[#This Row],[Nó]]=AI51,Carro1[[#This Row],[Nó]]=AI53),AO51,Carro1[[#This Row],[Hora Início]])</f>
        <v>0.56458333333333333</v>
      </c>
      <c r="AP52" s="20">
        <f t="shared" si="0"/>
        <v>1</v>
      </c>
      <c r="AQ52" s="20" cm="1">
        <f t="array" ref="AQ52">IFERROR(_xlfn.IFS(AP52=AP51,AQ51,AQ51="Ramo",1),AQ51+1)</f>
        <v>4</v>
      </c>
      <c r="AR52" s="20">
        <f t="shared" si="1"/>
        <v>0</v>
      </c>
      <c r="AS52" s="20" t="str">
        <f>IF(AND(Carro1[[#This Row],[Nó]]=AI53,Carro1[[#This Row],[Nó]]=AI54),"",AQ52&amp;"|"&amp;AN52)</f>
        <v>4|6</v>
      </c>
      <c r="AT52" s="20" t="str">
        <f>IF(Carro1[[#This Row],[Tipo]]&lt;&gt;"Deslocação",AQ52&amp;"|"&amp;AN52,"")</f>
        <v/>
      </c>
      <c r="AU52" s="20" t="str">
        <f>IF(Carro1[[#This Row],[Tipo]]="Início",AQ52&amp;"|"&amp;AN52,"")</f>
        <v/>
      </c>
    </row>
    <row r="53" spans="8:47" x14ac:dyDescent="0.25">
      <c r="H53"/>
      <c r="I53"/>
      <c r="J53"/>
      <c r="K53"/>
      <c r="L53"/>
      <c r="M53"/>
      <c r="N53"/>
      <c r="O53"/>
      <c r="P53"/>
      <c r="Q53"/>
      <c r="R53"/>
      <c r="S53"/>
      <c r="T53"/>
      <c r="U53"/>
      <c r="V53"/>
      <c r="W53"/>
      <c r="X53"/>
      <c r="Y53"/>
      <c r="Z53"/>
      <c r="AA53"/>
      <c r="AG53" s="20" t="s">
        <v>121</v>
      </c>
      <c r="AH53" s="20" t="s">
        <v>173</v>
      </c>
      <c r="AI53" s="20" t="s">
        <v>300</v>
      </c>
      <c r="AJ53" s="7">
        <v>0.56458333333333333</v>
      </c>
      <c r="AK53" s="7">
        <v>0.56458333333333333</v>
      </c>
      <c r="AL53" s="20" t="s">
        <v>43</v>
      </c>
      <c r="AM53" s="20" t="str">
        <f>+TEXT(Carro1[[#This Row],[Column1]],"hh:mm")&amp;" | " &amp;TEXT(Carro1[[#This Row],[Hora Fim]],"hh:mm")</f>
        <v>13:33 | 13:33</v>
      </c>
      <c r="AN53" s="20">
        <f>INDEX($E$3:$AA$3,MATCH(Carro1[[#This Row],[Nó]],$E$1:$AA$1,0))</f>
        <v>6</v>
      </c>
      <c r="AO53" s="7">
        <f>+IF(AND(Carro1[[#This Row],[Nó]]=AI52,Carro1[[#This Row],[Nó]]=AI54),AO52,Carro1[[#This Row],[Hora Início]])</f>
        <v>0.56458333333333333</v>
      </c>
      <c r="AP53" s="20">
        <f t="shared" si="0"/>
        <v>1</v>
      </c>
      <c r="AQ53" s="20" cm="1">
        <f t="array" ref="AQ53">IFERROR(_xlfn.IFS(AP53=AP52,AQ52,AQ52="Ramo",1),AQ52+1)</f>
        <v>4</v>
      </c>
      <c r="AR53" s="20">
        <f t="shared" si="1"/>
        <v>0</v>
      </c>
      <c r="AS53" s="20" t="str">
        <f>IF(AND(Carro1[[#This Row],[Nó]]=AI54,Carro1[[#This Row],[Nó]]=AI55),"",AQ53&amp;"|"&amp;AN53)</f>
        <v>4|6</v>
      </c>
      <c r="AT53" s="20" t="str">
        <f>IF(Carro1[[#This Row],[Tipo]]&lt;&gt;"Deslocação",AQ53&amp;"|"&amp;AN53,"")</f>
        <v>4|6</v>
      </c>
      <c r="AU53" s="20" t="str">
        <f>IF(Carro1[[#This Row],[Tipo]]="Início",AQ53&amp;"|"&amp;AN53,"")</f>
        <v/>
      </c>
    </row>
    <row r="54" spans="8:47" x14ac:dyDescent="0.25">
      <c r="H54"/>
      <c r="I54"/>
      <c r="J54"/>
      <c r="K54"/>
      <c r="L54"/>
      <c r="M54"/>
      <c r="N54"/>
      <c r="O54"/>
      <c r="P54"/>
      <c r="Q54"/>
      <c r="R54"/>
      <c r="S54"/>
      <c r="T54"/>
      <c r="U54"/>
      <c r="V54"/>
      <c r="W54"/>
      <c r="X54"/>
      <c r="Y54"/>
      <c r="Z54"/>
      <c r="AA54"/>
      <c r="AG54" s="20" t="s">
        <v>121</v>
      </c>
      <c r="AH54" s="20" t="s">
        <v>174</v>
      </c>
      <c r="AI54" s="20" t="s">
        <v>301</v>
      </c>
      <c r="AJ54" s="7">
        <v>0.56666666666666665</v>
      </c>
      <c r="AK54" s="7">
        <v>0.56666666666666665</v>
      </c>
      <c r="AL54" s="20" t="s">
        <v>44</v>
      </c>
      <c r="AM54" s="20" t="str">
        <f>+TEXT(Carro1[[#This Row],[Column1]],"hh:mm")&amp;" | " &amp;TEXT(Carro1[[#This Row],[Hora Fim]],"hh:mm")</f>
        <v>13:36 | 13:36</v>
      </c>
      <c r="AN54" s="20">
        <f>INDEX($E$3:$AA$3,MATCH(Carro1[[#This Row],[Nó]],$E$1:$AA$1,0))</f>
        <v>7</v>
      </c>
      <c r="AO54" s="7">
        <f>+IF(AND(Carro1[[#This Row],[Nó]]=AI53,Carro1[[#This Row],[Nó]]=AI55),AO53,Carro1[[#This Row],[Hora Início]])</f>
        <v>0.56666666666666665</v>
      </c>
      <c r="AP54" s="20">
        <f t="shared" si="0"/>
        <v>1</v>
      </c>
      <c r="AQ54" s="20" cm="1">
        <f t="array" ref="AQ54">IFERROR(_xlfn.IFS(AP54=AP53,AQ53,AQ53="Ramo",1),AQ53+1)</f>
        <v>4</v>
      </c>
      <c r="AR54" s="20">
        <f t="shared" si="1"/>
        <v>0</v>
      </c>
      <c r="AS54" s="20" t="str">
        <f>IF(AND(Carro1[[#This Row],[Nó]]=AI55,Carro1[[#This Row],[Nó]]=AI56),"",AQ54&amp;"|"&amp;AN54)</f>
        <v>4|7</v>
      </c>
      <c r="AT54" s="20" t="str">
        <f>IF(Carro1[[#This Row],[Tipo]]&lt;&gt;"Deslocação",AQ54&amp;"|"&amp;AN54,"")</f>
        <v/>
      </c>
      <c r="AU54" s="20" t="str">
        <f>IF(Carro1[[#This Row],[Tipo]]="Início",AQ54&amp;"|"&amp;AN54,"")</f>
        <v/>
      </c>
    </row>
    <row r="55" spans="8:47" x14ac:dyDescent="0.25">
      <c r="H55"/>
      <c r="I55"/>
      <c r="J55"/>
      <c r="K55"/>
      <c r="L55"/>
      <c r="M55"/>
      <c r="N55"/>
      <c r="O55"/>
      <c r="P55"/>
      <c r="Q55"/>
      <c r="R55"/>
      <c r="S55"/>
      <c r="T55"/>
      <c r="U55"/>
      <c r="V55"/>
      <c r="W55"/>
      <c r="X55"/>
      <c r="Y55"/>
      <c r="Z55"/>
      <c r="AA55"/>
      <c r="AG55" s="20" t="s">
        <v>121</v>
      </c>
      <c r="AH55" s="20" t="s">
        <v>174</v>
      </c>
      <c r="AI55" s="20" t="s">
        <v>301</v>
      </c>
      <c r="AJ55" s="7">
        <v>0.56666666666666665</v>
      </c>
      <c r="AK55" s="7">
        <v>0.57361111111111107</v>
      </c>
      <c r="AL55" s="20" t="s">
        <v>43</v>
      </c>
      <c r="AM55" s="20" t="str">
        <f>+TEXT(Carro1[[#This Row],[Column1]],"hh:mm")&amp;" | " &amp;TEXT(Carro1[[#This Row],[Hora Fim]],"hh:mm")</f>
        <v>13:36 | 13:46</v>
      </c>
      <c r="AN55" s="20">
        <f>INDEX($E$3:$AA$3,MATCH(Carro1[[#This Row],[Nó]],$E$1:$AA$1,0))</f>
        <v>7</v>
      </c>
      <c r="AO55" s="7">
        <f>+IF(AND(Carro1[[#This Row],[Nó]]=AI54,Carro1[[#This Row],[Nó]]=AI56),AO54,Carro1[[#This Row],[Hora Início]])</f>
        <v>0.56666666666666665</v>
      </c>
      <c r="AP55" s="20">
        <f t="shared" si="0"/>
        <v>1</v>
      </c>
      <c r="AQ55" s="20" cm="1">
        <f t="array" ref="AQ55">IFERROR(_xlfn.IFS(AP55=AP54,AQ54,AQ54="Ramo",1),AQ54+1)</f>
        <v>4</v>
      </c>
      <c r="AR55" s="20">
        <f t="shared" si="1"/>
        <v>0</v>
      </c>
      <c r="AS55" s="20" t="str">
        <f>IF(AND(Carro1[[#This Row],[Nó]]=AI56,Carro1[[#This Row],[Nó]]=AI57),"",AQ55&amp;"|"&amp;AN55)</f>
        <v>4|7</v>
      </c>
      <c r="AT55" s="20" t="str">
        <f>IF(Carro1[[#This Row],[Tipo]]&lt;&gt;"Deslocação",AQ55&amp;"|"&amp;AN55,"")</f>
        <v>4|7</v>
      </c>
      <c r="AU55" s="20" t="str">
        <f>IF(Carro1[[#This Row],[Tipo]]="Início",AQ55&amp;"|"&amp;AN55,"")</f>
        <v/>
      </c>
    </row>
    <row r="56" spans="8:47" x14ac:dyDescent="0.25">
      <c r="H56"/>
      <c r="I56"/>
      <c r="J56"/>
      <c r="K56"/>
      <c r="L56"/>
      <c r="M56"/>
      <c r="N56"/>
      <c r="O56"/>
      <c r="P56"/>
      <c r="Q56"/>
      <c r="R56"/>
      <c r="S56"/>
      <c r="T56"/>
      <c r="U56"/>
      <c r="V56"/>
      <c r="W56"/>
      <c r="X56"/>
      <c r="Y56"/>
      <c r="Z56"/>
      <c r="AA56"/>
      <c r="AG56" s="20" t="s">
        <v>121</v>
      </c>
      <c r="AH56" s="20" t="s">
        <v>240</v>
      </c>
      <c r="AI56" s="20" t="s">
        <v>302</v>
      </c>
      <c r="AJ56" s="7">
        <v>0.57777777777777772</v>
      </c>
      <c r="AK56" s="7">
        <v>0.57777777777777772</v>
      </c>
      <c r="AL56" s="20" t="s">
        <v>44</v>
      </c>
      <c r="AM56" s="20" t="str">
        <f>+TEXT(Carro1[[#This Row],[Column1]],"hh:mm")&amp;" | " &amp;TEXT(Carro1[[#This Row],[Hora Fim]],"hh:mm")</f>
        <v>13:52 | 13:52</v>
      </c>
      <c r="AN56" s="20">
        <f>INDEX($E$3:$AA$3,MATCH(Carro1[[#This Row],[Nó]],$E$1:$AA$1,0))</f>
        <v>8</v>
      </c>
      <c r="AO56" s="7">
        <f>+IF(AND(Carro1[[#This Row],[Nó]]=AI55,Carro1[[#This Row],[Nó]]=AI57),AO55,Carro1[[#This Row],[Hora Início]])</f>
        <v>0.57777777777777772</v>
      </c>
      <c r="AP56" s="20">
        <f t="shared" si="0"/>
        <v>1</v>
      </c>
      <c r="AQ56" s="20" cm="1">
        <f t="array" ref="AQ56">IFERROR(_xlfn.IFS(AP56=AP55,AQ55,AQ55="Ramo",1),AQ55+1)</f>
        <v>4</v>
      </c>
      <c r="AR56" s="20">
        <f t="shared" si="1"/>
        <v>0</v>
      </c>
      <c r="AS56" s="20" t="str">
        <f>IF(AND(Carro1[[#This Row],[Nó]]=AI57,Carro1[[#This Row],[Nó]]=AI58),"",AQ56&amp;"|"&amp;AN56)</f>
        <v>4|8</v>
      </c>
      <c r="AT56" s="20" t="str">
        <f>IF(Carro1[[#This Row],[Tipo]]&lt;&gt;"Deslocação",AQ56&amp;"|"&amp;AN56,"")</f>
        <v/>
      </c>
      <c r="AU56" s="20" t="str">
        <f>IF(Carro1[[#This Row],[Tipo]]="Início",AQ56&amp;"|"&amp;AN56,"")</f>
        <v/>
      </c>
    </row>
    <row r="57" spans="8:47" x14ac:dyDescent="0.25">
      <c r="H57"/>
      <c r="I57"/>
      <c r="J57"/>
      <c r="K57"/>
      <c r="L57"/>
      <c r="M57"/>
      <c r="N57"/>
      <c r="O57"/>
      <c r="P57"/>
      <c r="Q57"/>
      <c r="R57"/>
      <c r="S57"/>
      <c r="T57"/>
      <c r="U57"/>
      <c r="V57"/>
      <c r="W57"/>
      <c r="X57"/>
      <c r="Y57"/>
      <c r="Z57"/>
      <c r="AA57"/>
      <c r="AG57" s="20" t="s">
        <v>121</v>
      </c>
      <c r="AH57" s="20" t="s">
        <v>240</v>
      </c>
      <c r="AI57" s="20" t="s">
        <v>302</v>
      </c>
      <c r="AJ57" s="7">
        <v>0.57777777777777772</v>
      </c>
      <c r="AK57" s="7">
        <v>0.58472222222222225</v>
      </c>
      <c r="AL57" s="20" t="s">
        <v>43</v>
      </c>
      <c r="AM57" s="20" t="str">
        <f>+TEXT(Carro1[[#This Row],[Column1]],"hh:mm")&amp;" | " &amp;TEXT(Carro1[[#This Row],[Hora Fim]],"hh:mm")</f>
        <v>13:52 | 14:02</v>
      </c>
      <c r="AN57" s="20">
        <f>INDEX($E$3:$AA$3,MATCH(Carro1[[#This Row],[Nó]],$E$1:$AA$1,0))</f>
        <v>8</v>
      </c>
      <c r="AO57" s="7">
        <f>+IF(AND(Carro1[[#This Row],[Nó]]=AI56,Carro1[[#This Row],[Nó]]=AI58),AO56,Carro1[[#This Row],[Hora Início]])</f>
        <v>0.57777777777777772</v>
      </c>
      <c r="AP57" s="20">
        <f t="shared" si="0"/>
        <v>1</v>
      </c>
      <c r="AQ57" s="20" cm="1">
        <f t="array" ref="AQ57">IFERROR(_xlfn.IFS(AP57=AP56,AQ56,AQ56="Ramo",1),AQ56+1)</f>
        <v>4</v>
      </c>
      <c r="AR57" s="20">
        <f t="shared" si="1"/>
        <v>0</v>
      </c>
      <c r="AS57" s="20" t="str">
        <f>IF(AND(Carro1[[#This Row],[Nó]]=AI58,Carro1[[#This Row],[Nó]]=AI59),"",AQ57&amp;"|"&amp;AN57)</f>
        <v>4|8</v>
      </c>
      <c r="AT57" s="20" t="str">
        <f>IF(Carro1[[#This Row],[Tipo]]&lt;&gt;"Deslocação",AQ57&amp;"|"&amp;AN57,"")</f>
        <v>4|8</v>
      </c>
      <c r="AU57" s="20" t="str">
        <f>IF(Carro1[[#This Row],[Tipo]]="Início",AQ57&amp;"|"&amp;AN57,"")</f>
        <v/>
      </c>
    </row>
    <row r="58" spans="8:47" x14ac:dyDescent="0.25">
      <c r="H58"/>
      <c r="I58"/>
      <c r="J58"/>
      <c r="K58"/>
      <c r="L58"/>
      <c r="M58"/>
      <c r="N58"/>
      <c r="O58"/>
      <c r="P58"/>
      <c r="Q58"/>
      <c r="R58"/>
      <c r="S58"/>
      <c r="T58"/>
      <c r="U58"/>
      <c r="V58"/>
      <c r="W58"/>
      <c r="X58"/>
      <c r="Y58"/>
      <c r="Z58"/>
      <c r="AA58"/>
      <c r="AG58" s="20" t="s">
        <v>121</v>
      </c>
      <c r="AH58" s="20" t="s">
        <v>256</v>
      </c>
      <c r="AI58" s="20" t="s">
        <v>303</v>
      </c>
      <c r="AJ58" s="7">
        <v>0.58888888888888891</v>
      </c>
      <c r="AK58" s="7">
        <v>0.58888888888888891</v>
      </c>
      <c r="AL58" s="20" t="s">
        <v>44</v>
      </c>
      <c r="AM58" s="20" t="str">
        <f>+TEXT(Carro1[[#This Row],[Column1]],"hh:mm")&amp;" | " &amp;TEXT(Carro1[[#This Row],[Hora Fim]],"hh:mm")</f>
        <v>14:08 | 14:08</v>
      </c>
      <c r="AN58" s="20">
        <f>INDEX($E$3:$AA$3,MATCH(Carro1[[#This Row],[Nó]],$E$1:$AA$1,0))</f>
        <v>9</v>
      </c>
      <c r="AO58" s="7">
        <f>+IF(AND(Carro1[[#This Row],[Nó]]=AI57,Carro1[[#This Row],[Nó]]=AI59),AO57,Carro1[[#This Row],[Hora Início]])</f>
        <v>0.58888888888888891</v>
      </c>
      <c r="AP58" s="20">
        <f t="shared" si="0"/>
        <v>1</v>
      </c>
      <c r="AQ58" s="20" cm="1">
        <f t="array" ref="AQ58">IFERROR(_xlfn.IFS(AP58=AP57,AQ57,AQ57="Ramo",1),AQ57+1)</f>
        <v>4</v>
      </c>
      <c r="AR58" s="20">
        <f t="shared" si="1"/>
        <v>0</v>
      </c>
      <c r="AS58" s="20" t="str">
        <f>IF(AND(Carro1[[#This Row],[Nó]]=AI59,Carro1[[#This Row],[Nó]]=AI60),"",AQ58&amp;"|"&amp;AN58)</f>
        <v>4|9</v>
      </c>
      <c r="AT58" s="20" t="str">
        <f>IF(Carro1[[#This Row],[Tipo]]&lt;&gt;"Deslocação",AQ58&amp;"|"&amp;AN58,"")</f>
        <v/>
      </c>
      <c r="AU58" s="20" t="str">
        <f>IF(Carro1[[#This Row],[Tipo]]="Início",AQ58&amp;"|"&amp;AN58,"")</f>
        <v/>
      </c>
    </row>
    <row r="59" spans="8:47" x14ac:dyDescent="0.25">
      <c r="H59"/>
      <c r="I59"/>
      <c r="J59"/>
      <c r="K59"/>
      <c r="L59"/>
      <c r="M59"/>
      <c r="N59"/>
      <c r="O59"/>
      <c r="P59"/>
      <c r="Q59"/>
      <c r="R59"/>
      <c r="S59"/>
      <c r="T59"/>
      <c r="U59"/>
      <c r="V59"/>
      <c r="W59"/>
      <c r="X59"/>
      <c r="Y59"/>
      <c r="Z59"/>
      <c r="AA59"/>
      <c r="AG59" s="20" t="s">
        <v>121</v>
      </c>
      <c r="AH59" s="20" t="s">
        <v>256</v>
      </c>
      <c r="AI59" s="20" t="s">
        <v>303</v>
      </c>
      <c r="AJ59" s="7">
        <v>0.58888888888888891</v>
      </c>
      <c r="AK59" s="7">
        <v>0.58888888888888891</v>
      </c>
      <c r="AL59" s="20" t="s">
        <v>44</v>
      </c>
      <c r="AM59" s="20" t="str">
        <f>+TEXT(Carro1[[#This Row],[Column1]],"hh:mm")&amp;" | " &amp;TEXT(Carro1[[#This Row],[Hora Fim]],"hh:mm")</f>
        <v>14:08 | 14:08</v>
      </c>
      <c r="AN59" s="20">
        <f>INDEX($E$3:$AA$3,MATCH(Carro1[[#This Row],[Nó]],$E$1:$AA$1,0))</f>
        <v>9</v>
      </c>
      <c r="AO59" s="7">
        <f>+IF(AND(Carro1[[#This Row],[Nó]]=AI58,Carro1[[#This Row],[Nó]]=AI60),AO58,Carro1[[#This Row],[Hora Início]])</f>
        <v>0.58888888888888891</v>
      </c>
      <c r="AP59" s="20">
        <f t="shared" si="0"/>
        <v>2</v>
      </c>
      <c r="AQ59" s="20" cm="1">
        <f t="array" ref="AQ59">IFERROR(_xlfn.IFS(AP59=AP58,AQ58,AQ58="Ramo",1),AQ58+1)</f>
        <v>5</v>
      </c>
      <c r="AR59" s="20">
        <f t="shared" si="1"/>
        <v>1</v>
      </c>
      <c r="AS59" s="20" t="str">
        <f>IF(AND(Carro1[[#This Row],[Nó]]=AI60,Carro1[[#This Row],[Nó]]=AI61),"",AQ59&amp;"|"&amp;AN59)</f>
        <v>5|9</v>
      </c>
      <c r="AT59" s="20" t="str">
        <f>IF(Carro1[[#This Row],[Tipo]]&lt;&gt;"Deslocação",AQ59&amp;"|"&amp;AN59,"")</f>
        <v/>
      </c>
      <c r="AU59" s="20" t="str">
        <f>IF(Carro1[[#This Row],[Tipo]]="Início",AQ59&amp;"|"&amp;AN59,"")</f>
        <v/>
      </c>
    </row>
    <row r="60" spans="8:47" x14ac:dyDescent="0.25">
      <c r="H60"/>
      <c r="I60"/>
      <c r="J60"/>
      <c r="K60"/>
      <c r="L60"/>
      <c r="M60"/>
      <c r="N60"/>
      <c r="O60"/>
      <c r="P60"/>
      <c r="Q60"/>
      <c r="R60"/>
      <c r="S60"/>
      <c r="T60"/>
      <c r="U60"/>
      <c r="V60"/>
      <c r="W60"/>
      <c r="X60"/>
      <c r="Y60"/>
      <c r="Z60"/>
      <c r="AA60"/>
      <c r="AG60" s="20" t="s">
        <v>121</v>
      </c>
      <c r="AH60" s="20" t="s">
        <v>240</v>
      </c>
      <c r="AI60" s="20" t="s">
        <v>302</v>
      </c>
      <c r="AJ60" s="7">
        <v>0.59305555555555556</v>
      </c>
      <c r="AK60" s="7">
        <v>0.59305555555555556</v>
      </c>
      <c r="AL60" s="20" t="s">
        <v>44</v>
      </c>
      <c r="AM60" s="20" t="str">
        <f>+TEXT(Carro1[[#This Row],[Column1]],"hh:mm")&amp;" | " &amp;TEXT(Carro1[[#This Row],[Hora Fim]],"hh:mm")</f>
        <v>14:14 | 14:14</v>
      </c>
      <c r="AN60" s="20">
        <f>INDEX($E$3:$AA$3,MATCH(Carro1[[#This Row],[Nó]],$E$1:$AA$1,0))</f>
        <v>8</v>
      </c>
      <c r="AO60" s="7">
        <f>+IF(AND(Carro1[[#This Row],[Nó]]=AI59,Carro1[[#This Row],[Nó]]=AI61),AO59,Carro1[[#This Row],[Hora Início]])</f>
        <v>0.59305555555555556</v>
      </c>
      <c r="AP60" s="20">
        <f t="shared" si="0"/>
        <v>2</v>
      </c>
      <c r="AQ60" s="20" cm="1">
        <f t="array" ref="AQ60">IFERROR(_xlfn.IFS(AP60=AP59,AQ59,AQ59="Ramo",1),AQ59+1)</f>
        <v>5</v>
      </c>
      <c r="AR60" s="20">
        <f t="shared" si="1"/>
        <v>0</v>
      </c>
      <c r="AS60" s="20" t="str">
        <f>IF(AND(Carro1[[#This Row],[Nó]]=AI61,Carro1[[#This Row],[Nó]]=AI62),"",AQ60&amp;"|"&amp;AN60)</f>
        <v>5|8</v>
      </c>
      <c r="AT60" s="20" t="str">
        <f>IF(Carro1[[#This Row],[Tipo]]&lt;&gt;"Deslocação",AQ60&amp;"|"&amp;AN60,"")</f>
        <v/>
      </c>
      <c r="AU60" s="20" t="str">
        <f>IF(Carro1[[#This Row],[Tipo]]="Início",AQ60&amp;"|"&amp;AN60,"")</f>
        <v/>
      </c>
    </row>
    <row r="61" spans="8:47" x14ac:dyDescent="0.25">
      <c r="AG61" s="20" t="s">
        <v>121</v>
      </c>
      <c r="AH61" s="20" t="s">
        <v>174</v>
      </c>
      <c r="AI61" s="20" t="s">
        <v>301</v>
      </c>
      <c r="AJ61" s="7">
        <v>0.59722222222222221</v>
      </c>
      <c r="AK61" s="7">
        <v>0.59722222222222221</v>
      </c>
      <c r="AL61" s="20" t="s">
        <v>44</v>
      </c>
      <c r="AM61" s="20" t="str">
        <f>+TEXT(Carro1[[#This Row],[Column1]],"hh:mm")&amp;" | " &amp;TEXT(Carro1[[#This Row],[Hora Fim]],"hh:mm")</f>
        <v>14:20 | 14:20</v>
      </c>
      <c r="AN61" s="20">
        <f>INDEX($E$3:$AA$3,MATCH(Carro1[[#This Row],[Nó]],$E$1:$AA$1,0))</f>
        <v>7</v>
      </c>
      <c r="AO61" s="7">
        <f>+IF(AND(Carro1[[#This Row],[Nó]]=AI60,Carro1[[#This Row],[Nó]]=AI62),AO60,Carro1[[#This Row],[Hora Início]])</f>
        <v>0.59722222222222221</v>
      </c>
      <c r="AP61" s="20">
        <f t="shared" si="0"/>
        <v>2</v>
      </c>
      <c r="AQ61" s="20" cm="1">
        <f t="array" ref="AQ61">IFERROR(_xlfn.IFS(AP61=AP60,AQ60,AQ60="Ramo",1),AQ60+1)</f>
        <v>5</v>
      </c>
      <c r="AR61" s="20">
        <f t="shared" si="1"/>
        <v>0</v>
      </c>
      <c r="AS61" s="20" t="str">
        <f>IF(AND(Carro1[[#This Row],[Nó]]=AI62,Carro1[[#This Row],[Nó]]=AI63),"",AQ61&amp;"|"&amp;AN61)</f>
        <v>5|7</v>
      </c>
      <c r="AT61" s="20" t="str">
        <f>IF(Carro1[[#This Row],[Tipo]]&lt;&gt;"Deslocação",AQ61&amp;"|"&amp;AN61,"")</f>
        <v/>
      </c>
      <c r="AU61" s="20" t="str">
        <f>IF(Carro1[[#This Row],[Tipo]]="Início",AQ61&amp;"|"&amp;AN61,"")</f>
        <v/>
      </c>
    </row>
    <row r="62" spans="8:47" x14ac:dyDescent="0.25">
      <c r="AG62" s="20" t="s">
        <v>121</v>
      </c>
      <c r="AH62" s="20" t="s">
        <v>173</v>
      </c>
      <c r="AI62" s="20" t="s">
        <v>300</v>
      </c>
      <c r="AJ62" s="7">
        <v>0.59930555555555554</v>
      </c>
      <c r="AK62" s="7">
        <v>0.59930555555555554</v>
      </c>
      <c r="AL62" s="20" t="s">
        <v>44</v>
      </c>
      <c r="AM62" s="20" t="str">
        <f>+TEXT(Carro1[[#This Row],[Column1]],"hh:mm")&amp;" | " &amp;TEXT(Carro1[[#This Row],[Hora Fim]],"hh:mm")</f>
        <v>14:23 | 14:23</v>
      </c>
      <c r="AN62" s="20">
        <f>INDEX($E$3:$AA$3,MATCH(Carro1[[#This Row],[Nó]],$E$1:$AA$1,0))</f>
        <v>6</v>
      </c>
      <c r="AO62" s="7">
        <f>+IF(AND(Carro1[[#This Row],[Nó]]=AI61,Carro1[[#This Row],[Nó]]=AI63),AO61,Carro1[[#This Row],[Hora Início]])</f>
        <v>0.59930555555555554</v>
      </c>
      <c r="AP62" s="20">
        <f t="shared" si="0"/>
        <v>2</v>
      </c>
      <c r="AQ62" s="20" cm="1">
        <f t="array" ref="AQ62">IFERROR(_xlfn.IFS(AP62=AP61,AQ61,AQ61="Ramo",1),AQ61+1)</f>
        <v>5</v>
      </c>
      <c r="AR62" s="20">
        <f t="shared" si="1"/>
        <v>0</v>
      </c>
      <c r="AS62" s="20" t="str">
        <f>IF(AND(Carro1[[#This Row],[Nó]]=AI63,Carro1[[#This Row],[Nó]]=AI64),"",AQ62&amp;"|"&amp;AN62)</f>
        <v>5|6</v>
      </c>
      <c r="AT62" s="20" t="str">
        <f>IF(Carro1[[#This Row],[Tipo]]&lt;&gt;"Deslocação",AQ62&amp;"|"&amp;AN62,"")</f>
        <v/>
      </c>
      <c r="AU62" s="20" t="str">
        <f>IF(Carro1[[#This Row],[Tipo]]="Início",AQ62&amp;"|"&amp;AN62,"")</f>
        <v/>
      </c>
    </row>
    <row r="63" spans="8:47" x14ac:dyDescent="0.25">
      <c r="AG63" s="20" t="s">
        <v>121</v>
      </c>
      <c r="AH63" s="20" t="s">
        <v>173</v>
      </c>
      <c r="AI63" s="20" t="s">
        <v>300</v>
      </c>
      <c r="AJ63" s="7">
        <v>0.59930555555555554</v>
      </c>
      <c r="AK63" s="7">
        <v>0.59930555555555554</v>
      </c>
      <c r="AL63" s="20" t="s">
        <v>43</v>
      </c>
      <c r="AM63" s="20" t="str">
        <f>+TEXT(Carro1[[#This Row],[Column1]],"hh:mm")&amp;" | " &amp;TEXT(Carro1[[#This Row],[Hora Fim]],"hh:mm")</f>
        <v>14:23 | 14:23</v>
      </c>
      <c r="AN63" s="20">
        <f>INDEX($E$3:$AA$3,MATCH(Carro1[[#This Row],[Nó]],$E$1:$AA$1,0))</f>
        <v>6</v>
      </c>
      <c r="AO63" s="7">
        <f>+IF(AND(Carro1[[#This Row],[Nó]]=AI62,Carro1[[#This Row],[Nó]]=AI64),AO62,Carro1[[#This Row],[Hora Início]])</f>
        <v>0.59930555555555554</v>
      </c>
      <c r="AP63" s="20">
        <f t="shared" si="0"/>
        <v>2</v>
      </c>
      <c r="AQ63" s="20" cm="1">
        <f t="array" ref="AQ63">IFERROR(_xlfn.IFS(AP63=AP62,AQ62,AQ62="Ramo",1),AQ62+1)</f>
        <v>5</v>
      </c>
      <c r="AR63" s="20">
        <f t="shared" si="1"/>
        <v>0</v>
      </c>
      <c r="AS63" s="20" t="str">
        <f>IF(AND(Carro1[[#This Row],[Nó]]=AI64,Carro1[[#This Row],[Nó]]=AI65),"",AQ63&amp;"|"&amp;AN63)</f>
        <v>5|6</v>
      </c>
      <c r="AT63" s="20" t="str">
        <f>IF(Carro1[[#This Row],[Tipo]]&lt;&gt;"Deslocação",AQ63&amp;"|"&amp;AN63,"")</f>
        <v>5|6</v>
      </c>
      <c r="AU63" s="20" t="str">
        <f>IF(Carro1[[#This Row],[Tipo]]="Início",AQ63&amp;"|"&amp;AN63,"")</f>
        <v/>
      </c>
    </row>
    <row r="64" spans="8:47" x14ac:dyDescent="0.25">
      <c r="AG64" s="20" t="s">
        <v>121</v>
      </c>
      <c r="AH64" s="20" t="s">
        <v>172</v>
      </c>
      <c r="AI64" s="20" t="s">
        <v>215</v>
      </c>
      <c r="AJ64" s="7">
        <v>0.6020833333333333</v>
      </c>
      <c r="AK64" s="7">
        <v>0.6020833333333333</v>
      </c>
      <c r="AL64" s="20" t="s">
        <v>44</v>
      </c>
      <c r="AM64" s="20" t="str">
        <f>+TEXT(Carro1[[#This Row],[Column1]],"hh:mm")&amp;" | " &amp;TEXT(Carro1[[#This Row],[Hora Fim]],"hh:mm")</f>
        <v>14:27 | 14:27</v>
      </c>
      <c r="AN64" s="20">
        <f>INDEX($E$3:$AA$3,MATCH(Carro1[[#This Row],[Nó]],$E$1:$AA$1,0))</f>
        <v>5</v>
      </c>
      <c r="AO64" s="7">
        <f>+IF(AND(Carro1[[#This Row],[Nó]]=AI63,Carro1[[#This Row],[Nó]]=AI65),AO63,Carro1[[#This Row],[Hora Início]])</f>
        <v>0.6020833333333333</v>
      </c>
      <c r="AP64" s="20">
        <f t="shared" si="0"/>
        <v>2</v>
      </c>
      <c r="AQ64" s="20" cm="1">
        <f t="array" ref="AQ64">IFERROR(_xlfn.IFS(AP64=AP63,AQ63,AQ63="Ramo",1),AQ63+1)</f>
        <v>5</v>
      </c>
      <c r="AR64" s="20">
        <f t="shared" si="1"/>
        <v>0</v>
      </c>
      <c r="AS64" s="20" t="str">
        <f>IF(AND(Carro1[[#This Row],[Nó]]=AI65,Carro1[[#This Row],[Nó]]=AI66),"",AQ64&amp;"|"&amp;AN64)</f>
        <v>5|5</v>
      </c>
      <c r="AT64" s="20" t="str">
        <f>IF(Carro1[[#This Row],[Tipo]]&lt;&gt;"Deslocação",AQ64&amp;"|"&amp;AN64,"")</f>
        <v/>
      </c>
      <c r="AU64" s="20" t="str">
        <f>IF(Carro1[[#This Row],[Tipo]]="Início",AQ64&amp;"|"&amp;AN64,"")</f>
        <v/>
      </c>
    </row>
    <row r="65" spans="33:47" x14ac:dyDescent="0.25">
      <c r="AG65" s="20" t="s">
        <v>121</v>
      </c>
      <c r="AH65" s="20" t="s">
        <v>172</v>
      </c>
      <c r="AI65" s="20" t="s">
        <v>215</v>
      </c>
      <c r="AJ65" s="7">
        <v>0.6020833333333333</v>
      </c>
      <c r="AK65" s="7">
        <v>0.6020833333333333</v>
      </c>
      <c r="AL65" s="20" t="s">
        <v>43</v>
      </c>
      <c r="AM65" s="20" t="str">
        <f>+TEXT(Carro1[[#This Row],[Column1]],"hh:mm")&amp;" | " &amp;TEXT(Carro1[[#This Row],[Hora Fim]],"hh:mm")</f>
        <v>14:27 | 14:27</v>
      </c>
      <c r="AN65" s="20">
        <f>INDEX($E$3:$AA$3,MATCH(Carro1[[#This Row],[Nó]],$E$1:$AA$1,0))</f>
        <v>5</v>
      </c>
      <c r="AO65" s="7">
        <f>+IF(AND(Carro1[[#This Row],[Nó]]=AI64,Carro1[[#This Row],[Nó]]=AI66),AO64,Carro1[[#This Row],[Hora Início]])</f>
        <v>0.6020833333333333</v>
      </c>
      <c r="AP65" s="20">
        <f t="shared" si="0"/>
        <v>2</v>
      </c>
      <c r="AQ65" s="20" cm="1">
        <f t="array" ref="AQ65">IFERROR(_xlfn.IFS(AP65=AP64,AQ64,AQ64="Ramo",1),AQ64+1)</f>
        <v>5</v>
      </c>
      <c r="AR65" s="20">
        <f t="shared" si="1"/>
        <v>0</v>
      </c>
      <c r="AS65" s="20" t="str">
        <f>IF(AND(Carro1[[#This Row],[Nó]]=AI66,Carro1[[#This Row],[Nó]]=AI67),"",AQ65&amp;"|"&amp;AN65)</f>
        <v>5|5</v>
      </c>
      <c r="AT65" s="20" t="str">
        <f>IF(Carro1[[#This Row],[Tipo]]&lt;&gt;"Deslocação",AQ65&amp;"|"&amp;AN65,"")</f>
        <v>5|5</v>
      </c>
      <c r="AU65" s="20" t="str">
        <f>IF(Carro1[[#This Row],[Tipo]]="Início",AQ65&amp;"|"&amp;AN65,"")</f>
        <v/>
      </c>
    </row>
    <row r="66" spans="33:47" x14ac:dyDescent="0.25">
      <c r="AG66" s="20" t="s">
        <v>121</v>
      </c>
      <c r="AH66" s="20" t="s">
        <v>125</v>
      </c>
      <c r="AI66" s="20" t="s">
        <v>2</v>
      </c>
      <c r="AJ66" s="7">
        <v>0.60416666666666663</v>
      </c>
      <c r="AK66" s="7">
        <v>0.60416666666666663</v>
      </c>
      <c r="AL66" s="20" t="s">
        <v>44</v>
      </c>
      <c r="AM66" s="20" t="str">
        <f>+TEXT(Carro1[[#This Row],[Column1]],"hh:mm")&amp;" | " &amp;TEXT(Carro1[[#This Row],[Hora Fim]],"hh:mm")</f>
        <v>14:30 | 14:30</v>
      </c>
      <c r="AN66" s="20">
        <f>INDEX($E$3:$AA$3,MATCH(Carro1[[#This Row],[Nó]],$E$1:$AA$1,0))</f>
        <v>4</v>
      </c>
      <c r="AO66" s="7">
        <f>+IF(AND(Carro1[[#This Row],[Nó]]=AI65,Carro1[[#This Row],[Nó]]=AI67),AO65,Carro1[[#This Row],[Hora Início]])</f>
        <v>0.60416666666666663</v>
      </c>
      <c r="AP66" s="20">
        <f t="shared" ref="AP66:AP129" si="32">IF(AN66=AN65,IF(AN66&lt;&gt;AN67,IF(AN67&gt;=AN65,1,2),AP65),IF(AN66&gt;=AN65,1,2))</f>
        <v>2</v>
      </c>
      <c r="AQ66" s="20" cm="1">
        <f t="array" ref="AQ66">IFERROR(_xlfn.IFS(AP66=AP65,AQ65,AQ65="Ramo",1),AQ65+1)</f>
        <v>5</v>
      </c>
      <c r="AR66" s="20">
        <f t="shared" ref="AR66:AR129" si="33">IF(AQ66&lt;&gt;AQ65,1,0)</f>
        <v>0</v>
      </c>
      <c r="AS66" s="20" t="str">
        <f>IF(AND(Carro1[[#This Row],[Nó]]=AI67,Carro1[[#This Row],[Nó]]=AI68),"",AQ66&amp;"|"&amp;AN66)</f>
        <v/>
      </c>
      <c r="AT66" s="20" t="str">
        <f>IF(Carro1[[#This Row],[Tipo]]&lt;&gt;"Deslocação",AQ66&amp;"|"&amp;AN66,"")</f>
        <v/>
      </c>
      <c r="AU66" s="20" t="str">
        <f>IF(Carro1[[#This Row],[Tipo]]="Início",AQ66&amp;"|"&amp;AN66,"")</f>
        <v/>
      </c>
    </row>
    <row r="67" spans="33:47" x14ac:dyDescent="0.25">
      <c r="AG67" s="20" t="s">
        <v>121</v>
      </c>
      <c r="AH67" s="20" t="s">
        <v>125</v>
      </c>
      <c r="AI67" s="20" t="s">
        <v>2</v>
      </c>
      <c r="AJ67" s="7">
        <v>0.60416666666666663</v>
      </c>
      <c r="AK67" s="7">
        <v>0.625</v>
      </c>
      <c r="AL67" s="20" t="s">
        <v>45</v>
      </c>
      <c r="AM67" s="20" t="str">
        <f>+TEXT(Carro1[[#This Row],[Column1]],"hh:mm")&amp;" | " &amp;TEXT(Carro1[[#This Row],[Hora Fim]],"hh:mm")</f>
        <v>14:30 | 15:00</v>
      </c>
      <c r="AN67" s="20">
        <f>INDEX($E$3:$AA$3,MATCH(Carro1[[#This Row],[Nó]],$E$1:$AA$1,0))</f>
        <v>4</v>
      </c>
      <c r="AO67" s="7">
        <f>+IF(AND(Carro1[[#This Row],[Nó]]=AI66,Carro1[[#This Row],[Nó]]=AI68),AO66,Carro1[[#This Row],[Hora Início]])</f>
        <v>0.60416666666666663</v>
      </c>
      <c r="AP67" s="20">
        <f t="shared" si="32"/>
        <v>2</v>
      </c>
      <c r="AQ67" s="20" cm="1">
        <f t="array" ref="AQ67">IFERROR(_xlfn.IFS(AP67=AP66,AQ66,AQ66="Ramo",1),AQ66+1)</f>
        <v>5</v>
      </c>
      <c r="AR67" s="20">
        <f t="shared" si="33"/>
        <v>0</v>
      </c>
      <c r="AS67" s="20" t="str">
        <f>IF(AND(Carro1[[#This Row],[Nó]]=AI68,Carro1[[#This Row],[Nó]]=AI69),"",AQ67&amp;"|"&amp;AN67)</f>
        <v/>
      </c>
      <c r="AT67" s="20" t="str">
        <f>IF(Carro1[[#This Row],[Tipo]]&lt;&gt;"Deslocação",AQ67&amp;"|"&amp;AN67,"")</f>
        <v>5|4</v>
      </c>
      <c r="AU67" s="20" t="str">
        <f>IF(Carro1[[#This Row],[Tipo]]="Início",AQ67&amp;"|"&amp;AN67,"")</f>
        <v/>
      </c>
    </row>
    <row r="68" spans="33:47" x14ac:dyDescent="0.25">
      <c r="AG68" s="20" t="s">
        <v>121</v>
      </c>
      <c r="AH68" s="20" t="s">
        <v>125</v>
      </c>
      <c r="AI68" s="20" t="s">
        <v>2</v>
      </c>
      <c r="AJ68" s="7">
        <v>0.625</v>
      </c>
      <c r="AK68" s="7">
        <v>0.625</v>
      </c>
      <c r="AL68" s="20" t="s">
        <v>44</v>
      </c>
      <c r="AM68" s="20" t="str">
        <f>+TEXT(Carro1[[#This Row],[Column1]],"hh:mm")&amp;" | " &amp;TEXT(Carro1[[#This Row],[Hora Fim]],"hh:mm")</f>
        <v>14:30 | 15:00</v>
      </c>
      <c r="AN68" s="20">
        <f>INDEX($E$3:$AA$3,MATCH(Carro1[[#This Row],[Nó]],$E$1:$AA$1,0))</f>
        <v>4</v>
      </c>
      <c r="AO68" s="7">
        <f>+IF(AND(Carro1[[#This Row],[Nó]]=AI67,Carro1[[#This Row],[Nó]]=AI69),AO67,Carro1[[#This Row],[Hora Início]])</f>
        <v>0.60416666666666663</v>
      </c>
      <c r="AP68" s="20">
        <f t="shared" si="32"/>
        <v>2</v>
      </c>
      <c r="AQ68" s="20" cm="1">
        <f t="array" ref="AQ68">IFERROR(_xlfn.IFS(AP68=AP67,AQ67,AQ67="Ramo",1),AQ67+1)</f>
        <v>5</v>
      </c>
      <c r="AR68" s="20">
        <f t="shared" si="33"/>
        <v>0</v>
      </c>
      <c r="AS68" s="20" t="str">
        <f>IF(AND(Carro1[[#This Row],[Nó]]=AI69,Carro1[[#This Row],[Nó]]=AI70),"",AQ68&amp;"|"&amp;AN68)</f>
        <v/>
      </c>
      <c r="AT68" s="20" t="str">
        <f>IF(Carro1[[#This Row],[Tipo]]&lt;&gt;"Deslocação",AQ68&amp;"|"&amp;AN68,"")</f>
        <v/>
      </c>
      <c r="AU68" s="20" t="str">
        <f>IF(Carro1[[#This Row],[Tipo]]="Início",AQ68&amp;"|"&amp;AN68,"")</f>
        <v/>
      </c>
    </row>
    <row r="69" spans="33:47" x14ac:dyDescent="0.25">
      <c r="AG69" s="20" t="s">
        <v>122</v>
      </c>
      <c r="AH69" s="20" t="s">
        <v>125</v>
      </c>
      <c r="AI69" s="20" t="s">
        <v>2</v>
      </c>
      <c r="AJ69" s="7">
        <v>0.625</v>
      </c>
      <c r="AK69" s="7">
        <v>0.625</v>
      </c>
      <c r="AL69" s="20" t="s">
        <v>42</v>
      </c>
      <c r="AM69" s="20" t="str">
        <f>+TEXT(Carro1[[#This Row],[Column1]],"hh:mm")&amp;" | " &amp;TEXT(Carro1[[#This Row],[Hora Fim]],"hh:mm")</f>
        <v>14:30 | 15:00</v>
      </c>
      <c r="AN69" s="20">
        <f>INDEX($E$3:$AA$3,MATCH(Carro1[[#This Row],[Nó]],$E$1:$AA$1,0))</f>
        <v>4</v>
      </c>
      <c r="AO69" s="7">
        <f>+IF(AND(Carro1[[#This Row],[Nó]]=AI68,Carro1[[#This Row],[Nó]]=AI70),AO68,Carro1[[#This Row],[Hora Início]])</f>
        <v>0.60416666666666663</v>
      </c>
      <c r="AP69" s="20">
        <f t="shared" si="32"/>
        <v>2</v>
      </c>
      <c r="AQ69" s="20" cm="1">
        <f t="array" ref="AQ69">IFERROR(_xlfn.IFS(AP69=AP68,AQ68,AQ68="Ramo",1),AQ68+1)</f>
        <v>5</v>
      </c>
      <c r="AR69" s="20">
        <f t="shared" si="33"/>
        <v>0</v>
      </c>
      <c r="AS69" s="20" t="str">
        <f>IF(AND(Carro1[[#This Row],[Nó]]=AI70,Carro1[[#This Row],[Nó]]=AI71),"",AQ69&amp;"|"&amp;AN69)</f>
        <v/>
      </c>
      <c r="AT69" s="20" t="str">
        <f>IF(Carro1[[#This Row],[Tipo]]&lt;&gt;"Deslocação",AQ69&amp;"|"&amp;AN69,"")</f>
        <v>5|4</v>
      </c>
      <c r="AU69" s="20" t="str">
        <f>IF(Carro1[[#This Row],[Tipo]]="Início",AQ69&amp;"|"&amp;AN69,"")</f>
        <v>5|4</v>
      </c>
    </row>
    <row r="70" spans="33:47" x14ac:dyDescent="0.25">
      <c r="AG70" s="20" t="s">
        <v>122</v>
      </c>
      <c r="AH70" s="20" t="s">
        <v>125</v>
      </c>
      <c r="AI70" s="20" t="s">
        <v>2</v>
      </c>
      <c r="AJ70" s="7">
        <v>0.625</v>
      </c>
      <c r="AK70" s="7">
        <v>0.625</v>
      </c>
      <c r="AL70" s="20" t="s">
        <v>44</v>
      </c>
      <c r="AM70" s="20" t="str">
        <f>+TEXT(Carro1[[#This Row],[Column1]],"hh:mm")&amp;" | " &amp;TEXT(Carro1[[#This Row],[Hora Fim]],"hh:mm")</f>
        <v>14:30 | 15:00</v>
      </c>
      <c r="AN70" s="20">
        <f>INDEX($E$3:$AA$3,MATCH(Carro1[[#This Row],[Nó]],$E$1:$AA$1,0))</f>
        <v>4</v>
      </c>
      <c r="AO70" s="7">
        <f>+IF(AND(Carro1[[#This Row],[Nó]]=AI69,Carro1[[#This Row],[Nó]]=AI71),AO69,Carro1[[#This Row],[Hora Início]])</f>
        <v>0.60416666666666663</v>
      </c>
      <c r="AP70" s="20">
        <f t="shared" si="32"/>
        <v>2</v>
      </c>
      <c r="AQ70" s="20" cm="1">
        <f t="array" ref="AQ70">IFERROR(_xlfn.IFS(AP70=AP69,AQ69,AQ69="Ramo",1),AQ69+1)</f>
        <v>5</v>
      </c>
      <c r="AR70" s="20">
        <f t="shared" si="33"/>
        <v>0</v>
      </c>
      <c r="AS70" s="20" t="str">
        <f>IF(AND(Carro1[[#This Row],[Nó]]=AI71,Carro1[[#This Row],[Nó]]=AI72),"",AQ70&amp;"|"&amp;AN70)</f>
        <v>5|4</v>
      </c>
      <c r="AT70" s="20" t="str">
        <f>IF(Carro1[[#This Row],[Tipo]]&lt;&gt;"Deslocação",AQ70&amp;"|"&amp;AN70,"")</f>
        <v/>
      </c>
      <c r="AU70" s="20" t="str">
        <f>IF(Carro1[[#This Row],[Tipo]]="Início",AQ70&amp;"|"&amp;AN70,"")</f>
        <v/>
      </c>
    </row>
    <row r="71" spans="33:47" x14ac:dyDescent="0.25">
      <c r="AG71" s="20" t="s">
        <v>122</v>
      </c>
      <c r="AH71" s="20" t="s">
        <v>125</v>
      </c>
      <c r="AI71" s="20" t="s">
        <v>2</v>
      </c>
      <c r="AJ71" s="7">
        <v>0.625</v>
      </c>
      <c r="AK71" s="7">
        <v>0.63541666666666663</v>
      </c>
      <c r="AL71" s="20" t="s">
        <v>47</v>
      </c>
      <c r="AM71" s="20" t="str">
        <f>+TEXT(Carro1[[#This Row],[Column1]],"hh:mm")&amp;" | " &amp;TEXT(Carro1[[#This Row],[Hora Fim]],"hh:mm")</f>
        <v>15:00 | 15:15</v>
      </c>
      <c r="AN71" s="20">
        <f>INDEX($E$3:$AA$3,MATCH(Carro1[[#This Row],[Nó]],$E$1:$AA$1,0))</f>
        <v>4</v>
      </c>
      <c r="AO71" s="7">
        <f>+IF(AND(Carro1[[#This Row],[Nó]]=AI70,Carro1[[#This Row],[Nó]]=AI72),AO70,Carro1[[#This Row],[Hora Início]])</f>
        <v>0.625</v>
      </c>
      <c r="AP71" s="20">
        <f t="shared" si="32"/>
        <v>2</v>
      </c>
      <c r="AQ71" s="20" cm="1">
        <f t="array" ref="AQ71">IFERROR(_xlfn.IFS(AP71=AP70,AQ70,AQ70="Ramo",1),AQ70+1)</f>
        <v>5</v>
      </c>
      <c r="AR71" s="20">
        <f t="shared" si="33"/>
        <v>0</v>
      </c>
      <c r="AS71" s="20" t="str">
        <f>IF(AND(Carro1[[#This Row],[Nó]]=AI72,Carro1[[#This Row],[Nó]]=AI73),"",AQ71&amp;"|"&amp;AN71)</f>
        <v>5|4</v>
      </c>
      <c r="AT71" s="20" t="str">
        <f>IF(Carro1[[#This Row],[Tipo]]&lt;&gt;"Deslocação",AQ71&amp;"|"&amp;AN71,"")</f>
        <v>5|4</v>
      </c>
      <c r="AU71" s="20" t="str">
        <f>IF(Carro1[[#This Row],[Tipo]]="Início",AQ71&amp;"|"&amp;AN71,"")</f>
        <v/>
      </c>
    </row>
    <row r="72" spans="33:47" x14ac:dyDescent="0.25">
      <c r="AG72" s="20" t="s">
        <v>122</v>
      </c>
      <c r="AH72" s="20" t="s">
        <v>124</v>
      </c>
      <c r="AI72" s="20" t="s">
        <v>208</v>
      </c>
      <c r="AJ72" s="7">
        <v>0.63888888888888884</v>
      </c>
      <c r="AK72" s="7">
        <v>0.63888888888888884</v>
      </c>
      <c r="AL72" s="20" t="s">
        <v>44</v>
      </c>
      <c r="AM72" s="20" t="str">
        <f>+TEXT(Carro1[[#This Row],[Column1]],"hh:mm")&amp;" | " &amp;TEXT(Carro1[[#This Row],[Hora Fim]],"hh:mm")</f>
        <v>15:20 | 15:20</v>
      </c>
      <c r="AN72" s="20">
        <f>INDEX($E$3:$AA$3,MATCH(Carro1[[#This Row],[Nó]],$E$1:$AA$1,0))</f>
        <v>3</v>
      </c>
      <c r="AO72" s="7">
        <f>+IF(AND(Carro1[[#This Row],[Nó]]=AI71,Carro1[[#This Row],[Nó]]=AI73),AO71,Carro1[[#This Row],[Hora Início]])</f>
        <v>0.63888888888888884</v>
      </c>
      <c r="AP72" s="20">
        <f t="shared" si="32"/>
        <v>2</v>
      </c>
      <c r="AQ72" s="20" cm="1">
        <f t="array" ref="AQ72">IFERROR(_xlfn.IFS(AP72=AP71,AQ71,AQ71="Ramo",1),AQ71+1)</f>
        <v>5</v>
      </c>
      <c r="AR72" s="20">
        <f t="shared" si="33"/>
        <v>0</v>
      </c>
      <c r="AS72" s="20" t="str">
        <f>IF(AND(Carro1[[#This Row],[Nó]]=AI73,Carro1[[#This Row],[Nó]]=AI74),"",AQ72&amp;"|"&amp;AN72)</f>
        <v>5|3</v>
      </c>
      <c r="AT72" s="20" t="str">
        <f>IF(Carro1[[#This Row],[Tipo]]&lt;&gt;"Deslocação",AQ72&amp;"|"&amp;AN72,"")</f>
        <v/>
      </c>
      <c r="AU72" s="20" t="str">
        <f>IF(Carro1[[#This Row],[Tipo]]="Início",AQ72&amp;"|"&amp;AN72,"")</f>
        <v/>
      </c>
    </row>
    <row r="73" spans="33:47" x14ac:dyDescent="0.25">
      <c r="AG73" s="20" t="s">
        <v>122</v>
      </c>
      <c r="AH73" s="20" t="s">
        <v>124</v>
      </c>
      <c r="AI73" s="20" t="s">
        <v>208</v>
      </c>
      <c r="AJ73" s="7">
        <v>0.63888888888888884</v>
      </c>
      <c r="AK73" s="7">
        <v>0.6479166666666667</v>
      </c>
      <c r="AL73" s="20" t="s">
        <v>43</v>
      </c>
      <c r="AM73" s="20" t="str">
        <f>+TEXT(Carro1[[#This Row],[Column1]],"hh:mm")&amp;" | " &amp;TEXT(Carro1[[#This Row],[Hora Fim]],"hh:mm")</f>
        <v>15:20 | 15:33</v>
      </c>
      <c r="AN73" s="20">
        <f>INDEX($E$3:$AA$3,MATCH(Carro1[[#This Row],[Nó]],$E$1:$AA$1,0))</f>
        <v>3</v>
      </c>
      <c r="AO73" s="7">
        <f>+IF(AND(Carro1[[#This Row],[Nó]]=AI72,Carro1[[#This Row],[Nó]]=AI74),AO72,Carro1[[#This Row],[Hora Início]])</f>
        <v>0.63888888888888884</v>
      </c>
      <c r="AP73" s="20">
        <f t="shared" si="32"/>
        <v>2</v>
      </c>
      <c r="AQ73" s="20" cm="1">
        <f t="array" ref="AQ73">IFERROR(_xlfn.IFS(AP73=AP72,AQ72,AQ72="Ramo",1),AQ72+1)</f>
        <v>5</v>
      </c>
      <c r="AR73" s="20">
        <f t="shared" si="33"/>
        <v>0</v>
      </c>
      <c r="AS73" s="20" t="str">
        <f>IF(AND(Carro1[[#This Row],[Nó]]=AI74,Carro1[[#This Row],[Nó]]=AI75),"",AQ73&amp;"|"&amp;AN73)</f>
        <v>5|3</v>
      </c>
      <c r="AT73" s="20" t="str">
        <f>IF(Carro1[[#This Row],[Tipo]]&lt;&gt;"Deslocação",AQ73&amp;"|"&amp;AN73,"")</f>
        <v>5|3</v>
      </c>
      <c r="AU73" s="20" t="str">
        <f>IF(Carro1[[#This Row],[Tipo]]="Início",AQ73&amp;"|"&amp;AN73,"")</f>
        <v/>
      </c>
    </row>
    <row r="74" spans="33:47" x14ac:dyDescent="0.25">
      <c r="AG74" s="20" t="s">
        <v>122</v>
      </c>
      <c r="AH74" s="20" t="s">
        <v>123</v>
      </c>
      <c r="AI74" s="20" t="s">
        <v>228</v>
      </c>
      <c r="AJ74" s="7">
        <v>0.65</v>
      </c>
      <c r="AK74" s="7">
        <v>0.65</v>
      </c>
      <c r="AL74" s="20" t="s">
        <v>44</v>
      </c>
      <c r="AM74" s="20" t="str">
        <f>+TEXT(Carro1[[#This Row],[Column1]],"hh:mm")&amp;" | " &amp;TEXT(Carro1[[#This Row],[Hora Fim]],"hh:mm")</f>
        <v>15:36 | 15:36</v>
      </c>
      <c r="AN74" s="20">
        <f>INDEX($E$3:$AA$3,MATCH(Carro1[[#This Row],[Nó]],$E$1:$AA$1,0))</f>
        <v>2</v>
      </c>
      <c r="AO74" s="7">
        <f>+IF(AND(Carro1[[#This Row],[Nó]]=AI73,Carro1[[#This Row],[Nó]]=AI75),AO73,Carro1[[#This Row],[Hora Início]])</f>
        <v>0.65</v>
      </c>
      <c r="AP74" s="20">
        <f t="shared" si="32"/>
        <v>2</v>
      </c>
      <c r="AQ74" s="20" cm="1">
        <f t="array" ref="AQ74">IFERROR(_xlfn.IFS(AP74=AP73,AQ73,AQ73="Ramo",1),AQ73+1)</f>
        <v>5</v>
      </c>
      <c r="AR74" s="20">
        <f t="shared" si="33"/>
        <v>0</v>
      </c>
      <c r="AS74" s="20" t="str">
        <f>IF(AND(Carro1[[#This Row],[Nó]]=AI75,Carro1[[#This Row],[Nó]]=AI76),"",AQ74&amp;"|"&amp;AN74)</f>
        <v>5|2</v>
      </c>
      <c r="AT74" s="20" t="str">
        <f>IF(Carro1[[#This Row],[Tipo]]&lt;&gt;"Deslocação",AQ74&amp;"|"&amp;AN74,"")</f>
        <v/>
      </c>
      <c r="AU74" s="20" t="str">
        <f>IF(Carro1[[#This Row],[Tipo]]="Início",AQ74&amp;"|"&amp;AN74,"")</f>
        <v/>
      </c>
    </row>
    <row r="75" spans="33:47" x14ac:dyDescent="0.25">
      <c r="AG75" s="20" t="s">
        <v>122</v>
      </c>
      <c r="AH75" s="20" t="s">
        <v>122</v>
      </c>
      <c r="AI75" s="20" t="s">
        <v>200</v>
      </c>
      <c r="AJ75" s="7">
        <v>0.65069444444444446</v>
      </c>
      <c r="AK75" s="7">
        <v>0.65069444444444446</v>
      </c>
      <c r="AL75" s="20" t="s">
        <v>44</v>
      </c>
      <c r="AM75" s="20" t="str">
        <f>+TEXT(Carro1[[#This Row],[Column1]],"hh:mm")&amp;" | " &amp;TEXT(Carro1[[#This Row],[Hora Fim]],"hh:mm")</f>
        <v>15:37 | 15:37</v>
      </c>
      <c r="AN75" s="20">
        <f>INDEX($E$3:$AA$3,MATCH(Carro1[[#This Row],[Nó]],$E$1:$AA$1,0))</f>
        <v>1</v>
      </c>
      <c r="AO75" s="7">
        <f>+IF(AND(Carro1[[#This Row],[Nó]]=AI74,Carro1[[#This Row],[Nó]]=AI76),AO74,Carro1[[#This Row],[Hora Início]])</f>
        <v>0.65069444444444446</v>
      </c>
      <c r="AP75" s="20">
        <f t="shared" si="32"/>
        <v>2</v>
      </c>
      <c r="AQ75" s="20" cm="1">
        <f t="array" ref="AQ75">IFERROR(_xlfn.IFS(AP75=AP74,AQ74,AQ74="Ramo",1),AQ74+1)</f>
        <v>5</v>
      </c>
      <c r="AR75" s="20">
        <f t="shared" si="33"/>
        <v>0</v>
      </c>
      <c r="AS75" s="20" t="str">
        <f>IF(AND(Carro1[[#This Row],[Nó]]=AI76,Carro1[[#This Row],[Nó]]=AI77),"",AQ75&amp;"|"&amp;AN75)</f>
        <v>5|1</v>
      </c>
      <c r="AT75" s="20" t="str">
        <f>IF(Carro1[[#This Row],[Tipo]]&lt;&gt;"Deslocação",AQ75&amp;"|"&amp;AN75,"")</f>
        <v/>
      </c>
      <c r="AU75" s="20" t="str">
        <f>IF(Carro1[[#This Row],[Tipo]]="Início",AQ75&amp;"|"&amp;AN75,"")</f>
        <v/>
      </c>
    </row>
    <row r="76" spans="33:47" x14ac:dyDescent="0.25">
      <c r="AG76" s="20" t="s">
        <v>122</v>
      </c>
      <c r="AH76" s="20" t="s">
        <v>121</v>
      </c>
      <c r="AI76" s="20" t="s">
        <v>203</v>
      </c>
      <c r="AJ76" s="7">
        <v>0.65208333333333335</v>
      </c>
      <c r="AK76" s="7">
        <v>0.65208333333333335</v>
      </c>
      <c r="AL76" s="20" t="s">
        <v>44</v>
      </c>
      <c r="AM76" s="20" t="str">
        <f>+TEXT(Carro1[[#This Row],[Column1]],"hh:mm")&amp;" | " &amp;TEXT(Carro1[[#This Row],[Hora Fim]],"hh:mm")</f>
        <v>15:39 | 15:39</v>
      </c>
      <c r="AN76" s="20">
        <f>INDEX($E$3:$AA$3,MATCH(Carro1[[#This Row],[Nó]],$E$1:$AA$1,0))</f>
        <v>0</v>
      </c>
      <c r="AO76" s="7">
        <f>+IF(AND(Carro1[[#This Row],[Nó]]=AI75,Carro1[[#This Row],[Nó]]=AI77),AO75,Carro1[[#This Row],[Hora Início]])</f>
        <v>0.65208333333333335</v>
      </c>
      <c r="AP76" s="20">
        <f t="shared" si="32"/>
        <v>2</v>
      </c>
      <c r="AQ76" s="20" cm="1">
        <f t="array" ref="AQ76">IFERROR(_xlfn.IFS(AP76=AP75,AQ75,AQ75="Ramo",1),AQ75+1)</f>
        <v>5</v>
      </c>
      <c r="AR76" s="20">
        <f t="shared" si="33"/>
        <v>0</v>
      </c>
      <c r="AS76" s="20" t="str">
        <f>IF(AND(Carro1[[#This Row],[Nó]]=AI77,Carro1[[#This Row],[Nó]]=AI78),"",AQ76&amp;"|"&amp;AN76)</f>
        <v/>
      </c>
      <c r="AT76" s="20" t="str">
        <f>IF(Carro1[[#This Row],[Tipo]]&lt;&gt;"Deslocação",AQ76&amp;"|"&amp;AN76,"")</f>
        <v/>
      </c>
      <c r="AU76" s="20" t="str">
        <f>IF(Carro1[[#This Row],[Tipo]]="Início",AQ76&amp;"|"&amp;AN76,"")</f>
        <v/>
      </c>
    </row>
    <row r="77" spans="33:47" x14ac:dyDescent="0.25">
      <c r="AG77" s="20" t="s">
        <v>122</v>
      </c>
      <c r="AH77" s="20" t="s">
        <v>121</v>
      </c>
      <c r="AI77" s="20" t="s">
        <v>203</v>
      </c>
      <c r="AJ77" s="7">
        <v>0.65208333333333335</v>
      </c>
      <c r="AK77" s="7">
        <v>0.67291666666666672</v>
      </c>
      <c r="AL77" s="20" t="s">
        <v>45</v>
      </c>
      <c r="AM77" s="20" t="str">
        <f>+TEXT(Carro1[[#This Row],[Column1]],"hh:mm")&amp;" | " &amp;TEXT(Carro1[[#This Row],[Hora Fim]],"hh:mm")</f>
        <v>15:39 | 16:09</v>
      </c>
      <c r="AN77" s="20">
        <f>INDEX($E$3:$AA$3,MATCH(Carro1[[#This Row],[Nó]],$E$1:$AA$1,0))</f>
        <v>0</v>
      </c>
      <c r="AO77" s="7">
        <f>+IF(AND(Carro1[[#This Row],[Nó]]=AI76,Carro1[[#This Row],[Nó]]=AI78),AO76,Carro1[[#This Row],[Hora Início]])</f>
        <v>0.65208333333333335</v>
      </c>
      <c r="AP77" s="20">
        <f t="shared" si="32"/>
        <v>2</v>
      </c>
      <c r="AQ77" s="20" cm="1">
        <f t="array" ref="AQ77">IFERROR(_xlfn.IFS(AP77=AP76,AQ76,AQ76="Ramo",1),AQ76+1)</f>
        <v>5</v>
      </c>
      <c r="AR77" s="20">
        <f t="shared" si="33"/>
        <v>0</v>
      </c>
      <c r="AS77" s="20" t="str">
        <f>IF(AND(Carro1[[#This Row],[Nó]]=AI78,Carro1[[#This Row],[Nó]]=AI79),"",AQ77&amp;"|"&amp;AN77)</f>
        <v>5|0</v>
      </c>
      <c r="AT77" s="20" t="str">
        <f>IF(Carro1[[#This Row],[Tipo]]&lt;&gt;"Deslocação",AQ77&amp;"|"&amp;AN77,"")</f>
        <v>5|0</v>
      </c>
      <c r="AU77" s="20" t="str">
        <f>IF(Carro1[[#This Row],[Tipo]]="Início",AQ77&amp;"|"&amp;AN77,"")</f>
        <v/>
      </c>
    </row>
    <row r="78" spans="33:47" x14ac:dyDescent="0.25">
      <c r="AG78" s="20" t="s">
        <v>122</v>
      </c>
      <c r="AH78" s="20" t="s">
        <v>121</v>
      </c>
      <c r="AI78" s="20" t="s">
        <v>203</v>
      </c>
      <c r="AJ78" s="7">
        <v>0.67291666666666672</v>
      </c>
      <c r="AK78" s="7">
        <v>0.67291666666666672</v>
      </c>
      <c r="AL78" s="20" t="s">
        <v>44</v>
      </c>
      <c r="AM78" s="20" t="str">
        <f>+TEXT(Carro1[[#This Row],[Column1]],"hh:mm")&amp;" | " &amp;TEXT(Carro1[[#This Row],[Hora Fim]],"hh:mm")</f>
        <v>16:09 | 16:09</v>
      </c>
      <c r="AN78" s="20">
        <f>INDEX($E$3:$AA$3,MATCH(Carro1[[#This Row],[Nó]],$E$1:$AA$1,0))</f>
        <v>0</v>
      </c>
      <c r="AO78" s="7">
        <f>+IF(AND(Carro1[[#This Row],[Nó]]=AI77,Carro1[[#This Row],[Nó]]=AI79),AO77,Carro1[[#This Row],[Hora Início]])</f>
        <v>0.67291666666666672</v>
      </c>
      <c r="AP78" s="20">
        <f t="shared" si="32"/>
        <v>1</v>
      </c>
      <c r="AQ78" s="20" cm="1">
        <f t="array" ref="AQ78">IFERROR(_xlfn.IFS(AP78=AP77,AQ77,AQ77="Ramo",1),AQ77+1)</f>
        <v>6</v>
      </c>
      <c r="AR78" s="20">
        <f t="shared" si="33"/>
        <v>1</v>
      </c>
      <c r="AS78" s="20" t="str">
        <f>IF(AND(Carro1[[#This Row],[Nó]]=AI79,Carro1[[#This Row],[Nó]]=AI80),"",AQ78&amp;"|"&amp;AN78)</f>
        <v>6|0</v>
      </c>
      <c r="AT78" s="20" t="str">
        <f>IF(Carro1[[#This Row],[Tipo]]&lt;&gt;"Deslocação",AQ78&amp;"|"&amp;AN78,"")</f>
        <v/>
      </c>
      <c r="AU78" s="20" t="str">
        <f>IF(Carro1[[#This Row],[Tipo]]="Início",AQ78&amp;"|"&amp;AN78,"")</f>
        <v/>
      </c>
    </row>
    <row r="79" spans="33:47" x14ac:dyDescent="0.25">
      <c r="AG79" s="20" t="s">
        <v>122</v>
      </c>
      <c r="AH79" s="20" t="s">
        <v>122</v>
      </c>
      <c r="AI79" s="20" t="s">
        <v>200</v>
      </c>
      <c r="AJ79" s="7">
        <v>0.6743055555555556</v>
      </c>
      <c r="AK79" s="7">
        <v>0.6743055555555556</v>
      </c>
      <c r="AL79" s="20" t="s">
        <v>44</v>
      </c>
      <c r="AM79" s="20" t="str">
        <f>+TEXT(Carro1[[#This Row],[Column1]],"hh:mm")&amp;" | " &amp;TEXT(Carro1[[#This Row],[Hora Fim]],"hh:mm")</f>
        <v>16:11 | 16:11</v>
      </c>
      <c r="AN79" s="20">
        <f>INDEX($E$3:$AA$3,MATCH(Carro1[[#This Row],[Nó]],$E$1:$AA$1,0))</f>
        <v>1</v>
      </c>
      <c r="AO79" s="7">
        <f>+IF(AND(Carro1[[#This Row],[Nó]]=AI78,Carro1[[#This Row],[Nó]]=AI80),AO78,Carro1[[#This Row],[Hora Início]])</f>
        <v>0.6743055555555556</v>
      </c>
      <c r="AP79" s="20">
        <f t="shared" si="32"/>
        <v>1</v>
      </c>
      <c r="AQ79" s="20" cm="1">
        <f t="array" ref="AQ79">IFERROR(_xlfn.IFS(AP79=AP78,AQ78,AQ78="Ramo",1),AQ78+1)</f>
        <v>6</v>
      </c>
      <c r="AR79" s="20">
        <f t="shared" si="33"/>
        <v>0</v>
      </c>
      <c r="AS79" s="20" t="str">
        <f>IF(AND(Carro1[[#This Row],[Nó]]=AI80,Carro1[[#This Row],[Nó]]=AI81),"",AQ79&amp;"|"&amp;AN79)</f>
        <v>6|1</v>
      </c>
      <c r="AT79" s="20" t="str">
        <f>IF(Carro1[[#This Row],[Tipo]]&lt;&gt;"Deslocação",AQ79&amp;"|"&amp;AN79,"")</f>
        <v/>
      </c>
      <c r="AU79" s="20" t="str">
        <f>IF(Carro1[[#This Row],[Tipo]]="Início",AQ79&amp;"|"&amp;AN79,"")</f>
        <v/>
      </c>
    </row>
    <row r="80" spans="33:47" x14ac:dyDescent="0.25">
      <c r="AG80" s="20" t="s">
        <v>122</v>
      </c>
      <c r="AH80" s="20" t="s">
        <v>122</v>
      </c>
      <c r="AI80" s="20" t="s">
        <v>200</v>
      </c>
      <c r="AJ80" s="7">
        <v>0.6743055555555556</v>
      </c>
      <c r="AK80" s="7">
        <v>0.67708333333333337</v>
      </c>
      <c r="AL80" s="20" t="s">
        <v>43</v>
      </c>
      <c r="AM80" s="20" t="str">
        <f>+TEXT(Carro1[[#This Row],[Column1]],"hh:mm")&amp;" | " &amp;TEXT(Carro1[[#This Row],[Hora Fim]],"hh:mm")</f>
        <v>16:11 | 16:15</v>
      </c>
      <c r="AN80" s="20">
        <f>INDEX($E$3:$AA$3,MATCH(Carro1[[#This Row],[Nó]],$E$1:$AA$1,0))</f>
        <v>1</v>
      </c>
      <c r="AO80" s="7">
        <f>+IF(AND(Carro1[[#This Row],[Nó]]=AI79,Carro1[[#This Row],[Nó]]=AI81),AO79,Carro1[[#This Row],[Hora Início]])</f>
        <v>0.6743055555555556</v>
      </c>
      <c r="AP80" s="20">
        <f t="shared" si="32"/>
        <v>1</v>
      </c>
      <c r="AQ80" s="20" cm="1">
        <f t="array" ref="AQ80">IFERROR(_xlfn.IFS(AP80=AP79,AQ79,AQ79="Ramo",1),AQ79+1)</f>
        <v>6</v>
      </c>
      <c r="AR80" s="20">
        <f t="shared" si="33"/>
        <v>0</v>
      </c>
      <c r="AS80" s="20" t="str">
        <f>IF(AND(Carro1[[#This Row],[Nó]]=AI81,Carro1[[#This Row],[Nó]]=AI82),"",AQ80&amp;"|"&amp;AN80)</f>
        <v>6|1</v>
      </c>
      <c r="AT80" s="20" t="str">
        <f>IF(Carro1[[#This Row],[Tipo]]&lt;&gt;"Deslocação",AQ80&amp;"|"&amp;AN80,"")</f>
        <v>6|1</v>
      </c>
      <c r="AU80" s="20" t="str">
        <f>IF(Carro1[[#This Row],[Tipo]]="Início",AQ80&amp;"|"&amp;AN80,"")</f>
        <v/>
      </c>
    </row>
    <row r="81" spans="33:47" x14ac:dyDescent="0.25">
      <c r="AG81" s="20" t="s">
        <v>122</v>
      </c>
      <c r="AH81" s="20" t="s">
        <v>123</v>
      </c>
      <c r="AI81" s="20" t="s">
        <v>228</v>
      </c>
      <c r="AJ81" s="7">
        <v>0.67777777777777781</v>
      </c>
      <c r="AK81" s="7">
        <v>0.67777777777777781</v>
      </c>
      <c r="AL81" s="20" t="s">
        <v>44</v>
      </c>
      <c r="AM81" s="20" t="str">
        <f>+TEXT(Carro1[[#This Row],[Column1]],"hh:mm")&amp;" | " &amp;TEXT(Carro1[[#This Row],[Hora Fim]],"hh:mm")</f>
        <v>16:16 | 16:16</v>
      </c>
      <c r="AN81" s="20">
        <f>INDEX($E$3:$AA$3,MATCH(Carro1[[#This Row],[Nó]],$E$1:$AA$1,0))</f>
        <v>2</v>
      </c>
      <c r="AO81" s="7">
        <f>+IF(AND(Carro1[[#This Row],[Nó]]=AI80,Carro1[[#This Row],[Nó]]=AI82),AO80,Carro1[[#This Row],[Hora Início]])</f>
        <v>0.67777777777777781</v>
      </c>
      <c r="AP81" s="20">
        <f t="shared" si="32"/>
        <v>1</v>
      </c>
      <c r="AQ81" s="20" cm="1">
        <f t="array" ref="AQ81">IFERROR(_xlfn.IFS(AP81=AP80,AQ80,AQ80="Ramo",1),AQ80+1)</f>
        <v>6</v>
      </c>
      <c r="AR81" s="20">
        <f t="shared" si="33"/>
        <v>0</v>
      </c>
      <c r="AS81" s="20" t="str">
        <f>IF(AND(Carro1[[#This Row],[Nó]]=AI82,Carro1[[#This Row],[Nó]]=AI83),"",AQ81&amp;"|"&amp;AN81)</f>
        <v>6|2</v>
      </c>
      <c r="AT81" s="20" t="str">
        <f>IF(Carro1[[#This Row],[Tipo]]&lt;&gt;"Deslocação",AQ81&amp;"|"&amp;AN81,"")</f>
        <v/>
      </c>
      <c r="AU81" s="20" t="str">
        <f>IF(Carro1[[#This Row],[Tipo]]="Início",AQ81&amp;"|"&amp;AN81,"")</f>
        <v/>
      </c>
    </row>
    <row r="82" spans="33:47" x14ac:dyDescent="0.25">
      <c r="AG82" s="20" t="s">
        <v>122</v>
      </c>
      <c r="AH82" s="20" t="s">
        <v>123</v>
      </c>
      <c r="AI82" s="20" t="s">
        <v>228</v>
      </c>
      <c r="AJ82" s="7">
        <v>0.67777777777777781</v>
      </c>
      <c r="AK82" s="7">
        <v>0.69027777777777777</v>
      </c>
      <c r="AL82" s="20" t="s">
        <v>43</v>
      </c>
      <c r="AM82" s="20" t="str">
        <f>+TEXT(Carro1[[#This Row],[Column1]],"hh:mm")&amp;" | " &amp;TEXT(Carro1[[#This Row],[Hora Fim]],"hh:mm")</f>
        <v>16:16 | 16:34</v>
      </c>
      <c r="AN82" s="20">
        <f>INDEX($E$3:$AA$3,MATCH(Carro1[[#This Row],[Nó]],$E$1:$AA$1,0))</f>
        <v>2</v>
      </c>
      <c r="AO82" s="7">
        <f>+IF(AND(Carro1[[#This Row],[Nó]]=AI81,Carro1[[#This Row],[Nó]]=AI83),AO81,Carro1[[#This Row],[Hora Início]])</f>
        <v>0.67777777777777781</v>
      </c>
      <c r="AP82" s="20">
        <f t="shared" si="32"/>
        <v>1</v>
      </c>
      <c r="AQ82" s="20" cm="1">
        <f t="array" ref="AQ82">IFERROR(_xlfn.IFS(AP82=AP81,AQ81,AQ81="Ramo",1),AQ81+1)</f>
        <v>6</v>
      </c>
      <c r="AR82" s="20">
        <f t="shared" si="33"/>
        <v>0</v>
      </c>
      <c r="AS82" s="20" t="str">
        <f>IF(AND(Carro1[[#This Row],[Nó]]=AI83,Carro1[[#This Row],[Nó]]=AI84),"",AQ82&amp;"|"&amp;AN82)</f>
        <v>6|2</v>
      </c>
      <c r="AT82" s="20" t="str">
        <f>IF(Carro1[[#This Row],[Tipo]]&lt;&gt;"Deslocação",AQ82&amp;"|"&amp;AN82,"")</f>
        <v>6|2</v>
      </c>
      <c r="AU82" s="20" t="str">
        <f>IF(Carro1[[#This Row],[Tipo]]="Início",AQ82&amp;"|"&amp;AN82,"")</f>
        <v/>
      </c>
    </row>
    <row r="83" spans="33:47" x14ac:dyDescent="0.25">
      <c r="AG83" s="20" t="s">
        <v>122</v>
      </c>
      <c r="AH83" s="20" t="s">
        <v>124</v>
      </c>
      <c r="AI83" s="20" t="s">
        <v>208</v>
      </c>
      <c r="AJ83" s="7">
        <v>0.69236111111111109</v>
      </c>
      <c r="AK83" s="7">
        <v>0.69236111111111109</v>
      </c>
      <c r="AL83" s="20" t="s">
        <v>44</v>
      </c>
      <c r="AM83" s="20" t="str">
        <f>+TEXT(Carro1[[#This Row],[Column1]],"hh:mm")&amp;" | " &amp;TEXT(Carro1[[#This Row],[Hora Fim]],"hh:mm")</f>
        <v>16:37 | 16:37</v>
      </c>
      <c r="AN83" s="20">
        <f>INDEX($E$3:$AA$3,MATCH(Carro1[[#This Row],[Nó]],$E$1:$AA$1,0))</f>
        <v>3</v>
      </c>
      <c r="AO83" s="7">
        <f>+IF(AND(Carro1[[#This Row],[Nó]]=AI82,Carro1[[#This Row],[Nó]]=AI84),AO82,Carro1[[#This Row],[Hora Início]])</f>
        <v>0.69236111111111109</v>
      </c>
      <c r="AP83" s="20">
        <f t="shared" si="32"/>
        <v>1</v>
      </c>
      <c r="AQ83" s="20" cm="1">
        <f t="array" ref="AQ83">IFERROR(_xlfn.IFS(AP83=AP82,AQ82,AQ82="Ramo",1),AQ82+1)</f>
        <v>6</v>
      </c>
      <c r="AR83" s="20">
        <f t="shared" si="33"/>
        <v>0</v>
      </c>
      <c r="AS83" s="20" t="str">
        <f>IF(AND(Carro1[[#This Row],[Nó]]=AI84,Carro1[[#This Row],[Nó]]=AI85),"",AQ83&amp;"|"&amp;AN83)</f>
        <v>6|3</v>
      </c>
      <c r="AT83" s="20" t="str">
        <f>IF(Carro1[[#This Row],[Tipo]]&lt;&gt;"Deslocação",AQ83&amp;"|"&amp;AN83,"")</f>
        <v/>
      </c>
      <c r="AU83" s="20" t="str">
        <f>IF(Carro1[[#This Row],[Tipo]]="Início",AQ83&amp;"|"&amp;AN83,"")</f>
        <v/>
      </c>
    </row>
    <row r="84" spans="33:47" x14ac:dyDescent="0.25">
      <c r="AG84" s="20" t="s">
        <v>122</v>
      </c>
      <c r="AH84" s="20" t="s">
        <v>124</v>
      </c>
      <c r="AI84" s="20" t="s">
        <v>208</v>
      </c>
      <c r="AJ84" s="7">
        <v>0.69236111111111109</v>
      </c>
      <c r="AK84" s="7">
        <v>0.70138888888888884</v>
      </c>
      <c r="AL84" s="20" t="s">
        <v>43</v>
      </c>
      <c r="AM84" s="20" t="str">
        <f>+TEXT(Carro1[[#This Row],[Column1]],"hh:mm")&amp;" | " &amp;TEXT(Carro1[[#This Row],[Hora Fim]],"hh:mm")</f>
        <v>16:37 | 16:50</v>
      </c>
      <c r="AN84" s="20">
        <f>INDEX($E$3:$AA$3,MATCH(Carro1[[#This Row],[Nó]],$E$1:$AA$1,0))</f>
        <v>3</v>
      </c>
      <c r="AO84" s="7">
        <f>+IF(AND(Carro1[[#This Row],[Nó]]=AI83,Carro1[[#This Row],[Nó]]=AI85),AO83,Carro1[[#This Row],[Hora Início]])</f>
        <v>0.69236111111111109</v>
      </c>
      <c r="AP84" s="20">
        <f t="shared" si="32"/>
        <v>1</v>
      </c>
      <c r="AQ84" s="20" cm="1">
        <f t="array" ref="AQ84">IFERROR(_xlfn.IFS(AP84=AP83,AQ83,AQ83="Ramo",1),AQ83+1)</f>
        <v>6</v>
      </c>
      <c r="AR84" s="20">
        <f t="shared" si="33"/>
        <v>0</v>
      </c>
      <c r="AS84" s="20" t="str">
        <f>IF(AND(Carro1[[#This Row],[Nó]]=AI85,Carro1[[#This Row],[Nó]]=AI86),"",AQ84&amp;"|"&amp;AN84)</f>
        <v>6|3</v>
      </c>
      <c r="AT84" s="20" t="str">
        <f>IF(Carro1[[#This Row],[Tipo]]&lt;&gt;"Deslocação",AQ84&amp;"|"&amp;AN84,"")</f>
        <v>6|3</v>
      </c>
      <c r="AU84" s="20" t="str">
        <f>IF(Carro1[[#This Row],[Tipo]]="Início",AQ84&amp;"|"&amp;AN84,"")</f>
        <v/>
      </c>
    </row>
    <row r="85" spans="33:47" x14ac:dyDescent="0.25">
      <c r="AG85" s="20" t="s">
        <v>122</v>
      </c>
      <c r="AH85" s="20" t="s">
        <v>125</v>
      </c>
      <c r="AI85" s="20" t="s">
        <v>2</v>
      </c>
      <c r="AJ85" s="7">
        <v>0.70486111111111116</v>
      </c>
      <c r="AK85" s="7">
        <v>0.70486111111111116</v>
      </c>
      <c r="AL85" s="20" t="s">
        <v>44</v>
      </c>
      <c r="AM85" s="20" t="str">
        <f>+TEXT(Carro1[[#This Row],[Column1]],"hh:mm")&amp;" | " &amp;TEXT(Carro1[[#This Row],[Hora Fim]],"hh:mm")</f>
        <v>16:55 | 16:55</v>
      </c>
      <c r="AN85" s="20">
        <f>INDEX($E$3:$AA$3,MATCH(Carro1[[#This Row],[Nó]],$E$1:$AA$1,0))</f>
        <v>4</v>
      </c>
      <c r="AO85" s="7">
        <f>+IF(AND(Carro1[[#This Row],[Nó]]=AI84,Carro1[[#This Row],[Nó]]=AI86),AO84,Carro1[[#This Row],[Hora Início]])</f>
        <v>0.70486111111111116</v>
      </c>
      <c r="AP85" s="20">
        <f t="shared" si="32"/>
        <v>1</v>
      </c>
      <c r="AQ85" s="20" cm="1">
        <f t="array" ref="AQ85">IFERROR(_xlfn.IFS(AP85=AP84,AQ84,AQ84="Ramo",1),AQ84+1)</f>
        <v>6</v>
      </c>
      <c r="AR85" s="20">
        <f t="shared" si="33"/>
        <v>0</v>
      </c>
      <c r="AS85" s="20" t="str">
        <f>IF(AND(Carro1[[#This Row],[Nó]]=AI86,Carro1[[#This Row],[Nó]]=AI87),"",AQ85&amp;"|"&amp;AN85)</f>
        <v>6|4</v>
      </c>
      <c r="AT85" s="20" t="str">
        <f>IF(Carro1[[#This Row],[Tipo]]&lt;&gt;"Deslocação",AQ85&amp;"|"&amp;AN85,"")</f>
        <v/>
      </c>
      <c r="AU85" s="20" t="str">
        <f>IF(Carro1[[#This Row],[Tipo]]="Início",AQ85&amp;"|"&amp;AN85,"")</f>
        <v/>
      </c>
    </row>
    <row r="86" spans="33:47" x14ac:dyDescent="0.25">
      <c r="AG86" s="20" t="s">
        <v>122</v>
      </c>
      <c r="AH86" s="20" t="s">
        <v>125</v>
      </c>
      <c r="AI86" s="20" t="s">
        <v>2</v>
      </c>
      <c r="AJ86" s="7">
        <v>0.70486111111111116</v>
      </c>
      <c r="AK86" s="7">
        <v>0.71388888888888891</v>
      </c>
      <c r="AL86" s="20" t="s">
        <v>43</v>
      </c>
      <c r="AM86" s="20" t="str">
        <f>+TEXT(Carro1[[#This Row],[Column1]],"hh:mm")&amp;" | " &amp;TEXT(Carro1[[#This Row],[Hora Fim]],"hh:mm")</f>
        <v>16:55 | 17:08</v>
      </c>
      <c r="AN86" s="20">
        <f>INDEX($E$3:$AA$3,MATCH(Carro1[[#This Row],[Nó]],$E$1:$AA$1,0))</f>
        <v>4</v>
      </c>
      <c r="AO86" s="7">
        <f>+IF(AND(Carro1[[#This Row],[Nó]]=AI85,Carro1[[#This Row],[Nó]]=AI87),AO85,Carro1[[#This Row],[Hora Início]])</f>
        <v>0.70486111111111116</v>
      </c>
      <c r="AP86" s="20">
        <f t="shared" si="32"/>
        <v>1</v>
      </c>
      <c r="AQ86" s="20" cm="1">
        <f t="array" ref="AQ86">IFERROR(_xlfn.IFS(AP86=AP85,AQ85,AQ85="Ramo",1),AQ85+1)</f>
        <v>6</v>
      </c>
      <c r="AR86" s="20">
        <f t="shared" si="33"/>
        <v>0</v>
      </c>
      <c r="AS86" s="20" t="str">
        <f>IF(AND(Carro1[[#This Row],[Nó]]=AI87,Carro1[[#This Row],[Nó]]=AI88),"",AQ86&amp;"|"&amp;AN86)</f>
        <v>6|4</v>
      </c>
      <c r="AT86" s="20" t="str">
        <f>IF(Carro1[[#This Row],[Tipo]]&lt;&gt;"Deslocação",AQ86&amp;"|"&amp;AN86,"")</f>
        <v>6|4</v>
      </c>
      <c r="AU86" s="20" t="str">
        <f>IF(Carro1[[#This Row],[Tipo]]="Início",AQ86&amp;"|"&amp;AN86,"")</f>
        <v/>
      </c>
    </row>
    <row r="87" spans="33:47" x14ac:dyDescent="0.25">
      <c r="AG87" s="20" t="s">
        <v>122</v>
      </c>
      <c r="AH87" s="20" t="s">
        <v>172</v>
      </c>
      <c r="AI87" s="20" t="s">
        <v>215</v>
      </c>
      <c r="AJ87" s="7">
        <v>0.71597222222222223</v>
      </c>
      <c r="AK87" s="7">
        <v>0.71597222222222223</v>
      </c>
      <c r="AL87" s="20" t="s">
        <v>44</v>
      </c>
      <c r="AM87" s="20" t="str">
        <f>+TEXT(Carro1[[#This Row],[Column1]],"hh:mm")&amp;" | " &amp;TEXT(Carro1[[#This Row],[Hora Fim]],"hh:mm")</f>
        <v>17:11 | 17:11</v>
      </c>
      <c r="AN87" s="20">
        <f>INDEX($E$3:$AA$3,MATCH(Carro1[[#This Row],[Nó]],$E$1:$AA$1,0))</f>
        <v>5</v>
      </c>
      <c r="AO87" s="7">
        <f>+IF(AND(Carro1[[#This Row],[Nó]]=AI86,Carro1[[#This Row],[Nó]]=AI88),AO86,Carro1[[#This Row],[Hora Início]])</f>
        <v>0.71597222222222223</v>
      </c>
      <c r="AP87" s="20">
        <f t="shared" si="32"/>
        <v>1</v>
      </c>
      <c r="AQ87" s="20" cm="1">
        <f t="array" ref="AQ87">IFERROR(_xlfn.IFS(AP87=AP86,AQ86,AQ86="Ramo",1),AQ86+1)</f>
        <v>6</v>
      </c>
      <c r="AR87" s="20">
        <f t="shared" si="33"/>
        <v>0</v>
      </c>
      <c r="AS87" s="20" t="str">
        <f>IF(AND(Carro1[[#This Row],[Nó]]=AI88,Carro1[[#This Row],[Nó]]=AI89),"",AQ87&amp;"|"&amp;AN87)</f>
        <v>6|5</v>
      </c>
      <c r="AT87" s="20" t="str">
        <f>IF(Carro1[[#This Row],[Tipo]]&lt;&gt;"Deslocação",AQ87&amp;"|"&amp;AN87,"")</f>
        <v/>
      </c>
      <c r="AU87" s="20" t="str">
        <f>IF(Carro1[[#This Row],[Tipo]]="Início",AQ87&amp;"|"&amp;AN87,"")</f>
        <v/>
      </c>
    </row>
    <row r="88" spans="33:47" x14ac:dyDescent="0.25">
      <c r="AG88" s="20" t="s">
        <v>122</v>
      </c>
      <c r="AH88" s="20" t="s">
        <v>173</v>
      </c>
      <c r="AI88" s="20" t="s">
        <v>300</v>
      </c>
      <c r="AJ88" s="7">
        <v>0.71875</v>
      </c>
      <c r="AK88" s="7">
        <v>0.71875</v>
      </c>
      <c r="AL88" s="20" t="s">
        <v>44</v>
      </c>
      <c r="AM88" s="20" t="str">
        <f>+TEXT(Carro1[[#This Row],[Column1]],"hh:mm")&amp;" | " &amp;TEXT(Carro1[[#This Row],[Hora Fim]],"hh:mm")</f>
        <v>17:15 | 17:15</v>
      </c>
      <c r="AN88" s="20">
        <f>INDEX($E$3:$AA$3,MATCH(Carro1[[#This Row],[Nó]],$E$1:$AA$1,0))</f>
        <v>6</v>
      </c>
      <c r="AO88" s="7">
        <f>+IF(AND(Carro1[[#This Row],[Nó]]=AI87,Carro1[[#This Row],[Nó]]=AI89),AO87,Carro1[[#This Row],[Hora Início]])</f>
        <v>0.71875</v>
      </c>
      <c r="AP88" s="20">
        <f t="shared" si="32"/>
        <v>1</v>
      </c>
      <c r="AQ88" s="20" cm="1">
        <f t="array" ref="AQ88">IFERROR(_xlfn.IFS(AP88=AP87,AQ87,AQ87="Ramo",1),AQ87+1)</f>
        <v>6</v>
      </c>
      <c r="AR88" s="20">
        <f t="shared" si="33"/>
        <v>0</v>
      </c>
      <c r="AS88" s="20" t="str">
        <f>IF(AND(Carro1[[#This Row],[Nó]]=AI89,Carro1[[#This Row],[Nó]]=AI90),"",AQ88&amp;"|"&amp;AN88)</f>
        <v>6|6</v>
      </c>
      <c r="AT88" s="20" t="str">
        <f>IF(Carro1[[#This Row],[Tipo]]&lt;&gt;"Deslocação",AQ88&amp;"|"&amp;AN88,"")</f>
        <v/>
      </c>
      <c r="AU88" s="20" t="str">
        <f>IF(Carro1[[#This Row],[Tipo]]="Início",AQ88&amp;"|"&amp;AN88,"")</f>
        <v/>
      </c>
    </row>
    <row r="89" spans="33:47" x14ac:dyDescent="0.25">
      <c r="AG89" s="20" t="s">
        <v>122</v>
      </c>
      <c r="AH89" s="20" t="s">
        <v>174</v>
      </c>
      <c r="AI89" s="20" t="s">
        <v>301</v>
      </c>
      <c r="AJ89" s="7">
        <v>0.72083333333333333</v>
      </c>
      <c r="AK89" s="7">
        <v>0.72083333333333333</v>
      </c>
      <c r="AL89" s="20" t="s">
        <v>44</v>
      </c>
      <c r="AM89" s="20" t="str">
        <f>+TEXT(Carro1[[#This Row],[Column1]],"hh:mm")&amp;" | " &amp;TEXT(Carro1[[#This Row],[Hora Fim]],"hh:mm")</f>
        <v>17:18 | 17:18</v>
      </c>
      <c r="AN89" s="20">
        <f>INDEX($E$3:$AA$3,MATCH(Carro1[[#This Row],[Nó]],$E$1:$AA$1,0))</f>
        <v>7</v>
      </c>
      <c r="AO89" s="7">
        <f>+IF(AND(Carro1[[#This Row],[Nó]]=AI88,Carro1[[#This Row],[Nó]]=AI90),AO88,Carro1[[#This Row],[Hora Início]])</f>
        <v>0.72083333333333333</v>
      </c>
      <c r="AP89" s="20">
        <f t="shared" si="32"/>
        <v>1</v>
      </c>
      <c r="AQ89" s="20" cm="1">
        <f t="array" ref="AQ89">IFERROR(_xlfn.IFS(AP89=AP88,AQ88,AQ88="Ramo",1),AQ88+1)</f>
        <v>6</v>
      </c>
      <c r="AR89" s="20">
        <f t="shared" si="33"/>
        <v>0</v>
      </c>
      <c r="AS89" s="20" t="str">
        <f>IF(AND(Carro1[[#This Row],[Nó]]=AI90,Carro1[[#This Row],[Nó]]=AI91),"",AQ89&amp;"|"&amp;AN89)</f>
        <v>6|7</v>
      </c>
      <c r="AT89" s="20" t="str">
        <f>IF(Carro1[[#This Row],[Tipo]]&lt;&gt;"Deslocação",AQ89&amp;"|"&amp;AN89,"")</f>
        <v/>
      </c>
      <c r="AU89" s="20" t="str">
        <f>IF(Carro1[[#This Row],[Tipo]]="Início",AQ89&amp;"|"&amp;AN89,"")</f>
        <v/>
      </c>
    </row>
    <row r="90" spans="33:47" x14ac:dyDescent="0.25">
      <c r="AG90" s="20" t="s">
        <v>122</v>
      </c>
      <c r="AH90" s="20" t="s">
        <v>174</v>
      </c>
      <c r="AI90" s="20" t="s">
        <v>301</v>
      </c>
      <c r="AJ90" s="7">
        <v>0.72083333333333333</v>
      </c>
      <c r="AK90" s="7">
        <v>0.72777777777777775</v>
      </c>
      <c r="AL90" s="20" t="s">
        <v>43</v>
      </c>
      <c r="AM90" s="20" t="str">
        <f>+TEXT(Carro1[[#This Row],[Column1]],"hh:mm")&amp;" | " &amp;TEXT(Carro1[[#This Row],[Hora Fim]],"hh:mm")</f>
        <v>17:18 | 17:28</v>
      </c>
      <c r="AN90" s="20">
        <f>INDEX($E$3:$AA$3,MATCH(Carro1[[#This Row],[Nó]],$E$1:$AA$1,0))</f>
        <v>7</v>
      </c>
      <c r="AO90" s="7">
        <f>+IF(AND(Carro1[[#This Row],[Nó]]=AI89,Carro1[[#This Row],[Nó]]=AI91),AO89,Carro1[[#This Row],[Hora Início]])</f>
        <v>0.72083333333333333</v>
      </c>
      <c r="AP90" s="20">
        <f t="shared" si="32"/>
        <v>1</v>
      </c>
      <c r="AQ90" s="20" cm="1">
        <f t="array" ref="AQ90">IFERROR(_xlfn.IFS(AP90=AP89,AQ89,AQ89="Ramo",1),AQ89+1)</f>
        <v>6</v>
      </c>
      <c r="AR90" s="20">
        <f t="shared" si="33"/>
        <v>0</v>
      </c>
      <c r="AS90" s="20" t="str">
        <f>IF(AND(Carro1[[#This Row],[Nó]]=AI91,Carro1[[#This Row],[Nó]]=AI92),"",AQ90&amp;"|"&amp;AN90)</f>
        <v>6|7</v>
      </c>
      <c r="AT90" s="20" t="str">
        <f>IF(Carro1[[#This Row],[Tipo]]&lt;&gt;"Deslocação",AQ90&amp;"|"&amp;AN90,"")</f>
        <v>6|7</v>
      </c>
      <c r="AU90" s="20" t="str">
        <f>IF(Carro1[[#This Row],[Tipo]]="Início",AQ90&amp;"|"&amp;AN90,"")</f>
        <v/>
      </c>
    </row>
    <row r="91" spans="33:47" x14ac:dyDescent="0.25">
      <c r="AG91" s="20" t="s">
        <v>122</v>
      </c>
      <c r="AH91" s="20" t="s">
        <v>240</v>
      </c>
      <c r="AI91" s="20" t="s">
        <v>302</v>
      </c>
      <c r="AJ91" s="7">
        <v>0.7319444444444444</v>
      </c>
      <c r="AK91" s="7">
        <v>0.7319444444444444</v>
      </c>
      <c r="AL91" s="20" t="s">
        <v>44</v>
      </c>
      <c r="AM91" s="20" t="str">
        <f>+TEXT(Carro1[[#This Row],[Column1]],"hh:mm")&amp;" | " &amp;TEXT(Carro1[[#This Row],[Hora Fim]],"hh:mm")</f>
        <v>17:34 | 17:34</v>
      </c>
      <c r="AN91" s="20">
        <f>INDEX($E$3:$AA$3,MATCH(Carro1[[#This Row],[Nó]],$E$1:$AA$1,0))</f>
        <v>8</v>
      </c>
      <c r="AO91" s="7">
        <f>+IF(AND(Carro1[[#This Row],[Nó]]=AI90,Carro1[[#This Row],[Nó]]=AI92),AO90,Carro1[[#This Row],[Hora Início]])</f>
        <v>0.7319444444444444</v>
      </c>
      <c r="AP91" s="20">
        <f t="shared" si="32"/>
        <v>1</v>
      </c>
      <c r="AQ91" s="20" cm="1">
        <f t="array" ref="AQ91">IFERROR(_xlfn.IFS(AP91=AP90,AQ90,AQ90="Ramo",1),AQ90+1)</f>
        <v>6</v>
      </c>
      <c r="AR91" s="20">
        <f t="shared" si="33"/>
        <v>0</v>
      </c>
      <c r="AS91" s="20" t="str">
        <f>IF(AND(Carro1[[#This Row],[Nó]]=AI92,Carro1[[#This Row],[Nó]]=AI93),"",AQ91&amp;"|"&amp;AN91)</f>
        <v/>
      </c>
      <c r="AT91" s="20" t="str">
        <f>IF(Carro1[[#This Row],[Tipo]]&lt;&gt;"Deslocação",AQ91&amp;"|"&amp;AN91,"")</f>
        <v/>
      </c>
      <c r="AU91" s="20" t="str">
        <f>IF(Carro1[[#This Row],[Tipo]]="Início",AQ91&amp;"|"&amp;AN91,"")</f>
        <v/>
      </c>
    </row>
    <row r="92" spans="33:47" x14ac:dyDescent="0.25">
      <c r="AG92" s="20" t="s">
        <v>122</v>
      </c>
      <c r="AH92" s="20" t="s">
        <v>240</v>
      </c>
      <c r="AI92" s="20" t="s">
        <v>302</v>
      </c>
      <c r="AJ92" s="7">
        <v>0.7319444444444444</v>
      </c>
      <c r="AK92" s="7">
        <v>0.77361111111111114</v>
      </c>
      <c r="AL92" s="20" t="s">
        <v>47</v>
      </c>
      <c r="AM92" s="20" t="str">
        <f>+TEXT(Carro1[[#This Row],[Column1]],"hh:mm")&amp;" | " &amp;TEXT(Carro1[[#This Row],[Hora Fim]],"hh:mm")</f>
        <v>17:34 | 18:34</v>
      </c>
      <c r="AN92" s="20">
        <f>INDEX($E$3:$AA$3,MATCH(Carro1[[#This Row],[Nó]],$E$1:$AA$1,0))</f>
        <v>8</v>
      </c>
      <c r="AO92" s="7">
        <f>+IF(AND(Carro1[[#This Row],[Nó]]=AI91,Carro1[[#This Row],[Nó]]=AI93),AO91,Carro1[[#This Row],[Hora Início]])</f>
        <v>0.7319444444444444</v>
      </c>
      <c r="AP92" s="20">
        <f t="shared" si="32"/>
        <v>1</v>
      </c>
      <c r="AQ92" s="20" cm="1">
        <f t="array" ref="AQ92">IFERROR(_xlfn.IFS(AP92=AP91,AQ91,AQ91="Ramo",1),AQ91+1)</f>
        <v>6</v>
      </c>
      <c r="AR92" s="20">
        <f t="shared" si="33"/>
        <v>0</v>
      </c>
      <c r="AS92" s="20" t="str">
        <f>IF(AND(Carro1[[#This Row],[Nó]]=AI93,Carro1[[#This Row],[Nó]]=AI94),"",AQ92&amp;"|"&amp;AN92)</f>
        <v>6|8</v>
      </c>
      <c r="AT92" s="20" t="str">
        <f>IF(Carro1[[#This Row],[Tipo]]&lt;&gt;"Deslocação",AQ92&amp;"|"&amp;AN92,"")</f>
        <v>6|8</v>
      </c>
      <c r="AU92" s="20" t="str">
        <f>IF(Carro1[[#This Row],[Tipo]]="Início",AQ92&amp;"|"&amp;AN92,"")</f>
        <v/>
      </c>
    </row>
    <row r="93" spans="33:47" x14ac:dyDescent="0.25">
      <c r="AG93" s="20" t="s">
        <v>122</v>
      </c>
      <c r="AH93" s="20" t="s">
        <v>240</v>
      </c>
      <c r="AI93" s="20" t="s">
        <v>302</v>
      </c>
      <c r="AJ93" s="7">
        <v>0.77361111111111114</v>
      </c>
      <c r="AK93" s="7">
        <v>0.78055555555555556</v>
      </c>
      <c r="AL93" s="20" t="s">
        <v>43</v>
      </c>
      <c r="AM93" s="20" t="str">
        <f>+TEXT(Carro1[[#This Row],[Column1]],"hh:mm")&amp;" | " &amp;TEXT(Carro1[[#This Row],[Hora Fim]],"hh:mm")</f>
        <v>18:34 | 18:44</v>
      </c>
      <c r="AN93" s="20">
        <f>INDEX($E$3:$AA$3,MATCH(Carro1[[#This Row],[Nó]],$E$1:$AA$1,0))</f>
        <v>8</v>
      </c>
      <c r="AO93" s="7">
        <f>+IF(AND(Carro1[[#This Row],[Nó]]=AI92,Carro1[[#This Row],[Nó]]=AI94),AO92,Carro1[[#This Row],[Hora Início]])</f>
        <v>0.77361111111111114</v>
      </c>
      <c r="AP93" s="20">
        <f t="shared" si="32"/>
        <v>1</v>
      </c>
      <c r="AQ93" s="20" cm="1">
        <f t="array" ref="AQ93">IFERROR(_xlfn.IFS(AP93=AP92,AQ92,AQ92="Ramo",1),AQ92+1)</f>
        <v>6</v>
      </c>
      <c r="AR93" s="20">
        <f t="shared" si="33"/>
        <v>0</v>
      </c>
      <c r="AS93" s="20" t="str">
        <f>IF(AND(Carro1[[#This Row],[Nó]]=AI94,Carro1[[#This Row],[Nó]]=AI95),"",AQ93&amp;"|"&amp;AN93)</f>
        <v>6|8</v>
      </c>
      <c r="AT93" s="20" t="str">
        <f>IF(Carro1[[#This Row],[Tipo]]&lt;&gt;"Deslocação",AQ93&amp;"|"&amp;AN93,"")</f>
        <v>6|8</v>
      </c>
      <c r="AU93" s="20" t="str">
        <f>IF(Carro1[[#This Row],[Tipo]]="Início",AQ93&amp;"|"&amp;AN93,"")</f>
        <v/>
      </c>
    </row>
    <row r="94" spans="33:47" x14ac:dyDescent="0.25">
      <c r="AG94" s="20" t="s">
        <v>122</v>
      </c>
      <c r="AH94" s="20" t="s">
        <v>256</v>
      </c>
      <c r="AI94" s="20" t="s">
        <v>303</v>
      </c>
      <c r="AJ94" s="7">
        <v>0.78472222222222221</v>
      </c>
      <c r="AK94" s="7">
        <v>0.78472222222222221</v>
      </c>
      <c r="AL94" s="20" t="s">
        <v>44</v>
      </c>
      <c r="AM94" s="20" t="str">
        <f>+TEXT(Carro1[[#This Row],[Column1]],"hh:mm")&amp;" | " &amp;TEXT(Carro1[[#This Row],[Hora Fim]],"hh:mm")</f>
        <v>18:50 | 18:50</v>
      </c>
      <c r="AN94" s="20">
        <f>INDEX($E$3:$AA$3,MATCH(Carro1[[#This Row],[Nó]],$E$1:$AA$1,0))</f>
        <v>9</v>
      </c>
      <c r="AO94" s="7">
        <f>+IF(AND(Carro1[[#This Row],[Nó]]=AI93,Carro1[[#This Row],[Nó]]=AI95),AO93,Carro1[[#This Row],[Hora Início]])</f>
        <v>0.78472222222222221</v>
      </c>
      <c r="AP94" s="20">
        <f t="shared" si="32"/>
        <v>1</v>
      </c>
      <c r="AQ94" s="20" cm="1">
        <f t="array" ref="AQ94">IFERROR(_xlfn.IFS(AP94=AP93,AQ93,AQ93="Ramo",1),AQ93+1)</f>
        <v>6</v>
      </c>
      <c r="AR94" s="20">
        <f t="shared" si="33"/>
        <v>0</v>
      </c>
      <c r="AS94" s="20" t="str">
        <f>IF(AND(Carro1[[#This Row],[Nó]]=AI95,Carro1[[#This Row],[Nó]]=AI96),"",AQ94&amp;"|"&amp;AN94)</f>
        <v/>
      </c>
      <c r="AT94" s="20" t="str">
        <f>IF(Carro1[[#This Row],[Tipo]]&lt;&gt;"Deslocação",AQ94&amp;"|"&amp;AN94,"")</f>
        <v/>
      </c>
      <c r="AU94" s="20" t="str">
        <f>IF(Carro1[[#This Row],[Tipo]]="Início",AQ94&amp;"|"&amp;AN94,"")</f>
        <v/>
      </c>
    </row>
    <row r="95" spans="33:47" x14ac:dyDescent="0.25">
      <c r="AG95" s="20" t="s">
        <v>122</v>
      </c>
      <c r="AH95" s="20" t="s">
        <v>256</v>
      </c>
      <c r="AI95" s="20" t="s">
        <v>303</v>
      </c>
      <c r="AJ95" s="7">
        <v>0.78472222222222221</v>
      </c>
      <c r="AK95" s="7">
        <v>0.78472222222222221</v>
      </c>
      <c r="AL95" s="20" t="s">
        <v>44</v>
      </c>
      <c r="AM95" s="20" t="str">
        <f>+TEXT(Carro1[[#This Row],[Column1]],"hh:mm")&amp;" | " &amp;TEXT(Carro1[[#This Row],[Hora Fim]],"hh:mm")</f>
        <v>18:50 | 18:50</v>
      </c>
      <c r="AN95" s="20">
        <f>INDEX($E$3:$AA$3,MATCH(Carro1[[#This Row],[Nó]],$E$1:$AA$1,0))</f>
        <v>9</v>
      </c>
      <c r="AO95" s="7">
        <f>+IF(AND(Carro1[[#This Row],[Nó]]=AI94,Carro1[[#This Row],[Nó]]=AI96),AO94,Carro1[[#This Row],[Hora Início]])</f>
        <v>0.78472222222222221</v>
      </c>
      <c r="AP95" s="20">
        <f t="shared" si="32"/>
        <v>1</v>
      </c>
      <c r="AQ95" s="20" cm="1">
        <f t="array" ref="AQ95">IFERROR(_xlfn.IFS(AP95=AP94,AQ94,AQ94="Ramo",1),AQ94+1)</f>
        <v>6</v>
      </c>
      <c r="AR95" s="20">
        <f t="shared" si="33"/>
        <v>0</v>
      </c>
      <c r="AS95" s="20" t="str">
        <f>IF(AND(Carro1[[#This Row],[Nó]]=AI96,Carro1[[#This Row],[Nó]]=AI97),"",AQ95&amp;"|"&amp;AN95)</f>
        <v>6|9</v>
      </c>
      <c r="AT95" s="20" t="str">
        <f>IF(Carro1[[#This Row],[Tipo]]&lt;&gt;"Deslocação",AQ95&amp;"|"&amp;AN95,"")</f>
        <v/>
      </c>
      <c r="AU95" s="20" t="str">
        <f>IF(Carro1[[#This Row],[Tipo]]="Início",AQ95&amp;"|"&amp;AN95,"")</f>
        <v/>
      </c>
    </row>
    <row r="96" spans="33:47" x14ac:dyDescent="0.25">
      <c r="AG96" s="20" t="s">
        <v>122</v>
      </c>
      <c r="AH96" s="20" t="s">
        <v>256</v>
      </c>
      <c r="AI96" s="20" t="s">
        <v>303</v>
      </c>
      <c r="AJ96" s="7">
        <v>0.78472222222222221</v>
      </c>
      <c r="AK96" s="7">
        <v>0.79166666666666663</v>
      </c>
      <c r="AL96" s="20" t="s">
        <v>43</v>
      </c>
      <c r="AM96" s="20" t="str">
        <f>+TEXT(Carro1[[#This Row],[Column1]],"hh:mm")&amp;" | " &amp;TEXT(Carro1[[#This Row],[Hora Fim]],"hh:mm")</f>
        <v>18:50 | 19:00</v>
      </c>
      <c r="AN96" s="20">
        <f>INDEX($E$3:$AA$3,MATCH(Carro1[[#This Row],[Nó]],$E$1:$AA$1,0))</f>
        <v>9</v>
      </c>
      <c r="AO96" s="7">
        <f>+IF(AND(Carro1[[#This Row],[Nó]]=AI95,Carro1[[#This Row],[Nó]]=AI97),AO95,Carro1[[#This Row],[Hora Início]])</f>
        <v>0.78472222222222221</v>
      </c>
      <c r="AP96" s="20">
        <f t="shared" si="32"/>
        <v>2</v>
      </c>
      <c r="AQ96" s="20" cm="1">
        <f t="array" ref="AQ96">IFERROR(_xlfn.IFS(AP96=AP95,AQ95,AQ95="Ramo",1),AQ95+1)</f>
        <v>7</v>
      </c>
      <c r="AR96" s="20">
        <f t="shared" si="33"/>
        <v>1</v>
      </c>
      <c r="AS96" s="20" t="str">
        <f>IF(AND(Carro1[[#This Row],[Nó]]=AI97,Carro1[[#This Row],[Nó]]=AI98),"",AQ96&amp;"|"&amp;AN96)</f>
        <v>7|9</v>
      </c>
      <c r="AT96" s="20" t="str">
        <f>IF(Carro1[[#This Row],[Tipo]]&lt;&gt;"Deslocação",AQ96&amp;"|"&amp;AN96,"")</f>
        <v>7|9</v>
      </c>
      <c r="AU96" s="20" t="str">
        <f>IF(Carro1[[#This Row],[Tipo]]="Início",AQ96&amp;"|"&amp;AN96,"")</f>
        <v/>
      </c>
    </row>
    <row r="97" spans="33:47" x14ac:dyDescent="0.25">
      <c r="AG97" s="20" t="s">
        <v>122</v>
      </c>
      <c r="AH97" s="20" t="s">
        <v>240</v>
      </c>
      <c r="AI97" s="20" t="s">
        <v>302</v>
      </c>
      <c r="AJ97" s="7">
        <v>0.79583333333333328</v>
      </c>
      <c r="AK97" s="7">
        <v>0.79583333333333328</v>
      </c>
      <c r="AL97" s="20" t="s">
        <v>44</v>
      </c>
      <c r="AM97" s="20" t="str">
        <f>+TEXT(Carro1[[#This Row],[Column1]],"hh:mm")&amp;" | " &amp;TEXT(Carro1[[#This Row],[Hora Fim]],"hh:mm")</f>
        <v>19:06 | 19:06</v>
      </c>
      <c r="AN97" s="20">
        <f>INDEX($E$3:$AA$3,MATCH(Carro1[[#This Row],[Nó]],$E$1:$AA$1,0))</f>
        <v>8</v>
      </c>
      <c r="AO97" s="7">
        <f>+IF(AND(Carro1[[#This Row],[Nó]]=AI96,Carro1[[#This Row],[Nó]]=AI98),AO96,Carro1[[#This Row],[Hora Início]])</f>
        <v>0.79583333333333328</v>
      </c>
      <c r="AP97" s="20">
        <f t="shared" si="32"/>
        <v>2</v>
      </c>
      <c r="AQ97" s="20" cm="1">
        <f t="array" ref="AQ97">IFERROR(_xlfn.IFS(AP97=AP96,AQ96,AQ96="Ramo",1),AQ96+1)</f>
        <v>7</v>
      </c>
      <c r="AR97" s="20">
        <f t="shared" si="33"/>
        <v>0</v>
      </c>
      <c r="AS97" s="20" t="str">
        <f>IF(AND(Carro1[[#This Row],[Nó]]=AI98,Carro1[[#This Row],[Nó]]=AI99),"",AQ97&amp;"|"&amp;AN97)</f>
        <v>7|8</v>
      </c>
      <c r="AT97" s="20" t="str">
        <f>IF(Carro1[[#This Row],[Tipo]]&lt;&gt;"Deslocação",AQ97&amp;"|"&amp;AN97,"")</f>
        <v/>
      </c>
      <c r="AU97" s="20" t="str">
        <f>IF(Carro1[[#This Row],[Tipo]]="Início",AQ97&amp;"|"&amp;AN97,"")</f>
        <v/>
      </c>
    </row>
    <row r="98" spans="33:47" x14ac:dyDescent="0.25">
      <c r="AG98" s="20" t="s">
        <v>122</v>
      </c>
      <c r="AH98" s="20" t="s">
        <v>174</v>
      </c>
      <c r="AI98" s="20" t="s">
        <v>301</v>
      </c>
      <c r="AJ98" s="7">
        <v>0.8</v>
      </c>
      <c r="AK98" s="7">
        <v>0.8</v>
      </c>
      <c r="AL98" s="20" t="s">
        <v>44</v>
      </c>
      <c r="AM98" s="20" t="str">
        <f>+TEXT(Carro1[[#This Row],[Column1]],"hh:mm")&amp;" | " &amp;TEXT(Carro1[[#This Row],[Hora Fim]],"hh:mm")</f>
        <v>19:12 | 19:12</v>
      </c>
      <c r="AN98" s="20">
        <f>INDEX($E$3:$AA$3,MATCH(Carro1[[#This Row],[Nó]],$E$1:$AA$1,0))</f>
        <v>7</v>
      </c>
      <c r="AO98" s="7">
        <f>+IF(AND(Carro1[[#This Row],[Nó]]=AI97,Carro1[[#This Row],[Nó]]=AI99),AO97,Carro1[[#This Row],[Hora Início]])</f>
        <v>0.8</v>
      </c>
      <c r="AP98" s="20">
        <f t="shared" si="32"/>
        <v>2</v>
      </c>
      <c r="AQ98" s="20" cm="1">
        <f t="array" ref="AQ98">IFERROR(_xlfn.IFS(AP98=AP97,AQ97,AQ97="Ramo",1),AQ97+1)</f>
        <v>7</v>
      </c>
      <c r="AR98" s="20">
        <f t="shared" si="33"/>
        <v>0</v>
      </c>
      <c r="AS98" s="20" t="str">
        <f>IF(AND(Carro1[[#This Row],[Nó]]=AI99,Carro1[[#This Row],[Nó]]=AI100),"",AQ98&amp;"|"&amp;AN98)</f>
        <v>7|7</v>
      </c>
      <c r="AT98" s="20" t="str">
        <f>IF(Carro1[[#This Row],[Tipo]]&lt;&gt;"Deslocação",AQ98&amp;"|"&amp;AN98,"")</f>
        <v/>
      </c>
      <c r="AU98" s="20" t="str">
        <f>IF(Carro1[[#This Row],[Tipo]]="Início",AQ98&amp;"|"&amp;AN98,"")</f>
        <v/>
      </c>
    </row>
    <row r="99" spans="33:47" x14ac:dyDescent="0.25">
      <c r="AG99" s="20" t="s">
        <v>122</v>
      </c>
      <c r="AH99" s="20" t="s">
        <v>173</v>
      </c>
      <c r="AI99" s="20" t="s">
        <v>300</v>
      </c>
      <c r="AJ99" s="7">
        <v>0.80208333333333337</v>
      </c>
      <c r="AK99" s="7">
        <v>0.80208333333333337</v>
      </c>
      <c r="AL99" s="20" t="s">
        <v>44</v>
      </c>
      <c r="AM99" s="20" t="str">
        <f>+TEXT(Carro1[[#This Row],[Column1]],"hh:mm")&amp;" | " &amp;TEXT(Carro1[[#This Row],[Hora Fim]],"hh:mm")</f>
        <v>19:15 | 19:15</v>
      </c>
      <c r="AN99" s="20">
        <f>INDEX($E$3:$AA$3,MATCH(Carro1[[#This Row],[Nó]],$E$1:$AA$1,0))</f>
        <v>6</v>
      </c>
      <c r="AO99" s="7">
        <f>+IF(AND(Carro1[[#This Row],[Nó]]=AI98,Carro1[[#This Row],[Nó]]=AI100),AO98,Carro1[[#This Row],[Hora Início]])</f>
        <v>0.80208333333333337</v>
      </c>
      <c r="AP99" s="20">
        <f t="shared" si="32"/>
        <v>2</v>
      </c>
      <c r="AQ99" s="20" cm="1">
        <f t="array" ref="AQ99">IFERROR(_xlfn.IFS(AP99=AP98,AQ98,AQ98="Ramo",1),AQ98+1)</f>
        <v>7</v>
      </c>
      <c r="AR99" s="20">
        <f t="shared" si="33"/>
        <v>0</v>
      </c>
      <c r="AS99" s="20" t="str">
        <f>IF(AND(Carro1[[#This Row],[Nó]]=AI100,Carro1[[#This Row],[Nó]]=AI101),"",AQ99&amp;"|"&amp;AN99)</f>
        <v>7|6</v>
      </c>
      <c r="AT99" s="20" t="str">
        <f>IF(Carro1[[#This Row],[Tipo]]&lt;&gt;"Deslocação",AQ99&amp;"|"&amp;AN99,"")</f>
        <v/>
      </c>
      <c r="AU99" s="20" t="str">
        <f>IF(Carro1[[#This Row],[Tipo]]="Início",AQ99&amp;"|"&amp;AN99,"")</f>
        <v/>
      </c>
    </row>
    <row r="100" spans="33:47" x14ac:dyDescent="0.25">
      <c r="AG100" s="20" t="s">
        <v>122</v>
      </c>
      <c r="AH100" s="20" t="s">
        <v>172</v>
      </c>
      <c r="AI100" s="20" t="s">
        <v>215</v>
      </c>
      <c r="AJ100" s="7">
        <v>0.80486111111111114</v>
      </c>
      <c r="AK100" s="7">
        <v>0.80486111111111114</v>
      </c>
      <c r="AL100" s="20" t="s">
        <v>44</v>
      </c>
      <c r="AM100" s="20" t="str">
        <f>+TEXT(Carro1[[#This Row],[Column1]],"hh:mm")&amp;" | " &amp;TEXT(Carro1[[#This Row],[Hora Fim]],"hh:mm")</f>
        <v>19:19 | 19:19</v>
      </c>
      <c r="AN100" s="20">
        <f>INDEX($E$3:$AA$3,MATCH(Carro1[[#This Row],[Nó]],$E$1:$AA$1,0))</f>
        <v>5</v>
      </c>
      <c r="AO100" s="7">
        <f>+IF(AND(Carro1[[#This Row],[Nó]]=AI99,Carro1[[#This Row],[Nó]]=AI101),AO99,Carro1[[#This Row],[Hora Início]])</f>
        <v>0.80486111111111114</v>
      </c>
      <c r="AP100" s="20">
        <f t="shared" si="32"/>
        <v>2</v>
      </c>
      <c r="AQ100" s="20" cm="1">
        <f t="array" ref="AQ100">IFERROR(_xlfn.IFS(AP100=AP99,AQ99,AQ99="Ramo",1),AQ99+1)</f>
        <v>7</v>
      </c>
      <c r="AR100" s="20">
        <f t="shared" si="33"/>
        <v>0</v>
      </c>
      <c r="AS100" s="20" t="str">
        <f>IF(AND(Carro1[[#This Row],[Nó]]=AI101,Carro1[[#This Row],[Nó]]=AI102),"",AQ100&amp;"|"&amp;AN100)</f>
        <v>7|5</v>
      </c>
      <c r="AT100" s="20" t="str">
        <f>IF(Carro1[[#This Row],[Tipo]]&lt;&gt;"Deslocação",AQ100&amp;"|"&amp;AN100,"")</f>
        <v/>
      </c>
      <c r="AU100" s="20" t="str">
        <f>IF(Carro1[[#This Row],[Tipo]]="Início",AQ100&amp;"|"&amp;AN100,"")</f>
        <v/>
      </c>
    </row>
    <row r="101" spans="33:47" x14ac:dyDescent="0.25">
      <c r="AG101" s="20" t="s">
        <v>122</v>
      </c>
      <c r="AH101" s="20" t="s">
        <v>125</v>
      </c>
      <c r="AI101" s="20" t="s">
        <v>2</v>
      </c>
      <c r="AJ101" s="7">
        <v>0.80694444444444446</v>
      </c>
      <c r="AK101" s="7">
        <v>0.80694444444444446</v>
      </c>
      <c r="AL101" s="20" t="s">
        <v>44</v>
      </c>
      <c r="AM101" s="20" t="str">
        <f>+TEXT(Carro1[[#This Row],[Column1]],"hh:mm")&amp;" | " &amp;TEXT(Carro1[[#This Row],[Hora Fim]],"hh:mm")</f>
        <v>19:22 | 19:22</v>
      </c>
      <c r="AN101" s="20">
        <f>INDEX($E$3:$AA$3,MATCH(Carro1[[#This Row],[Nó]],$E$1:$AA$1,0))</f>
        <v>4</v>
      </c>
      <c r="AO101" s="7">
        <f>+IF(AND(Carro1[[#This Row],[Nó]]=AI100,Carro1[[#This Row],[Nó]]=AI102),AO100,Carro1[[#This Row],[Hora Início]])</f>
        <v>0.80694444444444446</v>
      </c>
      <c r="AP101" s="20">
        <f t="shared" si="32"/>
        <v>2</v>
      </c>
      <c r="AQ101" s="20" cm="1">
        <f t="array" ref="AQ101">IFERROR(_xlfn.IFS(AP101=AP100,AQ100,AQ100="Ramo",1),AQ100+1)</f>
        <v>7</v>
      </c>
      <c r="AR101" s="20">
        <f t="shared" si="33"/>
        <v>0</v>
      </c>
      <c r="AS101" s="20" t="str">
        <f>IF(AND(Carro1[[#This Row],[Nó]]=AI102,Carro1[[#This Row],[Nó]]=AI103),"",AQ101&amp;"|"&amp;AN101)</f>
        <v>7|4</v>
      </c>
      <c r="AT101" s="20" t="str">
        <f>IF(Carro1[[#This Row],[Tipo]]&lt;&gt;"Deslocação",AQ101&amp;"|"&amp;AN101,"")</f>
        <v/>
      </c>
      <c r="AU101" s="20" t="str">
        <f>IF(Carro1[[#This Row],[Tipo]]="Início",AQ101&amp;"|"&amp;AN101,"")</f>
        <v/>
      </c>
    </row>
    <row r="102" spans="33:47" x14ac:dyDescent="0.25">
      <c r="AG102" s="20" t="s">
        <v>122</v>
      </c>
      <c r="AH102" s="20" t="s">
        <v>125</v>
      </c>
      <c r="AI102" s="20" t="s">
        <v>2</v>
      </c>
      <c r="AJ102" s="7">
        <v>0.80694444444444446</v>
      </c>
      <c r="AK102" s="7">
        <v>0.81597222222222221</v>
      </c>
      <c r="AL102" s="20" t="s">
        <v>43</v>
      </c>
      <c r="AM102" s="20" t="str">
        <f>+TEXT(Carro1[[#This Row],[Column1]],"hh:mm")&amp;" | " &amp;TEXT(Carro1[[#This Row],[Hora Fim]],"hh:mm")</f>
        <v>19:22 | 19:35</v>
      </c>
      <c r="AN102" s="20">
        <f>INDEX($E$3:$AA$3,MATCH(Carro1[[#This Row],[Nó]],$E$1:$AA$1,0))</f>
        <v>4</v>
      </c>
      <c r="AO102" s="7">
        <f>+IF(AND(Carro1[[#This Row],[Nó]]=AI101,Carro1[[#This Row],[Nó]]=AI103),AO101,Carro1[[#This Row],[Hora Início]])</f>
        <v>0.80694444444444446</v>
      </c>
      <c r="AP102" s="20">
        <f t="shared" si="32"/>
        <v>2</v>
      </c>
      <c r="AQ102" s="20" cm="1">
        <f t="array" ref="AQ102">IFERROR(_xlfn.IFS(AP102=AP101,AQ101,AQ101="Ramo",1),AQ101+1)</f>
        <v>7</v>
      </c>
      <c r="AR102" s="20">
        <f t="shared" si="33"/>
        <v>0</v>
      </c>
      <c r="AS102" s="20" t="str">
        <f>IF(AND(Carro1[[#This Row],[Nó]]=AI103,Carro1[[#This Row],[Nó]]=AI104),"",AQ102&amp;"|"&amp;AN102)</f>
        <v>7|4</v>
      </c>
      <c r="AT102" s="20" t="str">
        <f>IF(Carro1[[#This Row],[Tipo]]&lt;&gt;"Deslocação",AQ102&amp;"|"&amp;AN102,"")</f>
        <v>7|4</v>
      </c>
      <c r="AU102" s="20" t="str">
        <f>IF(Carro1[[#This Row],[Tipo]]="Início",AQ102&amp;"|"&amp;AN102,"")</f>
        <v/>
      </c>
    </row>
    <row r="103" spans="33:47" x14ac:dyDescent="0.25">
      <c r="AG103" s="20" t="s">
        <v>122</v>
      </c>
      <c r="AH103" s="20" t="s">
        <v>124</v>
      </c>
      <c r="AI103" s="20" t="s">
        <v>208</v>
      </c>
      <c r="AJ103" s="7">
        <v>0.81944444444444442</v>
      </c>
      <c r="AK103" s="7">
        <v>0.81944444444444442</v>
      </c>
      <c r="AL103" s="20" t="s">
        <v>44</v>
      </c>
      <c r="AM103" s="20" t="str">
        <f>+TEXT(Carro1[[#This Row],[Column1]],"hh:mm")&amp;" | " &amp;TEXT(Carro1[[#This Row],[Hora Fim]],"hh:mm")</f>
        <v>19:40 | 19:40</v>
      </c>
      <c r="AN103" s="20">
        <f>INDEX($E$3:$AA$3,MATCH(Carro1[[#This Row],[Nó]],$E$1:$AA$1,0))</f>
        <v>3</v>
      </c>
      <c r="AO103" s="7">
        <f>+IF(AND(Carro1[[#This Row],[Nó]]=AI102,Carro1[[#This Row],[Nó]]=AI104),AO102,Carro1[[#This Row],[Hora Início]])</f>
        <v>0.81944444444444442</v>
      </c>
      <c r="AP103" s="20">
        <f t="shared" si="32"/>
        <v>2</v>
      </c>
      <c r="AQ103" s="20" cm="1">
        <f t="array" ref="AQ103">IFERROR(_xlfn.IFS(AP103=AP102,AQ102,AQ102="Ramo",1),AQ102+1)</f>
        <v>7</v>
      </c>
      <c r="AR103" s="20">
        <f t="shared" si="33"/>
        <v>0</v>
      </c>
      <c r="AS103" s="20" t="str">
        <f>IF(AND(Carro1[[#This Row],[Nó]]=AI104,Carro1[[#This Row],[Nó]]=AI105),"",AQ103&amp;"|"&amp;AN103)</f>
        <v>7|3</v>
      </c>
      <c r="AT103" s="20" t="str">
        <f>IF(Carro1[[#This Row],[Tipo]]&lt;&gt;"Deslocação",AQ103&amp;"|"&amp;AN103,"")</f>
        <v/>
      </c>
      <c r="AU103" s="20" t="str">
        <f>IF(Carro1[[#This Row],[Tipo]]="Início",AQ103&amp;"|"&amp;AN103,"")</f>
        <v/>
      </c>
    </row>
    <row r="104" spans="33:47" x14ac:dyDescent="0.25">
      <c r="AG104" s="20" t="s">
        <v>122</v>
      </c>
      <c r="AH104" s="20" t="s">
        <v>123</v>
      </c>
      <c r="AI104" s="20" t="s">
        <v>228</v>
      </c>
      <c r="AJ104" s="7">
        <v>0.82152777777777775</v>
      </c>
      <c r="AK104" s="7">
        <v>0.82152777777777775</v>
      </c>
      <c r="AL104" s="20" t="s">
        <v>44</v>
      </c>
      <c r="AM104" s="20" t="str">
        <f>+TEXT(Carro1[[#This Row],[Column1]],"hh:mm")&amp;" | " &amp;TEXT(Carro1[[#This Row],[Hora Fim]],"hh:mm")</f>
        <v>19:43 | 19:43</v>
      </c>
      <c r="AN104" s="20">
        <f>INDEX($E$3:$AA$3,MATCH(Carro1[[#This Row],[Nó]],$E$1:$AA$1,0))</f>
        <v>2</v>
      </c>
      <c r="AO104" s="7">
        <f>+IF(AND(Carro1[[#This Row],[Nó]]=AI103,Carro1[[#This Row],[Nó]]=AI105),AO103,Carro1[[#This Row],[Hora Início]])</f>
        <v>0.82152777777777775</v>
      </c>
      <c r="AP104" s="20">
        <f t="shared" si="32"/>
        <v>2</v>
      </c>
      <c r="AQ104" s="20" cm="1">
        <f t="array" ref="AQ104">IFERROR(_xlfn.IFS(AP104=AP103,AQ103,AQ103="Ramo",1),AQ103+1)</f>
        <v>7</v>
      </c>
      <c r="AR104" s="20">
        <f t="shared" si="33"/>
        <v>0</v>
      </c>
      <c r="AS104" s="20" t="str">
        <f>IF(AND(Carro1[[#This Row],[Nó]]=AI105,Carro1[[#This Row],[Nó]]=AI106),"",AQ104&amp;"|"&amp;AN104)</f>
        <v>7|2</v>
      </c>
      <c r="AT104" s="20" t="str">
        <f>IF(Carro1[[#This Row],[Tipo]]&lt;&gt;"Deslocação",AQ104&amp;"|"&amp;AN104,"")</f>
        <v/>
      </c>
      <c r="AU104" s="20" t="str">
        <f>IF(Carro1[[#This Row],[Tipo]]="Início",AQ104&amp;"|"&amp;AN104,"")</f>
        <v/>
      </c>
    </row>
    <row r="105" spans="33:47" x14ac:dyDescent="0.25">
      <c r="AG105" s="20" t="s">
        <v>122</v>
      </c>
      <c r="AH105" s="20" t="s">
        <v>123</v>
      </c>
      <c r="AI105" s="20" t="s">
        <v>228</v>
      </c>
      <c r="AJ105" s="7">
        <v>0.82152777777777775</v>
      </c>
      <c r="AK105" s="7">
        <v>0.83402777777777781</v>
      </c>
      <c r="AL105" s="20" t="s">
        <v>43</v>
      </c>
      <c r="AM105" s="20" t="str">
        <f>+TEXT(Carro1[[#This Row],[Column1]],"hh:mm")&amp;" | " &amp;TEXT(Carro1[[#This Row],[Hora Fim]],"hh:mm")</f>
        <v>19:43 | 20:01</v>
      </c>
      <c r="AN105" s="20">
        <f>INDEX($E$3:$AA$3,MATCH(Carro1[[#This Row],[Nó]],$E$1:$AA$1,0))</f>
        <v>2</v>
      </c>
      <c r="AO105" s="7">
        <f>+IF(AND(Carro1[[#This Row],[Nó]]=AI104,Carro1[[#This Row],[Nó]]=AI106),AO104,Carro1[[#This Row],[Hora Início]])</f>
        <v>0.82152777777777775</v>
      </c>
      <c r="AP105" s="20">
        <f t="shared" si="32"/>
        <v>2</v>
      </c>
      <c r="AQ105" s="20" cm="1">
        <f t="array" ref="AQ105">IFERROR(_xlfn.IFS(AP105=AP104,AQ104,AQ104="Ramo",1),AQ104+1)</f>
        <v>7</v>
      </c>
      <c r="AR105" s="20">
        <f t="shared" si="33"/>
        <v>0</v>
      </c>
      <c r="AS105" s="20" t="str">
        <f>IF(AND(Carro1[[#This Row],[Nó]]=AI106,Carro1[[#This Row],[Nó]]=AI107),"",AQ105&amp;"|"&amp;AN105)</f>
        <v>7|2</v>
      </c>
      <c r="AT105" s="20" t="str">
        <f>IF(Carro1[[#This Row],[Tipo]]&lt;&gt;"Deslocação",AQ105&amp;"|"&amp;AN105,"")</f>
        <v>7|2</v>
      </c>
      <c r="AU105" s="20" t="str">
        <f>IF(Carro1[[#This Row],[Tipo]]="Início",AQ105&amp;"|"&amp;AN105,"")</f>
        <v/>
      </c>
    </row>
    <row r="106" spans="33:47" x14ac:dyDescent="0.25">
      <c r="AG106" s="20" t="s">
        <v>122</v>
      </c>
      <c r="AH106" s="20" t="s">
        <v>122</v>
      </c>
      <c r="AI106" s="20" t="s">
        <v>200</v>
      </c>
      <c r="AJ106" s="7">
        <v>0.83472222222222225</v>
      </c>
      <c r="AK106" s="7">
        <v>0.83472222222222225</v>
      </c>
      <c r="AL106" s="20" t="s">
        <v>44</v>
      </c>
      <c r="AM106" s="20" t="str">
        <f>+TEXT(Carro1[[#This Row],[Column1]],"hh:mm")&amp;" | " &amp;TEXT(Carro1[[#This Row],[Hora Fim]],"hh:mm")</f>
        <v>20:02 | 20:02</v>
      </c>
      <c r="AN106" s="20">
        <f>INDEX($E$3:$AA$3,MATCH(Carro1[[#This Row],[Nó]],$E$1:$AA$1,0))</f>
        <v>1</v>
      </c>
      <c r="AO106" s="7">
        <f>+IF(AND(Carro1[[#This Row],[Nó]]=AI105,Carro1[[#This Row],[Nó]]=AI107),AO105,Carro1[[#This Row],[Hora Início]])</f>
        <v>0.83472222222222225</v>
      </c>
      <c r="AP106" s="20">
        <f t="shared" si="32"/>
        <v>2</v>
      </c>
      <c r="AQ106" s="20" cm="1">
        <f t="array" ref="AQ106">IFERROR(_xlfn.IFS(AP106=AP105,AQ105,AQ105="Ramo",1),AQ105+1)</f>
        <v>7</v>
      </c>
      <c r="AR106" s="20">
        <f t="shared" si="33"/>
        <v>0</v>
      </c>
      <c r="AS106" s="20" t="str">
        <f>IF(AND(Carro1[[#This Row],[Nó]]=AI107,Carro1[[#This Row],[Nó]]=AI108),"",AQ106&amp;"|"&amp;AN106)</f>
        <v>7|1</v>
      </c>
      <c r="AT106" s="20" t="str">
        <f>IF(Carro1[[#This Row],[Tipo]]&lt;&gt;"Deslocação",AQ106&amp;"|"&amp;AN106,"")</f>
        <v/>
      </c>
      <c r="AU106" s="20" t="str">
        <f>IF(Carro1[[#This Row],[Tipo]]="Início",AQ106&amp;"|"&amp;AN106,"")</f>
        <v/>
      </c>
    </row>
    <row r="107" spans="33:47" x14ac:dyDescent="0.25">
      <c r="AG107" s="20" t="s">
        <v>122</v>
      </c>
      <c r="AH107" s="20" t="s">
        <v>122</v>
      </c>
      <c r="AI107" s="20" t="s">
        <v>200</v>
      </c>
      <c r="AJ107" s="7">
        <v>0.83472222222222225</v>
      </c>
      <c r="AK107" s="7">
        <v>0.83750000000000002</v>
      </c>
      <c r="AL107" s="20" t="s">
        <v>43</v>
      </c>
      <c r="AM107" s="20" t="str">
        <f>+TEXT(Carro1[[#This Row],[Column1]],"hh:mm")&amp;" | " &amp;TEXT(Carro1[[#This Row],[Hora Fim]],"hh:mm")</f>
        <v>20:02 | 20:06</v>
      </c>
      <c r="AN107" s="20">
        <f>INDEX($E$3:$AA$3,MATCH(Carro1[[#This Row],[Nó]],$E$1:$AA$1,0))</f>
        <v>1</v>
      </c>
      <c r="AO107" s="7">
        <f>+IF(AND(Carro1[[#This Row],[Nó]]=AI106,Carro1[[#This Row],[Nó]]=AI108),AO106,Carro1[[#This Row],[Hora Início]])</f>
        <v>0.83472222222222225</v>
      </c>
      <c r="AP107" s="20">
        <f t="shared" si="32"/>
        <v>2</v>
      </c>
      <c r="AQ107" s="20" cm="1">
        <f t="array" ref="AQ107">IFERROR(_xlfn.IFS(AP107=AP106,AQ106,AQ106="Ramo",1),AQ106+1)</f>
        <v>7</v>
      </c>
      <c r="AR107" s="20">
        <f t="shared" si="33"/>
        <v>0</v>
      </c>
      <c r="AS107" s="20" t="str">
        <f>IF(AND(Carro1[[#This Row],[Nó]]=AI108,Carro1[[#This Row],[Nó]]=AI109),"",AQ107&amp;"|"&amp;AN107)</f>
        <v>7|1</v>
      </c>
      <c r="AT107" s="20" t="str">
        <f>IF(Carro1[[#This Row],[Tipo]]&lt;&gt;"Deslocação",AQ107&amp;"|"&amp;AN107,"")</f>
        <v>7|1</v>
      </c>
      <c r="AU107" s="20" t="str">
        <f>IF(Carro1[[#This Row],[Tipo]]="Início",AQ107&amp;"|"&amp;AN107,"")</f>
        <v/>
      </c>
    </row>
    <row r="108" spans="33:47" x14ac:dyDescent="0.25">
      <c r="AG108" s="20" t="s">
        <v>122</v>
      </c>
      <c r="AH108" s="20" t="s">
        <v>121</v>
      </c>
      <c r="AI108" s="20" t="s">
        <v>203</v>
      </c>
      <c r="AJ108" s="7">
        <v>0.83888888888888891</v>
      </c>
      <c r="AK108" s="7">
        <v>0.83888888888888891</v>
      </c>
      <c r="AL108" s="20" t="s">
        <v>44</v>
      </c>
      <c r="AM108" s="20" t="str">
        <f>+TEXT(Carro1[[#This Row],[Column1]],"hh:mm")&amp;" | " &amp;TEXT(Carro1[[#This Row],[Hora Fim]],"hh:mm")</f>
        <v>20:08 | 20:08</v>
      </c>
      <c r="AN108" s="20">
        <f>INDEX($E$3:$AA$3,MATCH(Carro1[[#This Row],[Nó]],$E$1:$AA$1,0))</f>
        <v>0</v>
      </c>
      <c r="AO108" s="7">
        <f>+IF(AND(Carro1[[#This Row],[Nó]]=AI107,Carro1[[#This Row],[Nó]]=AI109),AO107,Carro1[[#This Row],[Hora Início]])</f>
        <v>0.83888888888888891</v>
      </c>
      <c r="AP108" s="20">
        <f t="shared" si="32"/>
        <v>2</v>
      </c>
      <c r="AQ108" s="20" cm="1">
        <f t="array" ref="AQ108">IFERROR(_xlfn.IFS(AP108=AP107,AQ107,AQ107="Ramo",1),AQ107+1)</f>
        <v>7</v>
      </c>
      <c r="AR108" s="20">
        <f t="shared" si="33"/>
        <v>0</v>
      </c>
      <c r="AS108" s="20" t="str">
        <f>IF(AND(Carro1[[#This Row],[Nó]]=AI109,Carro1[[#This Row],[Nó]]=AI110),"",AQ108&amp;"|"&amp;AN108)</f>
        <v/>
      </c>
      <c r="AT108" s="20" t="str">
        <f>IF(Carro1[[#This Row],[Tipo]]&lt;&gt;"Deslocação",AQ108&amp;"|"&amp;AN108,"")</f>
        <v/>
      </c>
      <c r="AU108" s="20" t="str">
        <f>IF(Carro1[[#This Row],[Tipo]]="Início",AQ108&amp;"|"&amp;AN108,"")</f>
        <v/>
      </c>
    </row>
    <row r="109" spans="33:47" x14ac:dyDescent="0.25">
      <c r="AG109" s="20" t="s">
        <v>122</v>
      </c>
      <c r="AH109" s="20" t="s">
        <v>121</v>
      </c>
      <c r="AI109" s="20" t="s">
        <v>203</v>
      </c>
      <c r="AJ109" s="7">
        <v>0.83888888888888891</v>
      </c>
      <c r="AK109" s="7">
        <v>0.85972222222222228</v>
      </c>
      <c r="AL109" s="20" t="s">
        <v>45</v>
      </c>
      <c r="AM109" s="20" t="str">
        <f>+TEXT(Carro1[[#This Row],[Column1]],"hh:mm")&amp;" | " &amp;TEXT(Carro1[[#This Row],[Hora Fim]],"hh:mm")</f>
        <v>20:08 | 20:38</v>
      </c>
      <c r="AN109" s="20">
        <f>INDEX($E$3:$AA$3,MATCH(Carro1[[#This Row],[Nó]],$E$1:$AA$1,0))</f>
        <v>0</v>
      </c>
      <c r="AO109" s="7">
        <f>+IF(AND(Carro1[[#This Row],[Nó]]=AI108,Carro1[[#This Row],[Nó]]=AI110),AO108,Carro1[[#This Row],[Hora Início]])</f>
        <v>0.83888888888888891</v>
      </c>
      <c r="AP109" s="20">
        <f t="shared" si="32"/>
        <v>2</v>
      </c>
      <c r="AQ109" s="20" cm="1">
        <f t="array" ref="AQ109">IFERROR(_xlfn.IFS(AP109=AP108,AQ108,AQ108="Ramo",1),AQ108+1)</f>
        <v>7</v>
      </c>
      <c r="AR109" s="20">
        <f t="shared" si="33"/>
        <v>0</v>
      </c>
      <c r="AS109" s="20" t="str">
        <f>IF(AND(Carro1[[#This Row],[Nó]]=AI110,Carro1[[#This Row],[Nó]]=AI111),"",AQ109&amp;"|"&amp;AN109)</f>
        <v/>
      </c>
      <c r="AT109" s="20" t="str">
        <f>IF(Carro1[[#This Row],[Tipo]]&lt;&gt;"Deslocação",AQ109&amp;"|"&amp;AN109,"")</f>
        <v>7|0</v>
      </c>
      <c r="AU109" s="20" t="str">
        <f>IF(Carro1[[#This Row],[Tipo]]="Início",AQ109&amp;"|"&amp;AN109,"")</f>
        <v/>
      </c>
    </row>
    <row r="110" spans="33:47" x14ac:dyDescent="0.25">
      <c r="AG110" s="20" t="s">
        <v>122</v>
      </c>
      <c r="AH110" s="20" t="s">
        <v>121</v>
      </c>
      <c r="AI110" s="20" t="s">
        <v>203</v>
      </c>
      <c r="AJ110" s="7">
        <v>0.85972222222222228</v>
      </c>
      <c r="AK110" s="7">
        <v>0.85972222222222228</v>
      </c>
      <c r="AL110" s="20" t="s">
        <v>44</v>
      </c>
      <c r="AM110" s="20" t="str">
        <f>+TEXT(Carro1[[#This Row],[Column1]],"hh:mm")&amp;" | " &amp;TEXT(Carro1[[#This Row],[Hora Fim]],"hh:mm")</f>
        <v>20:08 | 20:38</v>
      </c>
      <c r="AN110" s="20">
        <f>INDEX($E$3:$AA$3,MATCH(Carro1[[#This Row],[Nó]],$E$1:$AA$1,0))</f>
        <v>0</v>
      </c>
      <c r="AO110" s="7">
        <f>+IF(AND(Carro1[[#This Row],[Nó]]=AI109,Carro1[[#This Row],[Nó]]=AI111),AO109,Carro1[[#This Row],[Hora Início]])</f>
        <v>0.83888888888888891</v>
      </c>
      <c r="AP110" s="20">
        <f t="shared" si="32"/>
        <v>2</v>
      </c>
      <c r="AQ110" s="20" cm="1">
        <f t="array" ref="AQ110">IFERROR(_xlfn.IFS(AP110=AP109,AQ109,AQ109="Ramo",1),AQ109+1)</f>
        <v>7</v>
      </c>
      <c r="AR110" s="20">
        <f t="shared" si="33"/>
        <v>0</v>
      </c>
      <c r="AS110" s="20" t="str">
        <f>IF(AND(Carro1[[#This Row],[Nó]]=AI111,Carro1[[#This Row],[Nó]]=AI112),"",AQ110&amp;"|"&amp;AN110)</f>
        <v>7|0</v>
      </c>
      <c r="AT110" s="20" t="str">
        <f>IF(Carro1[[#This Row],[Tipo]]&lt;&gt;"Deslocação",AQ110&amp;"|"&amp;AN110,"")</f>
        <v/>
      </c>
      <c r="AU110" s="20" t="str">
        <f>IF(Carro1[[#This Row],[Tipo]]="Início",AQ110&amp;"|"&amp;AN110,"")</f>
        <v/>
      </c>
    </row>
    <row r="111" spans="33:47" x14ac:dyDescent="0.25">
      <c r="AG111" s="20" t="s">
        <v>122</v>
      </c>
      <c r="AH111" s="20" t="s">
        <v>121</v>
      </c>
      <c r="AI111" s="20" t="s">
        <v>203</v>
      </c>
      <c r="AJ111" s="7">
        <v>0.85972222222222228</v>
      </c>
      <c r="AK111" s="7">
        <v>0.86527777777777781</v>
      </c>
      <c r="AL111" s="20" t="s">
        <v>43</v>
      </c>
      <c r="AM111" s="20" t="str">
        <f>+TEXT(Carro1[[#This Row],[Column1]],"hh:mm")&amp;" | " &amp;TEXT(Carro1[[#This Row],[Hora Fim]],"hh:mm")</f>
        <v>20:38 | 20:46</v>
      </c>
      <c r="AN111" s="20">
        <f>INDEX($E$3:$AA$3,MATCH(Carro1[[#This Row],[Nó]],$E$1:$AA$1,0))</f>
        <v>0</v>
      </c>
      <c r="AO111" s="7">
        <f>+IF(AND(Carro1[[#This Row],[Nó]]=AI110,Carro1[[#This Row],[Nó]]=AI112),AO110,Carro1[[#This Row],[Hora Início]])</f>
        <v>0.85972222222222228</v>
      </c>
      <c r="AP111" s="20">
        <f t="shared" si="32"/>
        <v>1</v>
      </c>
      <c r="AQ111" s="20" cm="1">
        <f t="array" ref="AQ111">IFERROR(_xlfn.IFS(AP111=AP110,AQ110,AQ110="Ramo",1),AQ110+1)</f>
        <v>8</v>
      </c>
      <c r="AR111" s="20">
        <f t="shared" si="33"/>
        <v>1</v>
      </c>
      <c r="AS111" s="20" t="str">
        <f>IF(AND(Carro1[[#This Row],[Nó]]=AI112,Carro1[[#This Row],[Nó]]=AI113),"",AQ111&amp;"|"&amp;AN111)</f>
        <v>8|0</v>
      </c>
      <c r="AT111" s="20" t="str">
        <f>IF(Carro1[[#This Row],[Tipo]]&lt;&gt;"Deslocação",AQ111&amp;"|"&amp;AN111,"")</f>
        <v>8|0</v>
      </c>
      <c r="AU111" s="20" t="str">
        <f>IF(Carro1[[#This Row],[Tipo]]="Início",AQ111&amp;"|"&amp;AN111,"")</f>
        <v/>
      </c>
    </row>
    <row r="112" spans="33:47" x14ac:dyDescent="0.25">
      <c r="AG112" s="20" t="s">
        <v>122</v>
      </c>
      <c r="AH112" s="20" t="s">
        <v>122</v>
      </c>
      <c r="AI112" s="20" t="s">
        <v>200</v>
      </c>
      <c r="AJ112" s="7">
        <v>0.8666666666666667</v>
      </c>
      <c r="AK112" s="7">
        <v>0.8666666666666667</v>
      </c>
      <c r="AL112" s="20" t="s">
        <v>44</v>
      </c>
      <c r="AM112" s="20" t="str">
        <f>+TEXT(Carro1[[#This Row],[Column1]],"hh:mm")&amp;" | " &amp;TEXT(Carro1[[#This Row],[Hora Fim]],"hh:mm")</f>
        <v>20:48 | 20:48</v>
      </c>
      <c r="AN112" s="20">
        <f>INDEX($E$3:$AA$3,MATCH(Carro1[[#This Row],[Nó]],$E$1:$AA$1,0))</f>
        <v>1</v>
      </c>
      <c r="AO112" s="7">
        <f>+IF(AND(Carro1[[#This Row],[Nó]]=AI111,Carro1[[#This Row],[Nó]]=AI113),AO111,Carro1[[#This Row],[Hora Início]])</f>
        <v>0.8666666666666667</v>
      </c>
      <c r="AP112" s="20">
        <f t="shared" si="32"/>
        <v>1</v>
      </c>
      <c r="AQ112" s="20" cm="1">
        <f t="array" ref="AQ112">IFERROR(_xlfn.IFS(AP112=AP111,AQ111,AQ111="Ramo",1),AQ111+1)</f>
        <v>8</v>
      </c>
      <c r="AR112" s="20">
        <f t="shared" si="33"/>
        <v>0</v>
      </c>
      <c r="AS112" s="20" t="str">
        <f>IF(AND(Carro1[[#This Row],[Nó]]=AI113,Carro1[[#This Row],[Nó]]=AI114),"",AQ112&amp;"|"&amp;AN112)</f>
        <v>8|1</v>
      </c>
      <c r="AT112" s="20" t="str">
        <f>IF(Carro1[[#This Row],[Tipo]]&lt;&gt;"Deslocação",AQ112&amp;"|"&amp;AN112,"")</f>
        <v/>
      </c>
      <c r="AU112" s="20" t="str">
        <f>IF(Carro1[[#This Row],[Tipo]]="Início",AQ112&amp;"|"&amp;AN112,"")</f>
        <v/>
      </c>
    </row>
    <row r="113" spans="33:47" x14ac:dyDescent="0.25">
      <c r="AG113" s="20" t="s">
        <v>122</v>
      </c>
      <c r="AH113" s="20" t="s">
        <v>123</v>
      </c>
      <c r="AI113" s="20" t="s">
        <v>228</v>
      </c>
      <c r="AJ113" s="7">
        <v>0.8666666666666667</v>
      </c>
      <c r="AK113" s="7">
        <v>0.8666666666666667</v>
      </c>
      <c r="AL113" s="20" t="s">
        <v>44</v>
      </c>
      <c r="AM113" s="20" t="str">
        <f>+TEXT(Carro1[[#This Row],[Column1]],"hh:mm")&amp;" | " &amp;TEXT(Carro1[[#This Row],[Hora Fim]],"hh:mm")</f>
        <v>20:48 | 20:48</v>
      </c>
      <c r="AN113" s="20">
        <f>INDEX($E$3:$AA$3,MATCH(Carro1[[#This Row],[Nó]],$E$1:$AA$1,0))</f>
        <v>2</v>
      </c>
      <c r="AO113" s="7">
        <f>+IF(AND(Carro1[[#This Row],[Nó]]=AI112,Carro1[[#This Row],[Nó]]=AI114),AO112,Carro1[[#This Row],[Hora Início]])</f>
        <v>0.8666666666666667</v>
      </c>
      <c r="AP113" s="20">
        <f t="shared" si="32"/>
        <v>1</v>
      </c>
      <c r="AQ113" s="20" cm="1">
        <f t="array" ref="AQ113">IFERROR(_xlfn.IFS(AP113=AP112,AQ112,AQ112="Ramo",1),AQ112+1)</f>
        <v>8</v>
      </c>
      <c r="AR113" s="20">
        <f t="shared" si="33"/>
        <v>0</v>
      </c>
      <c r="AS113" s="20" t="str">
        <f>IF(AND(Carro1[[#This Row],[Nó]]=AI114,Carro1[[#This Row],[Nó]]=AI115),"",AQ113&amp;"|"&amp;AN113)</f>
        <v>8|2</v>
      </c>
      <c r="AT113" s="20" t="str">
        <f>IF(Carro1[[#This Row],[Tipo]]&lt;&gt;"Deslocação",AQ113&amp;"|"&amp;AN113,"")</f>
        <v/>
      </c>
      <c r="AU113" s="20" t="str">
        <f>IF(Carro1[[#This Row],[Tipo]]="Início",AQ113&amp;"|"&amp;AN113,"")</f>
        <v/>
      </c>
    </row>
    <row r="114" spans="33:47" x14ac:dyDescent="0.25">
      <c r="AG114" s="20" t="s">
        <v>122</v>
      </c>
      <c r="AH114" s="20" t="s">
        <v>124</v>
      </c>
      <c r="AI114" s="20" t="s">
        <v>208</v>
      </c>
      <c r="AJ114" s="7">
        <v>0.86944444444444446</v>
      </c>
      <c r="AK114" s="7">
        <v>0.86944444444444446</v>
      </c>
      <c r="AL114" s="20" t="s">
        <v>44</v>
      </c>
      <c r="AM114" s="20" t="str">
        <f>+TEXT(Carro1[[#This Row],[Column1]],"hh:mm")&amp;" | " &amp;TEXT(Carro1[[#This Row],[Hora Fim]],"hh:mm")</f>
        <v>20:52 | 20:52</v>
      </c>
      <c r="AN114" s="20">
        <f>INDEX($E$3:$AA$3,MATCH(Carro1[[#This Row],[Nó]],$E$1:$AA$1,0))</f>
        <v>3</v>
      </c>
      <c r="AO114" s="7">
        <f>+IF(AND(Carro1[[#This Row],[Nó]]=AI113,Carro1[[#This Row],[Nó]]=AI115),AO113,Carro1[[#This Row],[Hora Início]])</f>
        <v>0.86944444444444446</v>
      </c>
      <c r="AP114" s="20">
        <f t="shared" si="32"/>
        <v>1</v>
      </c>
      <c r="AQ114" s="20" cm="1">
        <f t="array" ref="AQ114">IFERROR(_xlfn.IFS(AP114=AP113,AQ113,AQ113="Ramo",1),AQ113+1)</f>
        <v>8</v>
      </c>
      <c r="AR114" s="20">
        <f t="shared" si="33"/>
        <v>0</v>
      </c>
      <c r="AS114" s="20" t="str">
        <f>IF(AND(Carro1[[#This Row],[Nó]]=AI115,Carro1[[#This Row],[Nó]]=AI116),"",AQ114&amp;"|"&amp;AN114)</f>
        <v>8|3</v>
      </c>
      <c r="AT114" s="20" t="str">
        <f>IF(Carro1[[#This Row],[Tipo]]&lt;&gt;"Deslocação",AQ114&amp;"|"&amp;AN114,"")</f>
        <v/>
      </c>
      <c r="AU114" s="20" t="str">
        <f>IF(Carro1[[#This Row],[Tipo]]="Início",AQ114&amp;"|"&amp;AN114,"")</f>
        <v/>
      </c>
    </row>
    <row r="115" spans="33:47" x14ac:dyDescent="0.25">
      <c r="AG115" s="20" t="s">
        <v>122</v>
      </c>
      <c r="AH115" s="20" t="s">
        <v>125</v>
      </c>
      <c r="AI115" s="20" t="s">
        <v>2</v>
      </c>
      <c r="AJ115" s="7">
        <v>0.87222222222222223</v>
      </c>
      <c r="AK115" s="7">
        <v>0.87222222222222223</v>
      </c>
      <c r="AL115" s="20" t="s">
        <v>44</v>
      </c>
      <c r="AM115" s="20" t="str">
        <f>+TEXT(Carro1[[#This Row],[Column1]],"hh:mm")&amp;" | " &amp;TEXT(Carro1[[#This Row],[Hora Fim]],"hh:mm")</f>
        <v>20:56 | 20:56</v>
      </c>
      <c r="AN115" s="20">
        <f>INDEX($E$3:$AA$3,MATCH(Carro1[[#This Row],[Nó]],$E$1:$AA$1,0))</f>
        <v>4</v>
      </c>
      <c r="AO115" s="7">
        <f>+IF(AND(Carro1[[#This Row],[Nó]]=AI114,Carro1[[#This Row],[Nó]]=AI116),AO114,Carro1[[#This Row],[Hora Início]])</f>
        <v>0.87222222222222223</v>
      </c>
      <c r="AP115" s="20">
        <f t="shared" si="32"/>
        <v>1</v>
      </c>
      <c r="AQ115" s="20" cm="1">
        <f t="array" ref="AQ115">IFERROR(_xlfn.IFS(AP115=AP114,AQ114,AQ114="Ramo",1),AQ114+1)</f>
        <v>8</v>
      </c>
      <c r="AR115" s="20">
        <f t="shared" si="33"/>
        <v>0</v>
      </c>
      <c r="AS115" s="20" t="str">
        <f>IF(AND(Carro1[[#This Row],[Nó]]=AI116,Carro1[[#This Row],[Nó]]=AI117),"",AQ115&amp;"|"&amp;AN115)</f>
        <v>8|4</v>
      </c>
      <c r="AT115" s="20" t="str">
        <f>IF(Carro1[[#This Row],[Tipo]]&lt;&gt;"Deslocação",AQ115&amp;"|"&amp;AN115,"")</f>
        <v/>
      </c>
      <c r="AU115" s="20" t="str">
        <f>IF(Carro1[[#This Row],[Tipo]]="Início",AQ115&amp;"|"&amp;AN115,"")</f>
        <v/>
      </c>
    </row>
    <row r="116" spans="33:47" x14ac:dyDescent="0.25">
      <c r="AG116" s="20" t="s">
        <v>122</v>
      </c>
      <c r="AH116" s="20" t="s">
        <v>172</v>
      </c>
      <c r="AI116" s="20" t="s">
        <v>215</v>
      </c>
      <c r="AJ116" s="7">
        <v>0.875</v>
      </c>
      <c r="AK116" s="7">
        <v>0.875</v>
      </c>
      <c r="AL116" s="20" t="s">
        <v>44</v>
      </c>
      <c r="AM116" s="20" t="str">
        <f>+TEXT(Carro1[[#This Row],[Column1]],"hh:mm")&amp;" | " &amp;TEXT(Carro1[[#This Row],[Hora Fim]],"hh:mm")</f>
        <v>21:00 | 21:00</v>
      </c>
      <c r="AN116" s="20">
        <f>INDEX($E$3:$AA$3,MATCH(Carro1[[#This Row],[Nó]],$E$1:$AA$1,0))</f>
        <v>5</v>
      </c>
      <c r="AO116" s="7">
        <f>+IF(AND(Carro1[[#This Row],[Nó]]=AI115,Carro1[[#This Row],[Nó]]=AI117),AO115,Carro1[[#This Row],[Hora Início]])</f>
        <v>0.875</v>
      </c>
      <c r="AP116" s="20">
        <f t="shared" si="32"/>
        <v>1</v>
      </c>
      <c r="AQ116" s="20" cm="1">
        <f t="array" ref="AQ116">IFERROR(_xlfn.IFS(AP116=AP115,AQ115,AQ115="Ramo",1),AQ115+1)</f>
        <v>8</v>
      </c>
      <c r="AR116" s="20">
        <f t="shared" si="33"/>
        <v>0</v>
      </c>
      <c r="AS116" s="20" t="str">
        <f>IF(AND(Carro1[[#This Row],[Nó]]=AI117,Carro1[[#This Row],[Nó]]=AI118),"",AQ116&amp;"|"&amp;AN116)</f>
        <v>8|5</v>
      </c>
      <c r="AT116" s="20" t="str">
        <f>IF(Carro1[[#This Row],[Tipo]]&lt;&gt;"Deslocação",AQ116&amp;"|"&amp;AN116,"")</f>
        <v/>
      </c>
      <c r="AU116" s="20" t="str">
        <f>IF(Carro1[[#This Row],[Tipo]]="Início",AQ116&amp;"|"&amp;AN116,"")</f>
        <v/>
      </c>
    </row>
    <row r="117" spans="33:47" x14ac:dyDescent="0.25">
      <c r="AG117" s="20" t="s">
        <v>122</v>
      </c>
      <c r="AH117" s="20" t="s">
        <v>172</v>
      </c>
      <c r="AI117" s="20" t="s">
        <v>215</v>
      </c>
      <c r="AJ117" s="7">
        <v>0.875</v>
      </c>
      <c r="AK117" s="7">
        <v>0.875</v>
      </c>
      <c r="AL117" s="20" t="s">
        <v>43</v>
      </c>
      <c r="AM117" s="20" t="str">
        <f>+TEXT(Carro1[[#This Row],[Column1]],"hh:mm")&amp;" | " &amp;TEXT(Carro1[[#This Row],[Hora Fim]],"hh:mm")</f>
        <v>21:00 | 21:00</v>
      </c>
      <c r="AN117" s="20">
        <f>INDEX($E$3:$AA$3,MATCH(Carro1[[#This Row],[Nó]],$E$1:$AA$1,0))</f>
        <v>5</v>
      </c>
      <c r="AO117" s="7">
        <f>+IF(AND(Carro1[[#This Row],[Nó]]=AI116,Carro1[[#This Row],[Nó]]=AI118),AO116,Carro1[[#This Row],[Hora Início]])</f>
        <v>0.875</v>
      </c>
      <c r="AP117" s="20">
        <f t="shared" si="32"/>
        <v>1</v>
      </c>
      <c r="AQ117" s="20" cm="1">
        <f t="array" ref="AQ117">IFERROR(_xlfn.IFS(AP117=AP116,AQ116,AQ116="Ramo",1),AQ116+1)</f>
        <v>8</v>
      </c>
      <c r="AR117" s="20">
        <f t="shared" si="33"/>
        <v>0</v>
      </c>
      <c r="AS117" s="20" t="str">
        <f>IF(AND(Carro1[[#This Row],[Nó]]=AI118,Carro1[[#This Row],[Nó]]=AI119),"",AQ117&amp;"|"&amp;AN117)</f>
        <v>8|5</v>
      </c>
      <c r="AT117" s="20" t="str">
        <f>IF(Carro1[[#This Row],[Tipo]]&lt;&gt;"Deslocação",AQ117&amp;"|"&amp;AN117,"")</f>
        <v>8|5</v>
      </c>
      <c r="AU117" s="20" t="str">
        <f>IF(Carro1[[#This Row],[Tipo]]="Início",AQ117&amp;"|"&amp;AN117,"")</f>
        <v/>
      </c>
    </row>
    <row r="118" spans="33:47" x14ac:dyDescent="0.25">
      <c r="AG118" s="20" t="s">
        <v>122</v>
      </c>
      <c r="AH118" s="20" t="s">
        <v>173</v>
      </c>
      <c r="AI118" s="20" t="s">
        <v>300</v>
      </c>
      <c r="AJ118" s="7">
        <v>0.87777777777777777</v>
      </c>
      <c r="AK118" s="7">
        <v>0.87777777777777777</v>
      </c>
      <c r="AL118" s="20" t="s">
        <v>44</v>
      </c>
      <c r="AM118" s="20" t="str">
        <f>+TEXT(Carro1[[#This Row],[Column1]],"hh:mm")&amp;" | " &amp;TEXT(Carro1[[#This Row],[Hora Fim]],"hh:mm")</f>
        <v>21:04 | 21:04</v>
      </c>
      <c r="AN118" s="20">
        <f>INDEX($E$3:$AA$3,MATCH(Carro1[[#This Row],[Nó]],$E$1:$AA$1,0))</f>
        <v>6</v>
      </c>
      <c r="AO118" s="7">
        <f>+IF(AND(Carro1[[#This Row],[Nó]]=AI117,Carro1[[#This Row],[Nó]]=AI119),AO117,Carro1[[#This Row],[Hora Início]])</f>
        <v>0.87777777777777777</v>
      </c>
      <c r="AP118" s="20">
        <f t="shared" si="32"/>
        <v>1</v>
      </c>
      <c r="AQ118" s="20" cm="1">
        <f t="array" ref="AQ118">IFERROR(_xlfn.IFS(AP118=AP117,AQ117,AQ117="Ramo",1),AQ117+1)</f>
        <v>8</v>
      </c>
      <c r="AR118" s="20">
        <f t="shared" si="33"/>
        <v>0</v>
      </c>
      <c r="AS118" s="20" t="str">
        <f>IF(AND(Carro1[[#This Row],[Nó]]=AI119,Carro1[[#This Row],[Nó]]=AI120),"",AQ118&amp;"|"&amp;AN118)</f>
        <v>8|6</v>
      </c>
      <c r="AT118" s="20" t="str">
        <f>IF(Carro1[[#This Row],[Tipo]]&lt;&gt;"Deslocação",AQ118&amp;"|"&amp;AN118,"")</f>
        <v/>
      </c>
      <c r="AU118" s="20" t="str">
        <f>IF(Carro1[[#This Row],[Tipo]]="Início",AQ118&amp;"|"&amp;AN118,"")</f>
        <v/>
      </c>
    </row>
    <row r="119" spans="33:47" x14ac:dyDescent="0.25">
      <c r="AG119" s="20" t="s">
        <v>122</v>
      </c>
      <c r="AH119" s="20" t="s">
        <v>173</v>
      </c>
      <c r="AI119" s="20" t="s">
        <v>300</v>
      </c>
      <c r="AJ119" s="7">
        <v>0.87777777777777777</v>
      </c>
      <c r="AK119" s="7">
        <v>0.87777777777777777</v>
      </c>
      <c r="AL119" s="20" t="s">
        <v>43</v>
      </c>
      <c r="AM119" s="20" t="str">
        <f>+TEXT(Carro1[[#This Row],[Column1]],"hh:mm")&amp;" | " &amp;TEXT(Carro1[[#This Row],[Hora Fim]],"hh:mm")</f>
        <v>21:04 | 21:04</v>
      </c>
      <c r="AN119" s="20">
        <f>INDEX($E$3:$AA$3,MATCH(Carro1[[#This Row],[Nó]],$E$1:$AA$1,0))</f>
        <v>6</v>
      </c>
      <c r="AO119" s="7">
        <f>+IF(AND(Carro1[[#This Row],[Nó]]=AI118,Carro1[[#This Row],[Nó]]=AI120),AO118,Carro1[[#This Row],[Hora Início]])</f>
        <v>0.87777777777777777</v>
      </c>
      <c r="AP119" s="20">
        <f t="shared" si="32"/>
        <v>1</v>
      </c>
      <c r="AQ119" s="20" cm="1">
        <f t="array" ref="AQ119">IFERROR(_xlfn.IFS(AP119=AP118,AQ118,AQ118="Ramo",1),AQ118+1)</f>
        <v>8</v>
      </c>
      <c r="AR119" s="20">
        <f t="shared" si="33"/>
        <v>0</v>
      </c>
      <c r="AS119" s="20" t="str">
        <f>IF(AND(Carro1[[#This Row],[Nó]]=AI120,Carro1[[#This Row],[Nó]]=AI121),"",AQ119&amp;"|"&amp;AN119)</f>
        <v>8|6</v>
      </c>
      <c r="AT119" s="20" t="str">
        <f>IF(Carro1[[#This Row],[Tipo]]&lt;&gt;"Deslocação",AQ119&amp;"|"&amp;AN119,"")</f>
        <v>8|6</v>
      </c>
      <c r="AU119" s="20" t="str">
        <f>IF(Carro1[[#This Row],[Tipo]]="Início",AQ119&amp;"|"&amp;AN119,"")</f>
        <v/>
      </c>
    </row>
    <row r="120" spans="33:47" x14ac:dyDescent="0.25">
      <c r="AG120" s="20" t="s">
        <v>122</v>
      </c>
      <c r="AH120" s="20" t="s">
        <v>174</v>
      </c>
      <c r="AI120" s="20" t="s">
        <v>301</v>
      </c>
      <c r="AJ120" s="7">
        <v>0.87916666666666665</v>
      </c>
      <c r="AK120" s="7">
        <v>0.87916666666666665</v>
      </c>
      <c r="AL120" s="20" t="s">
        <v>44</v>
      </c>
      <c r="AM120" s="20" t="str">
        <f>+TEXT(Carro1[[#This Row],[Column1]],"hh:mm")&amp;" | " &amp;TEXT(Carro1[[#This Row],[Hora Fim]],"hh:mm")</f>
        <v>21:06 | 21:06</v>
      </c>
      <c r="AN120" s="20">
        <f>INDEX($E$3:$AA$3,MATCH(Carro1[[#This Row],[Nó]],$E$1:$AA$1,0))</f>
        <v>7</v>
      </c>
      <c r="AO120" s="7">
        <f>+IF(AND(Carro1[[#This Row],[Nó]]=AI119,Carro1[[#This Row],[Nó]]=AI121),AO119,Carro1[[#This Row],[Hora Início]])</f>
        <v>0.87916666666666665</v>
      </c>
      <c r="AP120" s="20">
        <f t="shared" si="32"/>
        <v>1</v>
      </c>
      <c r="AQ120" s="20" cm="1">
        <f t="array" ref="AQ120">IFERROR(_xlfn.IFS(AP120=AP119,AQ119,AQ119="Ramo",1),AQ119+1)</f>
        <v>8</v>
      </c>
      <c r="AR120" s="20">
        <f t="shared" si="33"/>
        <v>0</v>
      </c>
      <c r="AS120" s="20" t="str">
        <f>IF(AND(Carro1[[#This Row],[Nó]]=AI121,Carro1[[#This Row],[Nó]]=AI122),"",AQ120&amp;"|"&amp;AN120)</f>
        <v>8|7</v>
      </c>
      <c r="AT120" s="20" t="str">
        <f>IF(Carro1[[#This Row],[Tipo]]&lt;&gt;"Deslocação",AQ120&amp;"|"&amp;AN120,"")</f>
        <v/>
      </c>
      <c r="AU120" s="20" t="str">
        <f>IF(Carro1[[#This Row],[Tipo]]="Início",AQ120&amp;"|"&amp;AN120,"")</f>
        <v/>
      </c>
    </row>
    <row r="121" spans="33:47" x14ac:dyDescent="0.25">
      <c r="AG121" s="20" t="s">
        <v>122</v>
      </c>
      <c r="AH121" s="20" t="s">
        <v>240</v>
      </c>
      <c r="AI121" s="20" t="s">
        <v>302</v>
      </c>
      <c r="AJ121" s="7">
        <v>0.8833333333333333</v>
      </c>
      <c r="AK121" s="7">
        <v>0.8833333333333333</v>
      </c>
      <c r="AL121" s="20" t="s">
        <v>44</v>
      </c>
      <c r="AM121" s="20" t="str">
        <f>+TEXT(Carro1[[#This Row],[Column1]],"hh:mm")&amp;" | " &amp;TEXT(Carro1[[#This Row],[Hora Fim]],"hh:mm")</f>
        <v>21:12 | 21:12</v>
      </c>
      <c r="AN121" s="20">
        <f>INDEX($E$3:$AA$3,MATCH(Carro1[[#This Row],[Nó]],$E$1:$AA$1,0))</f>
        <v>8</v>
      </c>
      <c r="AO121" s="7">
        <f>+IF(AND(Carro1[[#This Row],[Nó]]=AI120,Carro1[[#This Row],[Nó]]=AI122),AO120,Carro1[[#This Row],[Hora Início]])</f>
        <v>0.8833333333333333</v>
      </c>
      <c r="AP121" s="20">
        <f t="shared" si="32"/>
        <v>1</v>
      </c>
      <c r="AQ121" s="20" cm="1">
        <f t="array" ref="AQ121">IFERROR(_xlfn.IFS(AP121=AP120,AQ120,AQ120="Ramo",1),AQ120+1)</f>
        <v>8</v>
      </c>
      <c r="AR121" s="20">
        <f t="shared" si="33"/>
        <v>0</v>
      </c>
      <c r="AS121" s="20" t="str">
        <f>IF(AND(Carro1[[#This Row],[Nó]]=AI122,Carro1[[#This Row],[Nó]]=AI123),"",AQ121&amp;"|"&amp;AN121)</f>
        <v>8|8</v>
      </c>
      <c r="AT121" s="20" t="str">
        <f>IF(Carro1[[#This Row],[Tipo]]&lt;&gt;"Deslocação",AQ121&amp;"|"&amp;AN121,"")</f>
        <v/>
      </c>
      <c r="AU121" s="20" t="str">
        <f>IF(Carro1[[#This Row],[Tipo]]="Início",AQ121&amp;"|"&amp;AN121,"")</f>
        <v/>
      </c>
    </row>
    <row r="122" spans="33:47" x14ac:dyDescent="0.25">
      <c r="AG122" s="20" t="s">
        <v>122</v>
      </c>
      <c r="AH122" s="20" t="s">
        <v>256</v>
      </c>
      <c r="AI122" s="20" t="s">
        <v>303</v>
      </c>
      <c r="AJ122" s="7">
        <v>0.88749999999999996</v>
      </c>
      <c r="AK122" s="7">
        <v>0.88749999999999996</v>
      </c>
      <c r="AL122" s="20" t="s">
        <v>44</v>
      </c>
      <c r="AM122" s="20" t="str">
        <f>+TEXT(Carro1[[#This Row],[Column1]],"hh:mm")&amp;" | " &amp;TEXT(Carro1[[#This Row],[Hora Fim]],"hh:mm")</f>
        <v>21:18 | 21:18</v>
      </c>
      <c r="AN122" s="20">
        <f>INDEX($E$3:$AA$3,MATCH(Carro1[[#This Row],[Nó]],$E$1:$AA$1,0))</f>
        <v>9</v>
      </c>
      <c r="AO122" s="7">
        <f>+IF(AND(Carro1[[#This Row],[Nó]]=AI121,Carro1[[#This Row],[Nó]]=AI123),AO121,Carro1[[#This Row],[Hora Início]])</f>
        <v>0.88749999999999996</v>
      </c>
      <c r="AP122" s="20">
        <f t="shared" si="32"/>
        <v>1</v>
      </c>
      <c r="AQ122" s="20" cm="1">
        <f t="array" ref="AQ122">IFERROR(_xlfn.IFS(AP122=AP121,AQ121,AQ121="Ramo",1),AQ121+1)</f>
        <v>8</v>
      </c>
      <c r="AR122" s="20">
        <f t="shared" si="33"/>
        <v>0</v>
      </c>
      <c r="AS122" s="20" t="str">
        <f>IF(AND(Carro1[[#This Row],[Nó]]=AI123,Carro1[[#This Row],[Nó]]=AI124),"",AQ122&amp;"|"&amp;AN122)</f>
        <v>8|9</v>
      </c>
      <c r="AT122" s="20" t="str">
        <f>IF(Carro1[[#This Row],[Tipo]]&lt;&gt;"Deslocação",AQ122&amp;"|"&amp;AN122,"")</f>
        <v/>
      </c>
      <c r="AU122" s="20" t="str">
        <f>IF(Carro1[[#This Row],[Tipo]]="Início",AQ122&amp;"|"&amp;AN122,"")</f>
        <v/>
      </c>
    </row>
    <row r="123" spans="33:47" x14ac:dyDescent="0.25">
      <c r="AG123" s="20" t="s">
        <v>122</v>
      </c>
      <c r="AH123" s="20" t="s">
        <v>256</v>
      </c>
      <c r="AI123" s="20" t="s">
        <v>303</v>
      </c>
      <c r="AJ123" s="7">
        <v>0.88749999999999996</v>
      </c>
      <c r="AK123" s="7">
        <v>0.88749999999999996</v>
      </c>
      <c r="AL123" s="20" t="s">
        <v>44</v>
      </c>
      <c r="AM123" s="20" t="str">
        <f>+TEXT(Carro1[[#This Row],[Column1]],"hh:mm")&amp;" | " &amp;TEXT(Carro1[[#This Row],[Hora Fim]],"hh:mm")</f>
        <v>21:18 | 21:18</v>
      </c>
      <c r="AN123" s="20">
        <f>INDEX($E$3:$AA$3,MATCH(Carro1[[#This Row],[Nó]],$E$1:$AA$1,0))</f>
        <v>9</v>
      </c>
      <c r="AO123" s="7">
        <f>+IF(AND(Carro1[[#This Row],[Nó]]=AI122,Carro1[[#This Row],[Nó]]=AI124),AO122,Carro1[[#This Row],[Hora Início]])</f>
        <v>0.88749999999999996</v>
      </c>
      <c r="AP123" s="20">
        <f t="shared" si="32"/>
        <v>2</v>
      </c>
      <c r="AQ123" s="20" cm="1">
        <f t="array" ref="AQ123">IFERROR(_xlfn.IFS(AP123=AP122,AQ122,AQ122="Ramo",1),AQ122+1)</f>
        <v>9</v>
      </c>
      <c r="AR123" s="20">
        <f t="shared" si="33"/>
        <v>1</v>
      </c>
      <c r="AS123" s="20" t="str">
        <f>IF(AND(Carro1[[#This Row],[Nó]]=AI124,Carro1[[#This Row],[Nó]]=AI125),"",AQ123&amp;"|"&amp;AN123)</f>
        <v>9|9</v>
      </c>
      <c r="AT123" s="20" t="str">
        <f>IF(Carro1[[#This Row],[Tipo]]&lt;&gt;"Deslocação",AQ123&amp;"|"&amp;AN123,"")</f>
        <v/>
      </c>
      <c r="AU123" s="20" t="str">
        <f>IF(Carro1[[#This Row],[Tipo]]="Início",AQ123&amp;"|"&amp;AN123,"")</f>
        <v/>
      </c>
    </row>
    <row r="124" spans="33:47" x14ac:dyDescent="0.25">
      <c r="AG124" s="20" t="s">
        <v>122</v>
      </c>
      <c r="AH124" s="20" t="s">
        <v>240</v>
      </c>
      <c r="AI124" s="20" t="s">
        <v>302</v>
      </c>
      <c r="AJ124" s="7">
        <v>0.89166666666666672</v>
      </c>
      <c r="AK124" s="7">
        <v>0.89166666666666672</v>
      </c>
      <c r="AL124" s="20" t="s">
        <v>44</v>
      </c>
      <c r="AM124" s="20" t="str">
        <f>+TEXT(Carro1[[#This Row],[Column1]],"hh:mm")&amp;" | " &amp;TEXT(Carro1[[#This Row],[Hora Fim]],"hh:mm")</f>
        <v>21:24 | 21:24</v>
      </c>
      <c r="AN124" s="20">
        <f>INDEX($E$3:$AA$3,MATCH(Carro1[[#This Row],[Nó]],$E$1:$AA$1,0))</f>
        <v>8</v>
      </c>
      <c r="AO124" s="7">
        <f>+IF(AND(Carro1[[#This Row],[Nó]]=AI123,Carro1[[#This Row],[Nó]]=AI125),AO123,Carro1[[#This Row],[Hora Início]])</f>
        <v>0.89166666666666672</v>
      </c>
      <c r="AP124" s="20">
        <f t="shared" si="32"/>
        <v>2</v>
      </c>
      <c r="AQ124" s="20" cm="1">
        <f t="array" ref="AQ124">IFERROR(_xlfn.IFS(AP124=AP123,AQ123,AQ123="Ramo",1),AQ123+1)</f>
        <v>9</v>
      </c>
      <c r="AR124" s="20">
        <f t="shared" si="33"/>
        <v>0</v>
      </c>
      <c r="AS124" s="20" t="str">
        <f>IF(AND(Carro1[[#This Row],[Nó]]=AI125,Carro1[[#This Row],[Nó]]=AI126),"",AQ124&amp;"|"&amp;AN124)</f>
        <v>9|8</v>
      </c>
      <c r="AT124" s="20" t="str">
        <f>IF(Carro1[[#This Row],[Tipo]]&lt;&gt;"Deslocação",AQ124&amp;"|"&amp;AN124,"")</f>
        <v/>
      </c>
      <c r="AU124" s="20" t="str">
        <f>IF(Carro1[[#This Row],[Tipo]]="Início",AQ124&amp;"|"&amp;AN124,"")</f>
        <v/>
      </c>
    </row>
    <row r="125" spans="33:47" x14ac:dyDescent="0.25">
      <c r="AG125" s="20" t="s">
        <v>122</v>
      </c>
      <c r="AH125" s="20" t="s">
        <v>240</v>
      </c>
      <c r="AI125" s="20" t="s">
        <v>302</v>
      </c>
      <c r="AJ125" s="7">
        <v>0.89166666666666672</v>
      </c>
      <c r="AK125" s="7">
        <v>0.89861111111111114</v>
      </c>
      <c r="AL125" s="20" t="s">
        <v>43</v>
      </c>
      <c r="AM125" s="20" t="str">
        <f>+TEXT(Carro1[[#This Row],[Column1]],"hh:mm")&amp;" | " &amp;TEXT(Carro1[[#This Row],[Hora Fim]],"hh:mm")</f>
        <v>21:24 | 21:34</v>
      </c>
      <c r="AN125" s="20">
        <f>INDEX($E$3:$AA$3,MATCH(Carro1[[#This Row],[Nó]],$E$1:$AA$1,0))</f>
        <v>8</v>
      </c>
      <c r="AO125" s="7">
        <f>+IF(AND(Carro1[[#This Row],[Nó]]=AI124,Carro1[[#This Row],[Nó]]=AI126),AO124,Carro1[[#This Row],[Hora Início]])</f>
        <v>0.89166666666666672</v>
      </c>
      <c r="AP125" s="20">
        <f t="shared" si="32"/>
        <v>2</v>
      </c>
      <c r="AQ125" s="20" cm="1">
        <f t="array" ref="AQ125">IFERROR(_xlfn.IFS(AP125=AP124,AQ124,AQ124="Ramo",1),AQ124+1)</f>
        <v>9</v>
      </c>
      <c r="AR125" s="20">
        <f t="shared" si="33"/>
        <v>0</v>
      </c>
      <c r="AS125" s="20" t="str">
        <f>IF(AND(Carro1[[#This Row],[Nó]]=AI126,Carro1[[#This Row],[Nó]]=AI127),"",AQ125&amp;"|"&amp;AN125)</f>
        <v>9|8</v>
      </c>
      <c r="AT125" s="20" t="str">
        <f>IF(Carro1[[#This Row],[Tipo]]&lt;&gt;"Deslocação",AQ125&amp;"|"&amp;AN125,"")</f>
        <v>9|8</v>
      </c>
      <c r="AU125" s="20" t="str">
        <f>IF(Carro1[[#This Row],[Tipo]]="Início",AQ125&amp;"|"&amp;AN125,"")</f>
        <v/>
      </c>
    </row>
    <row r="126" spans="33:47" x14ac:dyDescent="0.25">
      <c r="AG126" s="20" t="s">
        <v>122</v>
      </c>
      <c r="AH126" s="20" t="s">
        <v>174</v>
      </c>
      <c r="AI126" s="20" t="s">
        <v>301</v>
      </c>
      <c r="AJ126" s="7">
        <v>0.90277777777777779</v>
      </c>
      <c r="AK126" s="7">
        <v>0.90277777777777779</v>
      </c>
      <c r="AL126" s="20" t="s">
        <v>44</v>
      </c>
      <c r="AM126" s="20" t="str">
        <f>+TEXT(Carro1[[#This Row],[Column1]],"hh:mm")&amp;" | " &amp;TEXT(Carro1[[#This Row],[Hora Fim]],"hh:mm")</f>
        <v>21:40 | 21:40</v>
      </c>
      <c r="AN126" s="20">
        <f>INDEX($E$3:$AA$3,MATCH(Carro1[[#This Row],[Nó]],$E$1:$AA$1,0))</f>
        <v>7</v>
      </c>
      <c r="AO126" s="7">
        <f>+IF(AND(Carro1[[#This Row],[Nó]]=AI125,Carro1[[#This Row],[Nó]]=AI127),AO125,Carro1[[#This Row],[Hora Início]])</f>
        <v>0.90277777777777779</v>
      </c>
      <c r="AP126" s="20">
        <f t="shared" si="32"/>
        <v>2</v>
      </c>
      <c r="AQ126" s="20" cm="1">
        <f t="array" ref="AQ126">IFERROR(_xlfn.IFS(AP126=AP125,AQ125,AQ125="Ramo",1),AQ125+1)</f>
        <v>9</v>
      </c>
      <c r="AR126" s="20">
        <f t="shared" si="33"/>
        <v>0</v>
      </c>
      <c r="AS126" s="20" t="str">
        <f>IF(AND(Carro1[[#This Row],[Nó]]=AI127,Carro1[[#This Row],[Nó]]=AI128),"",AQ126&amp;"|"&amp;AN126)</f>
        <v>9|7</v>
      </c>
      <c r="AT126" s="20" t="str">
        <f>IF(Carro1[[#This Row],[Tipo]]&lt;&gt;"Deslocação",AQ126&amp;"|"&amp;AN126,"")</f>
        <v/>
      </c>
      <c r="AU126" s="20" t="str">
        <f>IF(Carro1[[#This Row],[Tipo]]="Início",AQ126&amp;"|"&amp;AN126,"")</f>
        <v/>
      </c>
    </row>
    <row r="127" spans="33:47" x14ac:dyDescent="0.25">
      <c r="AG127" s="20" t="s">
        <v>122</v>
      </c>
      <c r="AH127" s="20" t="s">
        <v>174</v>
      </c>
      <c r="AI127" s="20" t="s">
        <v>301</v>
      </c>
      <c r="AJ127" s="7">
        <v>0.90277777777777779</v>
      </c>
      <c r="AK127" s="7">
        <v>0.90972222222222221</v>
      </c>
      <c r="AL127" s="20" t="s">
        <v>43</v>
      </c>
      <c r="AM127" s="20" t="str">
        <f>+TEXT(Carro1[[#This Row],[Column1]],"hh:mm")&amp;" | " &amp;TEXT(Carro1[[#This Row],[Hora Fim]],"hh:mm")</f>
        <v>21:40 | 21:50</v>
      </c>
      <c r="AN127" s="20">
        <f>INDEX($E$3:$AA$3,MATCH(Carro1[[#This Row],[Nó]],$E$1:$AA$1,0))</f>
        <v>7</v>
      </c>
      <c r="AO127" s="7">
        <f>+IF(AND(Carro1[[#This Row],[Nó]]=AI126,Carro1[[#This Row],[Nó]]=AI128),AO126,Carro1[[#This Row],[Hora Início]])</f>
        <v>0.90277777777777779</v>
      </c>
      <c r="AP127" s="20">
        <f t="shared" si="32"/>
        <v>2</v>
      </c>
      <c r="AQ127" s="20" cm="1">
        <f t="array" ref="AQ127">IFERROR(_xlfn.IFS(AP127=AP126,AQ126,AQ126="Ramo",1),AQ126+1)</f>
        <v>9</v>
      </c>
      <c r="AR127" s="20">
        <f t="shared" si="33"/>
        <v>0</v>
      </c>
      <c r="AS127" s="20" t="str">
        <f>IF(AND(Carro1[[#This Row],[Nó]]=AI128,Carro1[[#This Row],[Nó]]=AI129),"",AQ127&amp;"|"&amp;AN127)</f>
        <v>9|7</v>
      </c>
      <c r="AT127" s="20" t="str">
        <f>IF(Carro1[[#This Row],[Tipo]]&lt;&gt;"Deslocação",AQ127&amp;"|"&amp;AN127,"")</f>
        <v>9|7</v>
      </c>
      <c r="AU127" s="20" t="str">
        <f>IF(Carro1[[#This Row],[Tipo]]="Início",AQ127&amp;"|"&amp;AN127,"")</f>
        <v/>
      </c>
    </row>
    <row r="128" spans="33:47" x14ac:dyDescent="0.25">
      <c r="AG128" s="20" t="s">
        <v>122</v>
      </c>
      <c r="AH128" s="20" t="s">
        <v>173</v>
      </c>
      <c r="AI128" s="20" t="s">
        <v>300</v>
      </c>
      <c r="AJ128" s="7">
        <v>0.91249999999999998</v>
      </c>
      <c r="AK128" s="7">
        <v>0.91249999999999998</v>
      </c>
      <c r="AL128" s="20" t="s">
        <v>44</v>
      </c>
      <c r="AM128" s="20" t="str">
        <f>+TEXT(Carro1[[#This Row],[Column1]],"hh:mm")&amp;" | " &amp;TEXT(Carro1[[#This Row],[Hora Fim]],"hh:mm")</f>
        <v>21:54 | 21:54</v>
      </c>
      <c r="AN128" s="20">
        <f>INDEX($E$3:$AA$3,MATCH(Carro1[[#This Row],[Nó]],$E$1:$AA$1,0))</f>
        <v>6</v>
      </c>
      <c r="AO128" s="7">
        <f>+IF(AND(Carro1[[#This Row],[Nó]]=AI127,Carro1[[#This Row],[Nó]]=AI129),AO127,Carro1[[#This Row],[Hora Início]])</f>
        <v>0.91249999999999998</v>
      </c>
      <c r="AP128" s="20">
        <f t="shared" si="32"/>
        <v>2</v>
      </c>
      <c r="AQ128" s="20" cm="1">
        <f t="array" ref="AQ128">IFERROR(_xlfn.IFS(AP128=AP127,AQ127,AQ127="Ramo",1),AQ127+1)</f>
        <v>9</v>
      </c>
      <c r="AR128" s="20">
        <f t="shared" si="33"/>
        <v>0</v>
      </c>
      <c r="AS128" s="20" t="str">
        <f>IF(AND(Carro1[[#This Row],[Nó]]=AI129,Carro1[[#This Row],[Nó]]=AI130),"",AQ128&amp;"|"&amp;AN128)</f>
        <v>9|6</v>
      </c>
      <c r="AT128" s="20" t="str">
        <f>IF(Carro1[[#This Row],[Tipo]]&lt;&gt;"Deslocação",AQ128&amp;"|"&amp;AN128,"")</f>
        <v/>
      </c>
      <c r="AU128" s="20" t="str">
        <f>IF(Carro1[[#This Row],[Tipo]]="Início",AQ128&amp;"|"&amp;AN128,"")</f>
        <v/>
      </c>
    </row>
    <row r="129" spans="33:47" x14ac:dyDescent="0.25">
      <c r="AG129" s="20" t="s">
        <v>122</v>
      </c>
      <c r="AH129" s="20" t="s">
        <v>173</v>
      </c>
      <c r="AI129" s="20" t="s">
        <v>300</v>
      </c>
      <c r="AJ129" s="7">
        <v>0.91249999999999998</v>
      </c>
      <c r="AK129" s="7">
        <v>0.91249999999999998</v>
      </c>
      <c r="AL129" s="20" t="s">
        <v>43</v>
      </c>
      <c r="AM129" s="20" t="str">
        <f>+TEXT(Carro1[[#This Row],[Column1]],"hh:mm")&amp;" | " &amp;TEXT(Carro1[[#This Row],[Hora Fim]],"hh:mm")</f>
        <v>21:54 | 21:54</v>
      </c>
      <c r="AN129" s="20">
        <f>INDEX($E$3:$AA$3,MATCH(Carro1[[#This Row],[Nó]],$E$1:$AA$1,0))</f>
        <v>6</v>
      </c>
      <c r="AO129" s="7">
        <f>+IF(AND(Carro1[[#This Row],[Nó]]=AI128,Carro1[[#This Row],[Nó]]=AI130),AO128,Carro1[[#This Row],[Hora Início]])</f>
        <v>0.91249999999999998</v>
      </c>
      <c r="AP129" s="20">
        <f t="shared" si="32"/>
        <v>2</v>
      </c>
      <c r="AQ129" s="20" cm="1">
        <f t="array" ref="AQ129">IFERROR(_xlfn.IFS(AP129=AP128,AQ128,AQ128="Ramo",1),AQ128+1)</f>
        <v>9</v>
      </c>
      <c r="AR129" s="20">
        <f t="shared" si="33"/>
        <v>0</v>
      </c>
      <c r="AS129" s="20" t="str">
        <f>IF(AND(Carro1[[#This Row],[Nó]]=AI130,Carro1[[#This Row],[Nó]]=AI131),"",AQ129&amp;"|"&amp;AN129)</f>
        <v>9|6</v>
      </c>
      <c r="AT129" s="20" t="str">
        <f>IF(Carro1[[#This Row],[Tipo]]&lt;&gt;"Deslocação",AQ129&amp;"|"&amp;AN129,"")</f>
        <v>9|6</v>
      </c>
      <c r="AU129" s="20" t="str">
        <f>IF(Carro1[[#This Row],[Tipo]]="Início",AQ129&amp;"|"&amp;AN129,"")</f>
        <v/>
      </c>
    </row>
    <row r="130" spans="33:47" x14ac:dyDescent="0.25">
      <c r="AG130" s="20" t="s">
        <v>122</v>
      </c>
      <c r="AH130" s="20" t="s">
        <v>172</v>
      </c>
      <c r="AI130" s="20" t="s">
        <v>215</v>
      </c>
      <c r="AJ130" s="7">
        <v>0.91527777777777775</v>
      </c>
      <c r="AK130" s="7">
        <v>0.91527777777777775</v>
      </c>
      <c r="AL130" s="20" t="s">
        <v>44</v>
      </c>
      <c r="AM130" s="20" t="str">
        <f>+TEXT(Carro1[[#This Row],[Column1]],"hh:mm")&amp;" | " &amp;TEXT(Carro1[[#This Row],[Hora Fim]],"hh:mm")</f>
        <v>21:58 | 21:58</v>
      </c>
      <c r="AN130" s="20">
        <f>INDEX($E$3:$AA$3,MATCH(Carro1[[#This Row],[Nó]],$E$1:$AA$1,0))</f>
        <v>5</v>
      </c>
      <c r="AO130" s="7">
        <f>+IF(AND(Carro1[[#This Row],[Nó]]=AI129,Carro1[[#This Row],[Nó]]=AI131),AO129,Carro1[[#This Row],[Hora Início]])</f>
        <v>0.91527777777777775</v>
      </c>
      <c r="AP130" s="20">
        <f t="shared" ref="AP130:AP193" si="34">IF(AN130=AN129,IF(AN130&lt;&gt;AN131,IF(AN131&gt;=AN129,1,2),AP129),IF(AN130&gt;=AN129,1,2))</f>
        <v>2</v>
      </c>
      <c r="AQ130" s="20" cm="1">
        <f t="array" ref="AQ130">IFERROR(_xlfn.IFS(AP130=AP129,AQ129,AQ129="Ramo",1),AQ129+1)</f>
        <v>9</v>
      </c>
      <c r="AR130" s="20">
        <f t="shared" ref="AR130:AR193" si="35">IF(AQ130&lt;&gt;AQ129,1,0)</f>
        <v>0</v>
      </c>
      <c r="AS130" s="20" t="str">
        <f>IF(AND(Carro1[[#This Row],[Nó]]=AI131,Carro1[[#This Row],[Nó]]=AI132),"",AQ130&amp;"|"&amp;AN130)</f>
        <v>9|5</v>
      </c>
      <c r="AT130" s="20" t="str">
        <f>IF(Carro1[[#This Row],[Tipo]]&lt;&gt;"Deslocação",AQ130&amp;"|"&amp;AN130,"")</f>
        <v/>
      </c>
      <c r="AU130" s="20" t="str">
        <f>IF(Carro1[[#This Row],[Tipo]]="Início",AQ130&amp;"|"&amp;AN130,"")</f>
        <v/>
      </c>
    </row>
    <row r="131" spans="33:47" x14ac:dyDescent="0.25">
      <c r="AG131" s="20" t="s">
        <v>122</v>
      </c>
      <c r="AH131" s="20" t="s">
        <v>172</v>
      </c>
      <c r="AI131" s="20" t="s">
        <v>215</v>
      </c>
      <c r="AJ131" s="7">
        <v>0.91527777777777775</v>
      </c>
      <c r="AK131" s="7">
        <v>0.91527777777777775</v>
      </c>
      <c r="AL131" s="20" t="s">
        <v>43</v>
      </c>
      <c r="AM131" s="20" t="str">
        <f>+TEXT(Carro1[[#This Row],[Column1]],"hh:mm")&amp;" | " &amp;TEXT(Carro1[[#This Row],[Hora Fim]],"hh:mm")</f>
        <v>21:58 | 21:58</v>
      </c>
      <c r="AN131" s="20">
        <f>INDEX($E$3:$AA$3,MATCH(Carro1[[#This Row],[Nó]],$E$1:$AA$1,0))</f>
        <v>5</v>
      </c>
      <c r="AO131" s="7">
        <f>+IF(AND(Carro1[[#This Row],[Nó]]=AI130,Carro1[[#This Row],[Nó]]=AI132),AO130,Carro1[[#This Row],[Hora Início]])</f>
        <v>0.91527777777777775</v>
      </c>
      <c r="AP131" s="20">
        <f t="shared" si="34"/>
        <v>2</v>
      </c>
      <c r="AQ131" s="20" cm="1">
        <f t="array" ref="AQ131">IFERROR(_xlfn.IFS(AP131=AP130,AQ130,AQ130="Ramo",1),AQ130+1)</f>
        <v>9</v>
      </c>
      <c r="AR131" s="20">
        <f t="shared" si="35"/>
        <v>0</v>
      </c>
      <c r="AS131" s="20" t="str">
        <f>IF(AND(Carro1[[#This Row],[Nó]]=AI132,Carro1[[#This Row],[Nó]]=AI133),"",AQ131&amp;"|"&amp;AN131)</f>
        <v>9|5</v>
      </c>
      <c r="AT131" s="20" t="str">
        <f>IF(Carro1[[#This Row],[Tipo]]&lt;&gt;"Deslocação",AQ131&amp;"|"&amp;AN131,"")</f>
        <v>9|5</v>
      </c>
      <c r="AU131" s="20" t="str">
        <f>IF(Carro1[[#This Row],[Tipo]]="Início",AQ131&amp;"|"&amp;AN131,"")</f>
        <v/>
      </c>
    </row>
    <row r="132" spans="33:47" x14ac:dyDescent="0.25">
      <c r="AG132" s="20" t="s">
        <v>122</v>
      </c>
      <c r="AH132" s="20" t="s">
        <v>125</v>
      </c>
      <c r="AI132" s="20" t="s">
        <v>2</v>
      </c>
      <c r="AJ132" s="7">
        <v>0.91666666666666663</v>
      </c>
      <c r="AK132" s="7">
        <v>0.91666666666666663</v>
      </c>
      <c r="AL132" s="20" t="s">
        <v>44</v>
      </c>
      <c r="AM132" s="20" t="str">
        <f>+TEXT(Carro1[[#This Row],[Column1]],"hh:mm")&amp;" | " &amp;TEXT(Carro1[[#This Row],[Hora Fim]],"hh:mm")</f>
        <v>22:00 | 22:00</v>
      </c>
      <c r="AN132" s="20">
        <f>INDEX($E$3:$AA$3,MATCH(Carro1[[#This Row],[Nó]],$E$1:$AA$1,0))</f>
        <v>4</v>
      </c>
      <c r="AO132" s="7">
        <f>+IF(AND(Carro1[[#This Row],[Nó]]=AI131,Carro1[[#This Row],[Nó]]=AI133),AO131,Carro1[[#This Row],[Hora Início]])</f>
        <v>0.91666666666666663</v>
      </c>
      <c r="AP132" s="20">
        <f t="shared" si="34"/>
        <v>2</v>
      </c>
      <c r="AQ132" s="20" cm="1">
        <f t="array" ref="AQ132">IFERROR(_xlfn.IFS(AP132=AP131,AQ131,AQ131="Ramo",1),AQ131+1)</f>
        <v>9</v>
      </c>
      <c r="AR132" s="20">
        <f t="shared" si="35"/>
        <v>0</v>
      </c>
      <c r="AS132" s="20" t="str">
        <f>IF(AND(Carro1[[#This Row],[Nó]]=AI133,Carro1[[#This Row],[Nó]]=AI134),"",AQ132&amp;"|"&amp;AN132)</f>
        <v/>
      </c>
      <c r="AT132" s="20" t="str">
        <f>IF(Carro1[[#This Row],[Tipo]]&lt;&gt;"Deslocação",AQ132&amp;"|"&amp;AN132,"")</f>
        <v/>
      </c>
      <c r="AU132" s="20" t="str">
        <f>IF(Carro1[[#This Row],[Tipo]]="Início",AQ132&amp;"|"&amp;AN132,"")</f>
        <v/>
      </c>
    </row>
    <row r="133" spans="33:47" x14ac:dyDescent="0.25">
      <c r="AG133" s="20" t="s">
        <v>122</v>
      </c>
      <c r="AH133" s="20" t="s">
        <v>125</v>
      </c>
      <c r="AI133" s="20" t="s">
        <v>2</v>
      </c>
      <c r="AJ133" s="7">
        <v>0.91666666666666663</v>
      </c>
      <c r="AK133" s="7">
        <v>0.9375</v>
      </c>
      <c r="AL133" s="20" t="s">
        <v>45</v>
      </c>
      <c r="AM133" s="20" t="str">
        <f>+TEXT(Carro1[[#This Row],[Column1]],"hh:mm")&amp;" | " &amp;TEXT(Carro1[[#This Row],[Hora Fim]],"hh:mm")</f>
        <v>22:00 | 22:30</v>
      </c>
      <c r="AN133" s="20">
        <f>INDEX($E$3:$AA$3,MATCH(Carro1[[#This Row],[Nó]],$E$1:$AA$1,0))</f>
        <v>4</v>
      </c>
      <c r="AO133" s="7">
        <f>+IF(AND(Carro1[[#This Row],[Nó]]=AI132,Carro1[[#This Row],[Nó]]=AI134),AO132,Carro1[[#This Row],[Hora Início]])</f>
        <v>0.91666666666666663</v>
      </c>
      <c r="AP133" s="20">
        <f t="shared" si="34"/>
        <v>2</v>
      </c>
      <c r="AQ133" s="20" cm="1">
        <f t="array" ref="AQ133">IFERROR(_xlfn.IFS(AP133=AP132,AQ132,AQ132="Ramo",1),AQ132+1)</f>
        <v>9</v>
      </c>
      <c r="AR133" s="20">
        <f t="shared" si="35"/>
        <v>0</v>
      </c>
      <c r="AS133" s="20" t="str">
        <f>IF(AND(Carro1[[#This Row],[Nó]]=AI134,Carro1[[#This Row],[Nó]]=AI135),"",AQ133&amp;"|"&amp;AN133)</f>
        <v/>
      </c>
      <c r="AT133" s="20" t="str">
        <f>IF(Carro1[[#This Row],[Tipo]]&lt;&gt;"Deslocação",AQ133&amp;"|"&amp;AN133,"")</f>
        <v>9|4</v>
      </c>
      <c r="AU133" s="20" t="str">
        <f>IF(Carro1[[#This Row],[Tipo]]="Início",AQ133&amp;"|"&amp;AN133,"")</f>
        <v/>
      </c>
    </row>
    <row r="134" spans="33:47" x14ac:dyDescent="0.25">
      <c r="AG134" s="20" t="s">
        <v>122</v>
      </c>
      <c r="AH134" s="20" t="s">
        <v>125</v>
      </c>
      <c r="AI134" s="20" t="s">
        <v>2</v>
      </c>
      <c r="AJ134" s="7">
        <v>0.9375</v>
      </c>
      <c r="AK134" s="7">
        <v>0.95833333333333337</v>
      </c>
      <c r="AL134" s="20" t="s">
        <v>45</v>
      </c>
      <c r="AM134" s="20" t="str">
        <f>+TEXT(Carro1[[#This Row],[Column1]],"hh:mm")&amp;" | " &amp;TEXT(Carro1[[#This Row],[Hora Fim]],"hh:mm")</f>
        <v>22:00 | 23:00</v>
      </c>
      <c r="AN134" s="20">
        <f>INDEX($E$3:$AA$3,MATCH(Carro1[[#This Row],[Nó]],$E$1:$AA$1,0))</f>
        <v>4</v>
      </c>
      <c r="AO134" s="7">
        <f>+IF(AND(Carro1[[#This Row],[Nó]]=AI133,Carro1[[#This Row],[Nó]]=AI135),AO133,Carro1[[#This Row],[Hora Início]])</f>
        <v>0.91666666666666663</v>
      </c>
      <c r="AP134" s="20">
        <f t="shared" si="34"/>
        <v>2</v>
      </c>
      <c r="AQ134" s="20" cm="1">
        <f t="array" ref="AQ134">IFERROR(_xlfn.IFS(AP134=AP133,AQ133,AQ133="Ramo",1),AQ133+1)</f>
        <v>9</v>
      </c>
      <c r="AR134" s="20">
        <f t="shared" si="35"/>
        <v>0</v>
      </c>
      <c r="AS134" s="20" t="str">
        <f>IF(AND(Carro1[[#This Row],[Nó]]=AI135,Carro1[[#This Row],[Nó]]=AI136),"",AQ134&amp;"|"&amp;AN134)</f>
        <v/>
      </c>
      <c r="AT134" s="20" t="str">
        <f>IF(Carro1[[#This Row],[Tipo]]&lt;&gt;"Deslocação",AQ134&amp;"|"&amp;AN134,"")</f>
        <v>9|4</v>
      </c>
      <c r="AU134" s="20" t="str">
        <f>IF(Carro1[[#This Row],[Tipo]]="Início",AQ134&amp;"|"&amp;AN134,"")</f>
        <v/>
      </c>
    </row>
    <row r="135" spans="33:47" x14ac:dyDescent="0.25">
      <c r="AG135" s="20" t="s">
        <v>122</v>
      </c>
      <c r="AH135" s="20" t="s">
        <v>125</v>
      </c>
      <c r="AI135" s="20" t="s">
        <v>2</v>
      </c>
      <c r="AJ135" s="7">
        <v>0.95833333333333337</v>
      </c>
      <c r="AK135" s="7">
        <v>0.95833333333333337</v>
      </c>
      <c r="AL135" s="20" t="s">
        <v>44</v>
      </c>
      <c r="AM135" s="20" t="str">
        <f>+TEXT(Carro1[[#This Row],[Column1]],"hh:mm")&amp;" | " &amp;TEXT(Carro1[[#This Row],[Hora Fim]],"hh:mm")</f>
        <v>22:00 | 23:00</v>
      </c>
      <c r="AN135" s="20">
        <f>INDEX($E$3:$AA$3,MATCH(Carro1[[#This Row],[Nó]],$E$1:$AA$1,0))</f>
        <v>4</v>
      </c>
      <c r="AO135" s="7">
        <f>+IF(AND(Carro1[[#This Row],[Nó]]=AI134,Carro1[[#This Row],[Nó]]=AI136),AO134,Carro1[[#This Row],[Hora Início]])</f>
        <v>0.91666666666666663</v>
      </c>
      <c r="AP135" s="20">
        <f t="shared" si="34"/>
        <v>2</v>
      </c>
      <c r="AQ135" s="20" cm="1">
        <f t="array" ref="AQ135">IFERROR(_xlfn.IFS(AP135=AP134,AQ134,AQ134="Ramo",1),AQ134+1)</f>
        <v>9</v>
      </c>
      <c r="AR135" s="20">
        <f t="shared" si="35"/>
        <v>0</v>
      </c>
      <c r="AS135" s="20" t="str">
        <f>IF(AND(Carro1[[#This Row],[Nó]]=AI136,Carro1[[#This Row],[Nó]]=AI137),"",AQ135&amp;"|"&amp;AN135)</f>
        <v/>
      </c>
      <c r="AT135" s="20" t="str">
        <f>IF(Carro1[[#This Row],[Tipo]]&lt;&gt;"Deslocação",AQ135&amp;"|"&amp;AN135,"")</f>
        <v/>
      </c>
      <c r="AU135" s="20" t="str">
        <f>IF(Carro1[[#This Row],[Tipo]]="Início",AQ135&amp;"|"&amp;AN135,"")</f>
        <v/>
      </c>
    </row>
    <row r="136" spans="33:47" x14ac:dyDescent="0.25">
      <c r="AG136" s="20" t="s">
        <v>123</v>
      </c>
      <c r="AH136" s="20" t="s">
        <v>125</v>
      </c>
      <c r="AI136" s="20" t="s">
        <v>2</v>
      </c>
      <c r="AJ136" s="7">
        <v>0.95833333333333337</v>
      </c>
      <c r="AK136" s="7">
        <v>0.95833333333333337</v>
      </c>
      <c r="AL136" s="20" t="s">
        <v>42</v>
      </c>
      <c r="AM136" s="20" t="str">
        <f>+TEXT(Carro1[[#This Row],[Column1]],"hh:mm")&amp;" | " &amp;TEXT(Carro1[[#This Row],[Hora Fim]],"hh:mm")</f>
        <v>22:00 | 23:00</v>
      </c>
      <c r="AN136" s="20">
        <f>INDEX($E$3:$AA$3,MATCH(Carro1[[#This Row],[Nó]],$E$1:$AA$1,0))</f>
        <v>4</v>
      </c>
      <c r="AO136" s="7">
        <f>+IF(AND(Carro1[[#This Row],[Nó]]=AI135,Carro1[[#This Row],[Nó]]=AI137),AO135,Carro1[[#This Row],[Hora Início]])</f>
        <v>0.91666666666666663</v>
      </c>
      <c r="AP136" s="20">
        <f t="shared" si="34"/>
        <v>2</v>
      </c>
      <c r="AQ136" s="20" cm="1">
        <f t="array" ref="AQ136">IFERROR(_xlfn.IFS(AP136=AP135,AQ135,AQ135="Ramo",1),AQ135+1)</f>
        <v>9</v>
      </c>
      <c r="AR136" s="20">
        <f t="shared" si="35"/>
        <v>0</v>
      </c>
      <c r="AS136" s="20" t="str">
        <f>IF(AND(Carro1[[#This Row],[Nó]]=AI137,Carro1[[#This Row],[Nó]]=AI138),"",AQ136&amp;"|"&amp;AN136)</f>
        <v/>
      </c>
      <c r="AT136" s="20" t="str">
        <f>IF(Carro1[[#This Row],[Tipo]]&lt;&gt;"Deslocação",AQ136&amp;"|"&amp;AN136,"")</f>
        <v>9|4</v>
      </c>
      <c r="AU136" s="20" t="str">
        <f>IF(Carro1[[#This Row],[Tipo]]="Início",AQ136&amp;"|"&amp;AN136,"")</f>
        <v>9|4</v>
      </c>
    </row>
    <row r="137" spans="33:47" x14ac:dyDescent="0.25">
      <c r="AG137" s="20" t="s">
        <v>123</v>
      </c>
      <c r="AH137" s="20" t="s">
        <v>125</v>
      </c>
      <c r="AI137" s="20" t="s">
        <v>2</v>
      </c>
      <c r="AJ137" s="7">
        <v>0.95833333333333337</v>
      </c>
      <c r="AK137" s="7">
        <v>0.95833333333333337</v>
      </c>
      <c r="AL137" s="20" t="s">
        <v>44</v>
      </c>
      <c r="AM137" s="20" t="str">
        <f>+TEXT(Carro1[[#This Row],[Column1]],"hh:mm")&amp;" | " &amp;TEXT(Carro1[[#This Row],[Hora Fim]],"hh:mm")</f>
        <v>22:00 | 23:00</v>
      </c>
      <c r="AN137" s="20">
        <f>INDEX($E$3:$AA$3,MATCH(Carro1[[#This Row],[Nó]],$E$1:$AA$1,0))</f>
        <v>4</v>
      </c>
      <c r="AO137" s="7">
        <f>+IF(AND(Carro1[[#This Row],[Nó]]=AI136,Carro1[[#This Row],[Nó]]=AI138),AO136,Carro1[[#This Row],[Hora Início]])</f>
        <v>0.91666666666666663</v>
      </c>
      <c r="AP137" s="20">
        <f t="shared" si="34"/>
        <v>2</v>
      </c>
      <c r="AQ137" s="20" cm="1">
        <f t="array" ref="AQ137">IFERROR(_xlfn.IFS(AP137=AP136,AQ136,AQ136="Ramo",1),AQ136+1)</f>
        <v>9</v>
      </c>
      <c r="AR137" s="20">
        <f t="shared" si="35"/>
        <v>0</v>
      </c>
      <c r="AS137" s="20" t="str">
        <f>IF(AND(Carro1[[#This Row],[Nó]]=AI138,Carro1[[#This Row],[Nó]]=AI139),"",AQ137&amp;"|"&amp;AN137)</f>
        <v>9|4</v>
      </c>
      <c r="AT137" s="20" t="str">
        <f>IF(Carro1[[#This Row],[Tipo]]&lt;&gt;"Deslocação",AQ137&amp;"|"&amp;AN137,"")</f>
        <v/>
      </c>
      <c r="AU137" s="20" t="str">
        <f>IF(Carro1[[#This Row],[Tipo]]="Início",AQ137&amp;"|"&amp;AN137,"")</f>
        <v/>
      </c>
    </row>
    <row r="138" spans="33:47" x14ac:dyDescent="0.25">
      <c r="AG138" s="20" t="s">
        <v>123</v>
      </c>
      <c r="AH138" s="20" t="s">
        <v>125</v>
      </c>
      <c r="AI138" s="20" t="s">
        <v>2</v>
      </c>
      <c r="AJ138" s="7">
        <v>0.95833333333333337</v>
      </c>
      <c r="AK138" s="7">
        <v>0.96875</v>
      </c>
      <c r="AL138" s="20" t="s">
        <v>47</v>
      </c>
      <c r="AM138" s="20" t="str">
        <f>+TEXT(Carro1[[#This Row],[Column1]],"hh:mm")&amp;" | " &amp;TEXT(Carro1[[#This Row],[Hora Fim]],"hh:mm")</f>
        <v>23:00 | 23:15</v>
      </c>
      <c r="AN138" s="20">
        <f>INDEX($E$3:$AA$3,MATCH(Carro1[[#This Row],[Nó]],$E$1:$AA$1,0))</f>
        <v>4</v>
      </c>
      <c r="AO138" s="7">
        <f>+IF(AND(Carro1[[#This Row],[Nó]]=AI137,Carro1[[#This Row],[Nó]]=AI139),AO137,Carro1[[#This Row],[Hora Início]])</f>
        <v>0.95833333333333337</v>
      </c>
      <c r="AP138" s="20">
        <f t="shared" si="34"/>
        <v>2</v>
      </c>
      <c r="AQ138" s="20" cm="1">
        <f t="array" ref="AQ138">IFERROR(_xlfn.IFS(AP138=AP137,AQ137,AQ137="Ramo",1),AQ137+1)</f>
        <v>9</v>
      </c>
      <c r="AR138" s="20">
        <f t="shared" si="35"/>
        <v>0</v>
      </c>
      <c r="AS138" s="20" t="str">
        <f>IF(AND(Carro1[[#This Row],[Nó]]=AI139,Carro1[[#This Row],[Nó]]=AI140),"",AQ138&amp;"|"&amp;AN138)</f>
        <v>9|4</v>
      </c>
      <c r="AT138" s="20" t="str">
        <f>IF(Carro1[[#This Row],[Tipo]]&lt;&gt;"Deslocação",AQ138&amp;"|"&amp;AN138,"")</f>
        <v>9|4</v>
      </c>
      <c r="AU138" s="20" t="str">
        <f>IF(Carro1[[#This Row],[Tipo]]="Início",AQ138&amp;"|"&amp;AN138,"")</f>
        <v/>
      </c>
    </row>
    <row r="139" spans="33:47" x14ac:dyDescent="0.25">
      <c r="AG139" s="20" t="s">
        <v>123</v>
      </c>
      <c r="AH139" s="20" t="s">
        <v>124</v>
      </c>
      <c r="AI139" s="20" t="s">
        <v>208</v>
      </c>
      <c r="AJ139" s="7">
        <v>0.97222222222222221</v>
      </c>
      <c r="AK139" s="7">
        <v>0.97222222222222221</v>
      </c>
      <c r="AL139" s="20" t="s">
        <v>44</v>
      </c>
      <c r="AM139" s="20" t="str">
        <f>+TEXT(Carro1[[#This Row],[Column1]],"hh:mm")&amp;" | " &amp;TEXT(Carro1[[#This Row],[Hora Fim]],"hh:mm")</f>
        <v>23:20 | 23:20</v>
      </c>
      <c r="AN139" s="20">
        <f>INDEX($E$3:$AA$3,MATCH(Carro1[[#This Row],[Nó]],$E$1:$AA$1,0))</f>
        <v>3</v>
      </c>
      <c r="AO139" s="7">
        <f>+IF(AND(Carro1[[#This Row],[Nó]]=AI138,Carro1[[#This Row],[Nó]]=AI140),AO138,Carro1[[#This Row],[Hora Início]])</f>
        <v>0.97222222222222221</v>
      </c>
      <c r="AP139" s="20">
        <f t="shared" si="34"/>
        <v>2</v>
      </c>
      <c r="AQ139" s="20" cm="1">
        <f t="array" ref="AQ139">IFERROR(_xlfn.IFS(AP139=AP138,AQ138,AQ138="Ramo",1),AQ138+1)</f>
        <v>9</v>
      </c>
      <c r="AR139" s="20">
        <f t="shared" si="35"/>
        <v>0</v>
      </c>
      <c r="AS139" s="20" t="str">
        <f>IF(AND(Carro1[[#This Row],[Nó]]=AI140,Carro1[[#This Row],[Nó]]=AI141),"",AQ139&amp;"|"&amp;AN139)</f>
        <v>9|3</v>
      </c>
      <c r="AT139" s="20" t="str">
        <f>IF(Carro1[[#This Row],[Tipo]]&lt;&gt;"Deslocação",AQ139&amp;"|"&amp;AN139,"")</f>
        <v/>
      </c>
      <c r="AU139" s="20" t="str">
        <f>IF(Carro1[[#This Row],[Tipo]]="Início",AQ139&amp;"|"&amp;AN139,"")</f>
        <v/>
      </c>
    </row>
    <row r="140" spans="33:47" x14ac:dyDescent="0.25">
      <c r="AG140" s="20" t="s">
        <v>123</v>
      </c>
      <c r="AH140" s="20" t="s">
        <v>123</v>
      </c>
      <c r="AI140" s="20" t="s">
        <v>228</v>
      </c>
      <c r="AJ140" s="7">
        <v>0.97430555555555554</v>
      </c>
      <c r="AK140" s="7">
        <v>0.97430555555555554</v>
      </c>
      <c r="AL140" s="20" t="s">
        <v>44</v>
      </c>
      <c r="AM140" s="20" t="str">
        <f>+TEXT(Carro1[[#This Row],[Column1]],"hh:mm")&amp;" | " &amp;TEXT(Carro1[[#This Row],[Hora Fim]],"hh:mm")</f>
        <v>23:23 | 23:23</v>
      </c>
      <c r="AN140" s="20">
        <f>INDEX($E$3:$AA$3,MATCH(Carro1[[#This Row],[Nó]],$E$1:$AA$1,0))</f>
        <v>2</v>
      </c>
      <c r="AO140" s="7">
        <f>+IF(AND(Carro1[[#This Row],[Nó]]=AI139,Carro1[[#This Row],[Nó]]=AI141),AO139,Carro1[[#This Row],[Hora Início]])</f>
        <v>0.97430555555555554</v>
      </c>
      <c r="AP140" s="20">
        <f t="shared" si="34"/>
        <v>2</v>
      </c>
      <c r="AQ140" s="20" cm="1">
        <f t="array" ref="AQ140">IFERROR(_xlfn.IFS(AP140=AP139,AQ139,AQ139="Ramo",1),AQ139+1)</f>
        <v>9</v>
      </c>
      <c r="AR140" s="20">
        <f t="shared" si="35"/>
        <v>0</v>
      </c>
      <c r="AS140" s="20" t="str">
        <f>IF(AND(Carro1[[#This Row],[Nó]]=AI141,Carro1[[#This Row],[Nó]]=AI142),"",AQ140&amp;"|"&amp;AN140)</f>
        <v>9|2</v>
      </c>
      <c r="AT140" s="20" t="str">
        <f>IF(Carro1[[#This Row],[Tipo]]&lt;&gt;"Deslocação",AQ140&amp;"|"&amp;AN140,"")</f>
        <v/>
      </c>
      <c r="AU140" s="20" t="str">
        <f>IF(Carro1[[#This Row],[Tipo]]="Início",AQ140&amp;"|"&amp;AN140,"")</f>
        <v/>
      </c>
    </row>
    <row r="141" spans="33:47" x14ac:dyDescent="0.25">
      <c r="AG141" s="20" t="s">
        <v>123</v>
      </c>
      <c r="AH141" s="20" t="s">
        <v>122</v>
      </c>
      <c r="AI141" s="20" t="s">
        <v>200</v>
      </c>
      <c r="AJ141" s="7">
        <v>0.97499999999999998</v>
      </c>
      <c r="AK141" s="7">
        <v>0.97499999999999998</v>
      </c>
      <c r="AL141" s="20" t="s">
        <v>44</v>
      </c>
      <c r="AM141" s="20" t="str">
        <f>+TEXT(Carro1[[#This Row],[Column1]],"hh:mm")&amp;" | " &amp;TEXT(Carro1[[#This Row],[Hora Fim]],"hh:mm")</f>
        <v>23:24 | 23:24</v>
      </c>
      <c r="AN141" s="20">
        <f>INDEX($E$3:$AA$3,MATCH(Carro1[[#This Row],[Nó]],$E$1:$AA$1,0))</f>
        <v>1</v>
      </c>
      <c r="AO141" s="7">
        <f>+IF(AND(Carro1[[#This Row],[Nó]]=AI140,Carro1[[#This Row],[Nó]]=AI142),AO140,Carro1[[#This Row],[Hora Início]])</f>
        <v>0.97499999999999998</v>
      </c>
      <c r="AP141" s="20">
        <f t="shared" si="34"/>
        <v>2</v>
      </c>
      <c r="AQ141" s="20" cm="1">
        <f t="array" ref="AQ141">IFERROR(_xlfn.IFS(AP141=AP140,AQ140,AQ140="Ramo",1),AQ140+1)</f>
        <v>9</v>
      </c>
      <c r="AR141" s="20">
        <f t="shared" si="35"/>
        <v>0</v>
      </c>
      <c r="AS141" s="20" t="str">
        <f>IF(AND(Carro1[[#This Row],[Nó]]=AI142,Carro1[[#This Row],[Nó]]=AI143),"",AQ141&amp;"|"&amp;AN141)</f>
        <v>9|1</v>
      </c>
      <c r="AT141" s="20" t="str">
        <f>IF(Carro1[[#This Row],[Tipo]]&lt;&gt;"Deslocação",AQ141&amp;"|"&amp;AN141,"")</f>
        <v/>
      </c>
      <c r="AU141" s="20" t="str">
        <f>IF(Carro1[[#This Row],[Tipo]]="Início",AQ141&amp;"|"&amp;AN141,"")</f>
        <v/>
      </c>
    </row>
    <row r="142" spans="33:47" x14ac:dyDescent="0.25">
      <c r="AG142" s="20" t="s">
        <v>123</v>
      </c>
      <c r="AH142" s="20" t="s">
        <v>121</v>
      </c>
      <c r="AI142" s="20" t="s">
        <v>203</v>
      </c>
      <c r="AJ142" s="7">
        <v>0.97638888888888886</v>
      </c>
      <c r="AK142" s="7">
        <v>0.97638888888888886</v>
      </c>
      <c r="AL142" s="20" t="s">
        <v>44</v>
      </c>
      <c r="AM142" s="20" t="str">
        <f>+TEXT(Carro1[[#This Row],[Column1]],"hh:mm")&amp;" | " &amp;TEXT(Carro1[[#This Row],[Hora Fim]],"hh:mm")</f>
        <v>23:26 | 23:26</v>
      </c>
      <c r="AN142" s="20">
        <f>INDEX($E$3:$AA$3,MATCH(Carro1[[#This Row],[Nó]],$E$1:$AA$1,0))</f>
        <v>0</v>
      </c>
      <c r="AO142" s="7">
        <f>+IF(AND(Carro1[[#This Row],[Nó]]=AI141,Carro1[[#This Row],[Nó]]=AI143),AO141,Carro1[[#This Row],[Hora Início]])</f>
        <v>0.97638888888888886</v>
      </c>
      <c r="AP142" s="20">
        <f t="shared" si="34"/>
        <v>2</v>
      </c>
      <c r="AQ142" s="20" cm="1">
        <f t="array" ref="AQ142">IFERROR(_xlfn.IFS(AP142=AP141,AQ141,AQ141="Ramo",1),AQ141+1)</f>
        <v>9</v>
      </c>
      <c r="AR142" s="20">
        <f t="shared" si="35"/>
        <v>0</v>
      </c>
      <c r="AS142" s="20" t="str">
        <f>IF(AND(Carro1[[#This Row],[Nó]]=AI143,Carro1[[#This Row],[Nó]]=AI144),"",AQ142&amp;"|"&amp;AN142)</f>
        <v/>
      </c>
      <c r="AT142" s="20" t="str">
        <f>IF(Carro1[[#This Row],[Tipo]]&lt;&gt;"Deslocação",AQ142&amp;"|"&amp;AN142,"")</f>
        <v/>
      </c>
      <c r="AU142" s="20" t="str">
        <f>IF(Carro1[[#This Row],[Tipo]]="Início",AQ142&amp;"|"&amp;AN142,"")</f>
        <v/>
      </c>
    </row>
    <row r="143" spans="33:47" x14ac:dyDescent="0.25">
      <c r="AG143" s="20" t="s">
        <v>123</v>
      </c>
      <c r="AH143" s="20" t="s">
        <v>121</v>
      </c>
      <c r="AI143" s="20" t="s">
        <v>203</v>
      </c>
      <c r="AJ143" s="7">
        <v>0.97638888888888886</v>
      </c>
      <c r="AK143" s="7">
        <v>0.99722222222222223</v>
      </c>
      <c r="AL143" s="20" t="s">
        <v>45</v>
      </c>
      <c r="AM143" s="20" t="str">
        <f>+TEXT(Carro1[[#This Row],[Column1]],"hh:mm")&amp;" | " &amp;TEXT(Carro1[[#This Row],[Hora Fim]],"hh:mm")</f>
        <v>23:26 | 23:56</v>
      </c>
      <c r="AN143" s="20">
        <f>INDEX($E$3:$AA$3,MATCH(Carro1[[#This Row],[Nó]],$E$1:$AA$1,0))</f>
        <v>0</v>
      </c>
      <c r="AO143" s="7">
        <f>+IF(AND(Carro1[[#This Row],[Nó]]=AI142,Carro1[[#This Row],[Nó]]=AI144),AO142,Carro1[[#This Row],[Hora Início]])</f>
        <v>0.97638888888888886</v>
      </c>
      <c r="AP143" s="20">
        <f t="shared" si="34"/>
        <v>2</v>
      </c>
      <c r="AQ143" s="20" cm="1">
        <f t="array" ref="AQ143">IFERROR(_xlfn.IFS(AP143=AP142,AQ142,AQ142="Ramo",1),AQ142+1)</f>
        <v>9</v>
      </c>
      <c r="AR143" s="20">
        <f t="shared" si="35"/>
        <v>0</v>
      </c>
      <c r="AS143" s="20" t="str">
        <f>IF(AND(Carro1[[#This Row],[Nó]]=AI144,Carro1[[#This Row],[Nó]]=AI145),"",AQ143&amp;"|"&amp;AN143)</f>
        <v>9|0</v>
      </c>
      <c r="AT143" s="20" t="str">
        <f>IF(Carro1[[#This Row],[Tipo]]&lt;&gt;"Deslocação",AQ143&amp;"|"&amp;AN143,"")</f>
        <v>9|0</v>
      </c>
      <c r="AU143" s="20" t="str">
        <f>IF(Carro1[[#This Row],[Tipo]]="Início",AQ143&amp;"|"&amp;AN143,"")</f>
        <v/>
      </c>
    </row>
    <row r="144" spans="33:47" x14ac:dyDescent="0.25">
      <c r="AG144" s="20" t="s">
        <v>123</v>
      </c>
      <c r="AH144" s="20" t="s">
        <v>121</v>
      </c>
      <c r="AI144" s="20" t="s">
        <v>203</v>
      </c>
      <c r="AJ144" s="7">
        <v>0.99722222222222223</v>
      </c>
      <c r="AK144" s="7">
        <v>0.99722222222222223</v>
      </c>
      <c r="AL144" s="20" t="s">
        <v>44</v>
      </c>
      <c r="AM144" s="20" t="str">
        <f>+TEXT(Carro1[[#This Row],[Column1]],"hh:mm")&amp;" | " &amp;TEXT(Carro1[[#This Row],[Hora Fim]],"hh:mm")</f>
        <v>23:56 | 23:56</v>
      </c>
      <c r="AN144" s="20">
        <f>INDEX($E$3:$AA$3,MATCH(Carro1[[#This Row],[Nó]],$E$1:$AA$1,0))</f>
        <v>0</v>
      </c>
      <c r="AO144" s="7">
        <f>+IF(AND(Carro1[[#This Row],[Nó]]=AI143,Carro1[[#This Row],[Nó]]=AI145),AO143,Carro1[[#This Row],[Hora Início]])</f>
        <v>0.99722222222222223</v>
      </c>
      <c r="AP144" s="20">
        <f t="shared" si="34"/>
        <v>1</v>
      </c>
      <c r="AQ144" s="20" cm="1">
        <f t="array" ref="AQ144">IFERROR(_xlfn.IFS(AP144=AP143,AQ143,AQ143="Ramo",1),AQ143+1)</f>
        <v>10</v>
      </c>
      <c r="AR144" s="20">
        <f t="shared" si="35"/>
        <v>1</v>
      </c>
      <c r="AS144" s="20" t="str">
        <f>IF(AND(Carro1[[#This Row],[Nó]]=AI145,Carro1[[#This Row],[Nó]]=AI146),"",AQ144&amp;"|"&amp;AN144)</f>
        <v>10|0</v>
      </c>
      <c r="AT144" s="20" t="str">
        <f>IF(Carro1[[#This Row],[Tipo]]&lt;&gt;"Deslocação",AQ144&amp;"|"&amp;AN144,"")</f>
        <v/>
      </c>
      <c r="AU144" s="20" t="str">
        <f>IF(Carro1[[#This Row],[Tipo]]="Início",AQ144&amp;"|"&amp;AN144,"")</f>
        <v/>
      </c>
    </row>
    <row r="145" spans="33:47" x14ac:dyDescent="0.25">
      <c r="AG145" s="20" t="s">
        <v>123</v>
      </c>
      <c r="AH145" s="20" t="s">
        <v>122</v>
      </c>
      <c r="AI145" s="20" t="s">
        <v>200</v>
      </c>
      <c r="AJ145" s="7">
        <v>0.99861111111111112</v>
      </c>
      <c r="AK145" s="7">
        <v>0.99861111111111112</v>
      </c>
      <c r="AL145" s="20" t="s">
        <v>44</v>
      </c>
      <c r="AM145" s="20" t="str">
        <f>+TEXT(Carro1[[#This Row],[Column1]],"hh:mm")&amp;" | " &amp;TEXT(Carro1[[#This Row],[Hora Fim]],"hh:mm")</f>
        <v>23:58 | 23:58</v>
      </c>
      <c r="AN145" s="20">
        <f>INDEX($E$3:$AA$3,MATCH(Carro1[[#This Row],[Nó]],$E$1:$AA$1,0))</f>
        <v>1</v>
      </c>
      <c r="AO145" s="7">
        <f>+IF(AND(Carro1[[#This Row],[Nó]]=AI144,Carro1[[#This Row],[Nó]]=AI146),AO144,Carro1[[#This Row],[Hora Início]])</f>
        <v>0.99861111111111112</v>
      </c>
      <c r="AP145" s="20">
        <f t="shared" si="34"/>
        <v>1</v>
      </c>
      <c r="AQ145" s="20" cm="1">
        <f t="array" ref="AQ145">IFERROR(_xlfn.IFS(AP145=AP144,AQ144,AQ144="Ramo",1),AQ144+1)</f>
        <v>10</v>
      </c>
      <c r="AR145" s="20">
        <f t="shared" si="35"/>
        <v>0</v>
      </c>
      <c r="AS145" s="20" t="str">
        <f>IF(AND(Carro1[[#This Row],[Nó]]=AI146,Carro1[[#This Row],[Nó]]=AI147),"",AQ145&amp;"|"&amp;AN145)</f>
        <v>10|1</v>
      </c>
      <c r="AT145" s="20" t="str">
        <f>IF(Carro1[[#This Row],[Tipo]]&lt;&gt;"Deslocação",AQ145&amp;"|"&amp;AN145,"")</f>
        <v/>
      </c>
      <c r="AU145" s="20" t="str">
        <f>IF(Carro1[[#This Row],[Tipo]]="Início",AQ145&amp;"|"&amp;AN145,"")</f>
        <v/>
      </c>
    </row>
    <row r="146" spans="33:47" x14ac:dyDescent="0.25">
      <c r="AG146" s="20" t="s">
        <v>123</v>
      </c>
      <c r="AH146" s="20" t="s">
        <v>122</v>
      </c>
      <c r="AI146" s="20" t="s">
        <v>200</v>
      </c>
      <c r="AJ146" s="7">
        <v>0.99861111111111112</v>
      </c>
      <c r="AK146" s="7">
        <v>1.3888888888888889E-3</v>
      </c>
      <c r="AL146" s="20" t="s">
        <v>43</v>
      </c>
      <c r="AM146" s="20" t="str">
        <f>+TEXT(Carro1[[#This Row],[Column1]],"hh:mm")&amp;" | " &amp;TEXT(Carro1[[#This Row],[Hora Fim]],"hh:mm")</f>
        <v>23:58 | 00:02</v>
      </c>
      <c r="AN146" s="20">
        <f>INDEX($E$3:$AA$3,MATCH(Carro1[[#This Row],[Nó]],$E$1:$AA$1,0))</f>
        <v>1</v>
      </c>
      <c r="AO146" s="7">
        <f>+IF(AND(Carro1[[#This Row],[Nó]]=AI145,Carro1[[#This Row],[Nó]]=AI147),AO145,Carro1[[#This Row],[Hora Início]])</f>
        <v>0.99861111111111112</v>
      </c>
      <c r="AP146" s="20">
        <f t="shared" si="34"/>
        <v>1</v>
      </c>
      <c r="AQ146" s="20" cm="1">
        <f t="array" ref="AQ146">IFERROR(_xlfn.IFS(AP146=AP145,AQ145,AQ145="Ramo",1),AQ145+1)</f>
        <v>10</v>
      </c>
      <c r="AR146" s="20">
        <f t="shared" si="35"/>
        <v>0</v>
      </c>
      <c r="AS146" s="20" t="str">
        <f>IF(AND(Carro1[[#This Row],[Nó]]=AI147,Carro1[[#This Row],[Nó]]=AI148),"",AQ146&amp;"|"&amp;AN146)</f>
        <v>10|1</v>
      </c>
      <c r="AT146" s="20" t="str">
        <f>IF(Carro1[[#This Row],[Tipo]]&lt;&gt;"Deslocação",AQ146&amp;"|"&amp;AN146,"")</f>
        <v>10|1</v>
      </c>
      <c r="AU146" s="20" t="str">
        <f>IF(Carro1[[#This Row],[Tipo]]="Início",AQ146&amp;"|"&amp;AN146,"")</f>
        <v/>
      </c>
    </row>
    <row r="147" spans="33:47" x14ac:dyDescent="0.25">
      <c r="AG147" s="20" t="s">
        <v>123</v>
      </c>
      <c r="AH147" s="20" t="s">
        <v>123</v>
      </c>
      <c r="AI147" s="20" t="s">
        <v>228</v>
      </c>
      <c r="AJ147" s="7">
        <v>2.0833333333333333E-3</v>
      </c>
      <c r="AK147" s="7">
        <v>2.0833333333333333E-3</v>
      </c>
      <c r="AL147" s="20" t="s">
        <v>44</v>
      </c>
      <c r="AM147" s="20" t="str">
        <f>+TEXT(Carro1[[#This Row],[Column1]],"hh:mm")&amp;" | " &amp;TEXT(Carro1[[#This Row],[Hora Fim]],"hh:mm")</f>
        <v>00:03 | 00:03</v>
      </c>
      <c r="AN147" s="20">
        <f>INDEX($E$3:$AA$3,MATCH(Carro1[[#This Row],[Nó]],$E$1:$AA$1,0))</f>
        <v>2</v>
      </c>
      <c r="AO147" s="7">
        <f>+IF(AND(Carro1[[#This Row],[Nó]]=AI146,Carro1[[#This Row],[Nó]]=AI148),AO146,Carro1[[#This Row],[Hora Início]])</f>
        <v>2.0833333333333333E-3</v>
      </c>
      <c r="AP147" s="20">
        <f t="shared" si="34"/>
        <v>1</v>
      </c>
      <c r="AQ147" s="20" cm="1">
        <f t="array" ref="AQ147">IFERROR(_xlfn.IFS(AP147=AP146,AQ146,AQ146="Ramo",1),AQ146+1)</f>
        <v>10</v>
      </c>
      <c r="AR147" s="20">
        <f t="shared" si="35"/>
        <v>0</v>
      </c>
      <c r="AS147" s="20" t="str">
        <f>IF(AND(Carro1[[#This Row],[Nó]]=AI148,Carro1[[#This Row],[Nó]]=AI149),"",AQ147&amp;"|"&amp;AN147)</f>
        <v>10|2</v>
      </c>
      <c r="AT147" s="20" t="str">
        <f>IF(Carro1[[#This Row],[Tipo]]&lt;&gt;"Deslocação",AQ147&amp;"|"&amp;AN147,"")</f>
        <v/>
      </c>
      <c r="AU147" s="20" t="str">
        <f>IF(Carro1[[#This Row],[Tipo]]="Início",AQ147&amp;"|"&amp;AN147,"")</f>
        <v/>
      </c>
    </row>
    <row r="148" spans="33:47" x14ac:dyDescent="0.25">
      <c r="AG148" s="20" t="s">
        <v>123</v>
      </c>
      <c r="AH148" s="20" t="s">
        <v>123</v>
      </c>
      <c r="AI148" s="20" t="s">
        <v>228</v>
      </c>
      <c r="AJ148" s="7">
        <v>2.0833333333333333E-3</v>
      </c>
      <c r="AK148" s="7">
        <v>1.4583333333333334E-2</v>
      </c>
      <c r="AL148" s="20" t="s">
        <v>43</v>
      </c>
      <c r="AM148" s="20" t="str">
        <f>+TEXT(Carro1[[#This Row],[Column1]],"hh:mm")&amp;" | " &amp;TEXT(Carro1[[#This Row],[Hora Fim]],"hh:mm")</f>
        <v>00:03 | 00:21</v>
      </c>
      <c r="AN148" s="20">
        <f>INDEX($E$3:$AA$3,MATCH(Carro1[[#This Row],[Nó]],$E$1:$AA$1,0))</f>
        <v>2</v>
      </c>
      <c r="AO148" s="7">
        <f>+IF(AND(Carro1[[#This Row],[Nó]]=AI147,Carro1[[#This Row],[Nó]]=AI149),AO147,Carro1[[#This Row],[Hora Início]])</f>
        <v>2.0833333333333333E-3</v>
      </c>
      <c r="AP148" s="20">
        <f t="shared" si="34"/>
        <v>1</v>
      </c>
      <c r="AQ148" s="20" cm="1">
        <f t="array" ref="AQ148">IFERROR(_xlfn.IFS(AP148=AP147,AQ147,AQ147="Ramo",1),AQ147+1)</f>
        <v>10</v>
      </c>
      <c r="AR148" s="20">
        <f t="shared" si="35"/>
        <v>0</v>
      </c>
      <c r="AS148" s="20" t="str">
        <f>IF(AND(Carro1[[#This Row],[Nó]]=AI149,Carro1[[#This Row],[Nó]]=AI150),"",AQ148&amp;"|"&amp;AN148)</f>
        <v>10|2</v>
      </c>
      <c r="AT148" s="20" t="str">
        <f>IF(Carro1[[#This Row],[Tipo]]&lt;&gt;"Deslocação",AQ148&amp;"|"&amp;AN148,"")</f>
        <v>10|2</v>
      </c>
      <c r="AU148" s="20" t="str">
        <f>IF(Carro1[[#This Row],[Tipo]]="Início",AQ148&amp;"|"&amp;AN148,"")</f>
        <v/>
      </c>
    </row>
    <row r="149" spans="33:47" x14ac:dyDescent="0.25">
      <c r="AG149" s="20" t="s">
        <v>123</v>
      </c>
      <c r="AH149" s="20" t="s">
        <v>124</v>
      </c>
      <c r="AI149" s="20" t="s">
        <v>208</v>
      </c>
      <c r="AJ149" s="7">
        <v>1.6666666666666666E-2</v>
      </c>
      <c r="AK149" s="7">
        <v>1.6666666666666666E-2</v>
      </c>
      <c r="AL149" s="20" t="s">
        <v>44</v>
      </c>
      <c r="AM149" s="20" t="str">
        <f>+TEXT(Carro1[[#This Row],[Column1]],"hh:mm")&amp;" | " &amp;TEXT(Carro1[[#This Row],[Hora Fim]],"hh:mm")</f>
        <v>00:24 | 00:24</v>
      </c>
      <c r="AN149" s="20">
        <f>INDEX($E$3:$AA$3,MATCH(Carro1[[#This Row],[Nó]],$E$1:$AA$1,0))</f>
        <v>3</v>
      </c>
      <c r="AO149" s="7">
        <f>+IF(AND(Carro1[[#This Row],[Nó]]=AI148,Carro1[[#This Row],[Nó]]=AI150),AO148,Carro1[[#This Row],[Hora Início]])</f>
        <v>1.6666666666666666E-2</v>
      </c>
      <c r="AP149" s="20">
        <f t="shared" si="34"/>
        <v>1</v>
      </c>
      <c r="AQ149" s="20" cm="1">
        <f t="array" ref="AQ149">IFERROR(_xlfn.IFS(AP149=AP148,AQ148,AQ148="Ramo",1),AQ148+1)</f>
        <v>10</v>
      </c>
      <c r="AR149" s="20">
        <f t="shared" si="35"/>
        <v>0</v>
      </c>
      <c r="AS149" s="20" t="str">
        <f>IF(AND(Carro1[[#This Row],[Nó]]=AI150,Carro1[[#This Row],[Nó]]=AI151),"",AQ149&amp;"|"&amp;AN149)</f>
        <v>10|3</v>
      </c>
      <c r="AT149" s="20" t="str">
        <f>IF(Carro1[[#This Row],[Tipo]]&lt;&gt;"Deslocação",AQ149&amp;"|"&amp;AN149,"")</f>
        <v/>
      </c>
      <c r="AU149" s="20" t="str">
        <f>IF(Carro1[[#This Row],[Tipo]]="Início",AQ149&amp;"|"&amp;AN149,"")</f>
        <v/>
      </c>
    </row>
    <row r="150" spans="33:47" x14ac:dyDescent="0.25">
      <c r="AG150" s="20" t="s">
        <v>123</v>
      </c>
      <c r="AH150" s="20" t="s">
        <v>125</v>
      </c>
      <c r="AI150" s="20" t="s">
        <v>2</v>
      </c>
      <c r="AJ150" s="7">
        <v>2.013888888888889E-2</v>
      </c>
      <c r="AK150" s="7">
        <v>2.013888888888889E-2</v>
      </c>
      <c r="AL150" s="20" t="s">
        <v>44</v>
      </c>
      <c r="AM150" s="20" t="str">
        <f>+TEXT(Carro1[[#This Row],[Column1]],"hh:mm")&amp;" | " &amp;TEXT(Carro1[[#This Row],[Hora Fim]],"hh:mm")</f>
        <v>00:29 | 00:29</v>
      </c>
      <c r="AN150" s="20">
        <f>INDEX($E$3:$AA$3,MATCH(Carro1[[#This Row],[Nó]],$E$1:$AA$1,0))</f>
        <v>4</v>
      </c>
      <c r="AO150" s="7">
        <f>+IF(AND(Carro1[[#This Row],[Nó]]=AI149,Carro1[[#This Row],[Nó]]=AI151),AO149,Carro1[[#This Row],[Hora Início]])</f>
        <v>2.013888888888889E-2</v>
      </c>
      <c r="AP150" s="20">
        <f t="shared" si="34"/>
        <v>1</v>
      </c>
      <c r="AQ150" s="20" cm="1">
        <f t="array" ref="AQ150">IFERROR(_xlfn.IFS(AP150=AP149,AQ149,AQ149="Ramo",1),AQ149+1)</f>
        <v>10</v>
      </c>
      <c r="AR150" s="20">
        <f t="shared" si="35"/>
        <v>0</v>
      </c>
      <c r="AS150" s="20" t="str">
        <f>IF(AND(Carro1[[#This Row],[Nó]]=AI151,Carro1[[#This Row],[Nó]]=AI152),"",AQ150&amp;"|"&amp;AN150)</f>
        <v>10|4</v>
      </c>
      <c r="AT150" s="20" t="str">
        <f>IF(Carro1[[#This Row],[Tipo]]&lt;&gt;"Deslocação",AQ150&amp;"|"&amp;AN150,"")</f>
        <v/>
      </c>
      <c r="AU150" s="20" t="str">
        <f>IF(Carro1[[#This Row],[Tipo]]="Início",AQ150&amp;"|"&amp;AN150,"")</f>
        <v/>
      </c>
    </row>
    <row r="151" spans="33:47" x14ac:dyDescent="0.25">
      <c r="AG151" s="20" t="s">
        <v>123</v>
      </c>
      <c r="AH151" s="20" t="s">
        <v>125</v>
      </c>
      <c r="AI151" s="20" t="s">
        <v>2</v>
      </c>
      <c r="AJ151" s="7">
        <v>2.013888888888889E-2</v>
      </c>
      <c r="AK151" s="7">
        <v>2.9166666666666667E-2</v>
      </c>
      <c r="AL151" s="20" t="s">
        <v>43</v>
      </c>
      <c r="AM151" s="20" t="str">
        <f>+TEXT(Carro1[[#This Row],[Column1]],"hh:mm")&amp;" | " &amp;TEXT(Carro1[[#This Row],[Hora Fim]],"hh:mm")</f>
        <v>00:29 | 00:42</v>
      </c>
      <c r="AN151" s="20">
        <f>INDEX($E$3:$AA$3,MATCH(Carro1[[#This Row],[Nó]],$E$1:$AA$1,0))</f>
        <v>4</v>
      </c>
      <c r="AO151" s="7">
        <f>+IF(AND(Carro1[[#This Row],[Nó]]=AI150,Carro1[[#This Row],[Nó]]=AI152),AO150,Carro1[[#This Row],[Hora Início]])</f>
        <v>2.013888888888889E-2</v>
      </c>
      <c r="AP151" s="20">
        <f t="shared" si="34"/>
        <v>1</v>
      </c>
      <c r="AQ151" s="20" cm="1">
        <f t="array" ref="AQ151">IFERROR(_xlfn.IFS(AP151=AP150,AQ150,AQ150="Ramo",1),AQ150+1)</f>
        <v>10</v>
      </c>
      <c r="AR151" s="20">
        <f t="shared" si="35"/>
        <v>0</v>
      </c>
      <c r="AS151" s="20" t="str">
        <f>IF(AND(Carro1[[#This Row],[Nó]]=AI152,Carro1[[#This Row],[Nó]]=AI153),"",AQ151&amp;"|"&amp;AN151)</f>
        <v>10|4</v>
      </c>
      <c r="AT151" s="20" t="str">
        <f>IF(Carro1[[#This Row],[Tipo]]&lt;&gt;"Deslocação",AQ151&amp;"|"&amp;AN151,"")</f>
        <v>10|4</v>
      </c>
      <c r="AU151" s="20" t="str">
        <f>IF(Carro1[[#This Row],[Tipo]]="Início",AQ151&amp;"|"&amp;AN151,"")</f>
        <v/>
      </c>
    </row>
    <row r="152" spans="33:47" x14ac:dyDescent="0.25">
      <c r="AG152" s="20" t="s">
        <v>123</v>
      </c>
      <c r="AH152" s="20" t="s">
        <v>172</v>
      </c>
      <c r="AI152" s="20" t="s">
        <v>215</v>
      </c>
      <c r="AJ152" s="7">
        <v>3.125E-2</v>
      </c>
      <c r="AK152" s="7">
        <v>3.125E-2</v>
      </c>
      <c r="AL152" s="20" t="s">
        <v>44</v>
      </c>
      <c r="AM152" s="20" t="str">
        <f>+TEXT(Carro1[[#This Row],[Column1]],"hh:mm")&amp;" | " &amp;TEXT(Carro1[[#This Row],[Hora Fim]],"hh:mm")</f>
        <v>00:45 | 00:45</v>
      </c>
      <c r="AN152" s="20">
        <f>INDEX($E$3:$AA$3,MATCH(Carro1[[#This Row],[Nó]],$E$1:$AA$1,0))</f>
        <v>5</v>
      </c>
      <c r="AO152" s="7">
        <f>+IF(AND(Carro1[[#This Row],[Nó]]=AI151,Carro1[[#This Row],[Nó]]=AI153),AO151,Carro1[[#This Row],[Hora Início]])</f>
        <v>3.125E-2</v>
      </c>
      <c r="AP152" s="20">
        <f t="shared" si="34"/>
        <v>1</v>
      </c>
      <c r="AQ152" s="20" cm="1">
        <f t="array" ref="AQ152">IFERROR(_xlfn.IFS(AP152=AP151,AQ151,AQ151="Ramo",1),AQ151+1)</f>
        <v>10</v>
      </c>
      <c r="AR152" s="20">
        <f t="shared" si="35"/>
        <v>0</v>
      </c>
      <c r="AS152" s="20" t="str">
        <f>IF(AND(Carro1[[#This Row],[Nó]]=AI153,Carro1[[#This Row],[Nó]]=AI154),"",AQ152&amp;"|"&amp;AN152)</f>
        <v>10|5</v>
      </c>
      <c r="AT152" s="20" t="str">
        <f>IF(Carro1[[#This Row],[Tipo]]&lt;&gt;"Deslocação",AQ152&amp;"|"&amp;AN152,"")</f>
        <v/>
      </c>
      <c r="AU152" s="20" t="str">
        <f>IF(Carro1[[#This Row],[Tipo]]="Início",AQ152&amp;"|"&amp;AN152,"")</f>
        <v/>
      </c>
    </row>
    <row r="153" spans="33:47" x14ac:dyDescent="0.25">
      <c r="AG153" s="20" t="s">
        <v>123</v>
      </c>
      <c r="AH153" s="20" t="s">
        <v>173</v>
      </c>
      <c r="AI153" s="20" t="s">
        <v>300</v>
      </c>
      <c r="AJ153" s="7">
        <v>3.4027777777777775E-2</v>
      </c>
      <c r="AK153" s="7">
        <v>3.4027777777777775E-2</v>
      </c>
      <c r="AL153" s="20" t="s">
        <v>44</v>
      </c>
      <c r="AM153" s="20" t="str">
        <f>+TEXT(Carro1[[#This Row],[Column1]],"hh:mm")&amp;" | " &amp;TEXT(Carro1[[#This Row],[Hora Fim]],"hh:mm")</f>
        <v>00:49 | 00:49</v>
      </c>
      <c r="AN153" s="20">
        <f>INDEX($E$3:$AA$3,MATCH(Carro1[[#This Row],[Nó]],$E$1:$AA$1,0))</f>
        <v>6</v>
      </c>
      <c r="AO153" s="7">
        <f>+IF(AND(Carro1[[#This Row],[Nó]]=AI152,Carro1[[#This Row],[Nó]]=AI154),AO152,Carro1[[#This Row],[Hora Início]])</f>
        <v>3.4027777777777775E-2</v>
      </c>
      <c r="AP153" s="20">
        <f t="shared" si="34"/>
        <v>1</v>
      </c>
      <c r="AQ153" s="20" cm="1">
        <f t="array" ref="AQ153">IFERROR(_xlfn.IFS(AP153=AP152,AQ152,AQ152="Ramo",1),AQ152+1)</f>
        <v>10</v>
      </c>
      <c r="AR153" s="20">
        <f t="shared" si="35"/>
        <v>0</v>
      </c>
      <c r="AS153" s="20" t="str">
        <f>IF(AND(Carro1[[#This Row],[Nó]]=AI154,Carro1[[#This Row],[Nó]]=AI155),"",AQ153&amp;"|"&amp;AN153)</f>
        <v>10|6</v>
      </c>
      <c r="AT153" s="20" t="str">
        <f>IF(Carro1[[#This Row],[Tipo]]&lt;&gt;"Deslocação",AQ153&amp;"|"&amp;AN153,"")</f>
        <v/>
      </c>
      <c r="AU153" s="20" t="str">
        <f>IF(Carro1[[#This Row],[Tipo]]="Início",AQ153&amp;"|"&amp;AN153,"")</f>
        <v/>
      </c>
    </row>
    <row r="154" spans="33:47" x14ac:dyDescent="0.25">
      <c r="AG154" s="20" t="s">
        <v>123</v>
      </c>
      <c r="AH154" s="20" t="s">
        <v>174</v>
      </c>
      <c r="AI154" s="20" t="s">
        <v>301</v>
      </c>
      <c r="AJ154" s="7">
        <v>3.6111111111111108E-2</v>
      </c>
      <c r="AK154" s="7">
        <v>3.6111111111111108E-2</v>
      </c>
      <c r="AL154" s="20" t="s">
        <v>44</v>
      </c>
      <c r="AM154" s="20" t="str">
        <f>+TEXT(Carro1[[#This Row],[Column1]],"hh:mm")&amp;" | " &amp;TEXT(Carro1[[#This Row],[Hora Fim]],"hh:mm")</f>
        <v>00:52 | 00:52</v>
      </c>
      <c r="AN154" s="20">
        <f>INDEX($E$3:$AA$3,MATCH(Carro1[[#This Row],[Nó]],$E$1:$AA$1,0))</f>
        <v>7</v>
      </c>
      <c r="AO154" s="7">
        <f>+IF(AND(Carro1[[#This Row],[Nó]]=AI153,Carro1[[#This Row],[Nó]]=AI155),AO153,Carro1[[#This Row],[Hora Início]])</f>
        <v>3.6111111111111108E-2</v>
      </c>
      <c r="AP154" s="20">
        <f t="shared" si="34"/>
        <v>1</v>
      </c>
      <c r="AQ154" s="20" cm="1">
        <f t="array" ref="AQ154">IFERROR(_xlfn.IFS(AP154=AP153,AQ153,AQ153="Ramo",1),AQ153+1)</f>
        <v>10</v>
      </c>
      <c r="AR154" s="20">
        <f t="shared" si="35"/>
        <v>0</v>
      </c>
      <c r="AS154" s="20" t="str">
        <f>IF(AND(Carro1[[#This Row],[Nó]]=AI155,Carro1[[#This Row],[Nó]]=AI156),"",AQ154&amp;"|"&amp;AN154)</f>
        <v>10|7</v>
      </c>
      <c r="AT154" s="20" t="str">
        <f>IF(Carro1[[#This Row],[Tipo]]&lt;&gt;"Deslocação",AQ154&amp;"|"&amp;AN154,"")</f>
        <v/>
      </c>
      <c r="AU154" s="20" t="str">
        <f>IF(Carro1[[#This Row],[Tipo]]="Início",AQ154&amp;"|"&amp;AN154,"")</f>
        <v/>
      </c>
    </row>
    <row r="155" spans="33:47" x14ac:dyDescent="0.25">
      <c r="AG155" s="20" t="s">
        <v>123</v>
      </c>
      <c r="AH155" s="20" t="s">
        <v>240</v>
      </c>
      <c r="AI155" s="20" t="s">
        <v>302</v>
      </c>
      <c r="AJ155" s="7">
        <v>4.027777777777778E-2</v>
      </c>
      <c r="AK155" s="7">
        <v>4.027777777777778E-2</v>
      </c>
      <c r="AL155" s="20" t="s">
        <v>44</v>
      </c>
      <c r="AM155" s="20" t="str">
        <f>+TEXT(Carro1[[#This Row],[Column1]],"hh:mm")&amp;" | " &amp;TEXT(Carro1[[#This Row],[Hora Fim]],"hh:mm")</f>
        <v>00:58 | 00:58</v>
      </c>
      <c r="AN155" s="20">
        <f>INDEX($E$3:$AA$3,MATCH(Carro1[[#This Row],[Nó]],$E$1:$AA$1,0))</f>
        <v>8</v>
      </c>
      <c r="AO155" s="7">
        <f>+IF(AND(Carro1[[#This Row],[Nó]]=AI154,Carro1[[#This Row],[Nó]]=AI156),AO154,Carro1[[#This Row],[Hora Início]])</f>
        <v>4.027777777777778E-2</v>
      </c>
      <c r="AP155" s="20">
        <f t="shared" si="34"/>
        <v>1</v>
      </c>
      <c r="AQ155" s="20" cm="1">
        <f t="array" ref="AQ155">IFERROR(_xlfn.IFS(AP155=AP154,AQ154,AQ154="Ramo",1),AQ154+1)</f>
        <v>10</v>
      </c>
      <c r="AR155" s="20">
        <f t="shared" si="35"/>
        <v>0</v>
      </c>
      <c r="AS155" s="20" t="str">
        <f>IF(AND(Carro1[[#This Row],[Nó]]=AI156,Carro1[[#This Row],[Nó]]=AI157),"",AQ155&amp;"|"&amp;AN155)</f>
        <v>10|8</v>
      </c>
      <c r="AT155" s="20" t="str">
        <f>IF(Carro1[[#This Row],[Tipo]]&lt;&gt;"Deslocação",AQ155&amp;"|"&amp;AN155,"")</f>
        <v/>
      </c>
      <c r="AU155" s="20" t="str">
        <f>IF(Carro1[[#This Row],[Tipo]]="Início",AQ155&amp;"|"&amp;AN155,"")</f>
        <v/>
      </c>
    </row>
    <row r="156" spans="33:47" x14ac:dyDescent="0.25">
      <c r="AG156" s="20" t="s">
        <v>123</v>
      </c>
      <c r="AH156" s="20" t="s">
        <v>240</v>
      </c>
      <c r="AI156" s="20" t="s">
        <v>302</v>
      </c>
      <c r="AJ156" s="7">
        <v>4.027777777777778E-2</v>
      </c>
      <c r="AK156" s="7">
        <v>4.7222222222222221E-2</v>
      </c>
      <c r="AL156" s="20" t="s">
        <v>43</v>
      </c>
      <c r="AM156" s="20" t="str">
        <f>+TEXT(Carro1[[#This Row],[Column1]],"hh:mm")&amp;" | " &amp;TEXT(Carro1[[#This Row],[Hora Fim]],"hh:mm")</f>
        <v>00:58 | 01:08</v>
      </c>
      <c r="AN156" s="20">
        <f>INDEX($E$3:$AA$3,MATCH(Carro1[[#This Row],[Nó]],$E$1:$AA$1,0))</f>
        <v>8</v>
      </c>
      <c r="AO156" s="7">
        <f>+IF(AND(Carro1[[#This Row],[Nó]]=AI155,Carro1[[#This Row],[Nó]]=AI157),AO155,Carro1[[#This Row],[Hora Início]])</f>
        <v>4.027777777777778E-2</v>
      </c>
      <c r="AP156" s="20">
        <f t="shared" si="34"/>
        <v>1</v>
      </c>
      <c r="AQ156" s="20" cm="1">
        <f t="array" ref="AQ156">IFERROR(_xlfn.IFS(AP156=AP155,AQ155,AQ155="Ramo",1),AQ155+1)</f>
        <v>10</v>
      </c>
      <c r="AR156" s="20">
        <f t="shared" si="35"/>
        <v>0</v>
      </c>
      <c r="AS156" s="20" t="str">
        <f>IF(AND(Carro1[[#This Row],[Nó]]=AI157,Carro1[[#This Row],[Nó]]=AI158),"",AQ156&amp;"|"&amp;AN156)</f>
        <v>10|8</v>
      </c>
      <c r="AT156" s="20" t="str">
        <f>IF(Carro1[[#This Row],[Tipo]]&lt;&gt;"Deslocação",AQ156&amp;"|"&amp;AN156,"")</f>
        <v>10|8</v>
      </c>
      <c r="AU156" s="20" t="str">
        <f>IF(Carro1[[#This Row],[Tipo]]="Início",AQ156&amp;"|"&amp;AN156,"")</f>
        <v/>
      </c>
    </row>
    <row r="157" spans="33:47" x14ac:dyDescent="0.25">
      <c r="AG157" s="20" t="s">
        <v>123</v>
      </c>
      <c r="AH157" s="20" t="s">
        <v>256</v>
      </c>
      <c r="AI157" s="20" t="s">
        <v>303</v>
      </c>
      <c r="AJ157" s="7">
        <v>5.1388888888888887E-2</v>
      </c>
      <c r="AK157" s="7">
        <v>5.1388888888888887E-2</v>
      </c>
      <c r="AL157" s="20" t="s">
        <v>44</v>
      </c>
      <c r="AM157" s="20" t="str">
        <f>+TEXT(Carro1[[#This Row],[Column1]],"hh:mm")&amp;" | " &amp;TEXT(Carro1[[#This Row],[Hora Fim]],"hh:mm")</f>
        <v>01:14 | 01:14</v>
      </c>
      <c r="AN157" s="20">
        <f>INDEX($E$3:$AA$3,MATCH(Carro1[[#This Row],[Nó]],$E$1:$AA$1,0))</f>
        <v>9</v>
      </c>
      <c r="AO157" s="7">
        <f>+IF(AND(Carro1[[#This Row],[Nó]]=AI156,Carro1[[#This Row],[Nó]]=AI158),AO156,Carro1[[#This Row],[Hora Início]])</f>
        <v>5.1388888888888887E-2</v>
      </c>
      <c r="AP157" s="20">
        <f t="shared" si="34"/>
        <v>1</v>
      </c>
      <c r="AQ157" s="20" cm="1">
        <f t="array" ref="AQ157">IFERROR(_xlfn.IFS(AP157=AP156,AQ156,AQ156="Ramo",1),AQ156+1)</f>
        <v>10</v>
      </c>
      <c r="AR157" s="20">
        <f t="shared" si="35"/>
        <v>0</v>
      </c>
      <c r="AS157" s="20" t="str">
        <f>IF(AND(Carro1[[#This Row],[Nó]]=AI158,Carro1[[#This Row],[Nó]]=AI159),"",AQ157&amp;"|"&amp;AN157)</f>
        <v>10|9</v>
      </c>
      <c r="AT157" s="20" t="str">
        <f>IF(Carro1[[#This Row],[Tipo]]&lt;&gt;"Deslocação",AQ157&amp;"|"&amp;AN157,"")</f>
        <v/>
      </c>
      <c r="AU157" s="20" t="str">
        <f>IF(Carro1[[#This Row],[Tipo]]="Início",AQ157&amp;"|"&amp;AN157,"")</f>
        <v/>
      </c>
    </row>
    <row r="158" spans="33:47" x14ac:dyDescent="0.25">
      <c r="AG158" s="20" t="s">
        <v>123</v>
      </c>
      <c r="AH158" s="20" t="s">
        <v>256</v>
      </c>
      <c r="AI158" s="20" t="s">
        <v>303</v>
      </c>
      <c r="AJ158" s="7">
        <v>5.1388888888888887E-2</v>
      </c>
      <c r="AK158" s="7">
        <v>5.1388888888888887E-2</v>
      </c>
      <c r="AL158" s="20" t="s">
        <v>44</v>
      </c>
      <c r="AM158" s="20" t="str">
        <f>+TEXT(Carro1[[#This Row],[Column1]],"hh:mm")&amp;" | " &amp;TEXT(Carro1[[#This Row],[Hora Fim]],"hh:mm")</f>
        <v>01:14 | 01:14</v>
      </c>
      <c r="AN158" s="20">
        <f>INDEX($E$3:$AA$3,MATCH(Carro1[[#This Row],[Nó]],$E$1:$AA$1,0))</f>
        <v>9</v>
      </c>
      <c r="AO158" s="7">
        <f>+IF(AND(Carro1[[#This Row],[Nó]]=AI157,Carro1[[#This Row],[Nó]]=AI159),AO157,Carro1[[#This Row],[Hora Início]])</f>
        <v>5.1388888888888887E-2</v>
      </c>
      <c r="AP158" s="20">
        <f t="shared" si="34"/>
        <v>2</v>
      </c>
      <c r="AQ158" s="20" cm="1">
        <f t="array" ref="AQ158">IFERROR(_xlfn.IFS(AP158=AP157,AQ157,AQ157="Ramo",1),AQ157+1)</f>
        <v>11</v>
      </c>
      <c r="AR158" s="20">
        <f t="shared" si="35"/>
        <v>1</v>
      </c>
      <c r="AS158" s="20" t="str">
        <f>IF(AND(Carro1[[#This Row],[Nó]]=AI159,Carro1[[#This Row],[Nó]]=AI160),"",AQ158&amp;"|"&amp;AN158)</f>
        <v>11|9</v>
      </c>
      <c r="AT158" s="20" t="str">
        <f>IF(Carro1[[#This Row],[Tipo]]&lt;&gt;"Deslocação",AQ158&amp;"|"&amp;AN158,"")</f>
        <v/>
      </c>
      <c r="AU158" s="20" t="str">
        <f>IF(Carro1[[#This Row],[Tipo]]="Início",AQ158&amp;"|"&amp;AN158,"")</f>
        <v/>
      </c>
    </row>
    <row r="159" spans="33:47" x14ac:dyDescent="0.25">
      <c r="AG159" s="20" t="s">
        <v>123</v>
      </c>
      <c r="AH159" s="20" t="s">
        <v>240</v>
      </c>
      <c r="AI159" s="20" t="s">
        <v>302</v>
      </c>
      <c r="AJ159" s="7">
        <v>5.5555555555555552E-2</v>
      </c>
      <c r="AK159" s="7">
        <v>5.5555555555555552E-2</v>
      </c>
      <c r="AL159" s="20" t="s">
        <v>44</v>
      </c>
      <c r="AM159" s="20" t="str">
        <f>+TEXT(Carro1[[#This Row],[Column1]],"hh:mm")&amp;" | " &amp;TEXT(Carro1[[#This Row],[Hora Fim]],"hh:mm")</f>
        <v>01:20 | 01:20</v>
      </c>
      <c r="AN159" s="20">
        <f>INDEX($E$3:$AA$3,MATCH(Carro1[[#This Row],[Nó]],$E$1:$AA$1,0))</f>
        <v>8</v>
      </c>
      <c r="AO159" s="7">
        <f>+IF(AND(Carro1[[#This Row],[Nó]]=AI158,Carro1[[#This Row],[Nó]]=AI160),AO158,Carro1[[#This Row],[Hora Início]])</f>
        <v>5.5555555555555552E-2</v>
      </c>
      <c r="AP159" s="20">
        <f t="shared" si="34"/>
        <v>2</v>
      </c>
      <c r="AQ159" s="20" cm="1">
        <f t="array" ref="AQ159">IFERROR(_xlfn.IFS(AP159=AP158,AQ158,AQ158="Ramo",1),AQ158+1)</f>
        <v>11</v>
      </c>
      <c r="AR159" s="20">
        <f t="shared" si="35"/>
        <v>0</v>
      </c>
      <c r="AS159" s="20" t="str">
        <f>IF(AND(Carro1[[#This Row],[Nó]]=AI160,Carro1[[#This Row],[Nó]]=AI161),"",AQ159&amp;"|"&amp;AN159)</f>
        <v/>
      </c>
      <c r="AT159" s="20" t="str">
        <f>IF(Carro1[[#This Row],[Tipo]]&lt;&gt;"Deslocação",AQ159&amp;"|"&amp;AN159,"")</f>
        <v/>
      </c>
      <c r="AU159" s="20" t="str">
        <f>IF(Carro1[[#This Row],[Tipo]]="Início",AQ159&amp;"|"&amp;AN159,"")</f>
        <v/>
      </c>
    </row>
    <row r="160" spans="33:47" x14ac:dyDescent="0.25">
      <c r="AG160" s="20" t="s">
        <v>123</v>
      </c>
      <c r="AH160" s="20" t="s">
        <v>240</v>
      </c>
      <c r="AI160" s="20" t="s">
        <v>302</v>
      </c>
      <c r="AJ160" s="7">
        <v>5.5555555555555552E-2</v>
      </c>
      <c r="AK160" s="7">
        <v>9.7222222222222224E-2</v>
      </c>
      <c r="AL160" s="20" t="s">
        <v>47</v>
      </c>
      <c r="AM160" s="20" t="str">
        <f>+TEXT(Carro1[[#This Row],[Column1]],"hh:mm")&amp;" | " &amp;TEXT(Carro1[[#This Row],[Hora Fim]],"hh:mm")</f>
        <v>01:20 | 02:20</v>
      </c>
      <c r="AN160" s="20">
        <f>INDEX($E$3:$AA$3,MATCH(Carro1[[#This Row],[Nó]],$E$1:$AA$1,0))</f>
        <v>8</v>
      </c>
      <c r="AO160" s="7">
        <f>+IF(AND(Carro1[[#This Row],[Nó]]=AI159,Carro1[[#This Row],[Nó]]=AI161),AO159,Carro1[[#This Row],[Hora Início]])</f>
        <v>5.5555555555555552E-2</v>
      </c>
      <c r="AP160" s="20">
        <f t="shared" si="34"/>
        <v>2</v>
      </c>
      <c r="AQ160" s="20" cm="1">
        <f t="array" ref="AQ160">IFERROR(_xlfn.IFS(AP160=AP159,AQ159,AQ159="Ramo",1),AQ159+1)</f>
        <v>11</v>
      </c>
      <c r="AR160" s="20">
        <f t="shared" si="35"/>
        <v>0</v>
      </c>
      <c r="AS160" s="20" t="str">
        <f>IF(AND(Carro1[[#This Row],[Nó]]=AI161,Carro1[[#This Row],[Nó]]=AI162),"",AQ160&amp;"|"&amp;AN160)</f>
        <v>11|8</v>
      </c>
      <c r="AT160" s="20" t="str">
        <f>IF(Carro1[[#This Row],[Tipo]]&lt;&gt;"Deslocação",AQ160&amp;"|"&amp;AN160,"")</f>
        <v>11|8</v>
      </c>
      <c r="AU160" s="20" t="str">
        <f>IF(Carro1[[#This Row],[Tipo]]="Início",AQ160&amp;"|"&amp;AN160,"")</f>
        <v/>
      </c>
    </row>
    <row r="161" spans="33:47" x14ac:dyDescent="0.25">
      <c r="AG161" s="20" t="s">
        <v>123</v>
      </c>
      <c r="AH161" s="20" t="s">
        <v>240</v>
      </c>
      <c r="AI161" s="20" t="s">
        <v>302</v>
      </c>
      <c r="AJ161" s="7">
        <v>9.7222222222222224E-2</v>
      </c>
      <c r="AK161" s="7">
        <v>0.10416666666666667</v>
      </c>
      <c r="AL161" s="20" t="s">
        <v>43</v>
      </c>
      <c r="AM161" s="20" t="str">
        <f>+TEXT(Carro1[[#This Row],[Column1]],"hh:mm")&amp;" | " &amp;TEXT(Carro1[[#This Row],[Hora Fim]],"hh:mm")</f>
        <v>02:20 | 02:30</v>
      </c>
      <c r="AN161" s="20">
        <f>INDEX($E$3:$AA$3,MATCH(Carro1[[#This Row],[Nó]],$E$1:$AA$1,0))</f>
        <v>8</v>
      </c>
      <c r="AO161" s="7">
        <f>+IF(AND(Carro1[[#This Row],[Nó]]=AI160,Carro1[[#This Row],[Nó]]=AI162),AO160,Carro1[[#This Row],[Hora Início]])</f>
        <v>9.7222222222222224E-2</v>
      </c>
      <c r="AP161" s="20">
        <f t="shared" si="34"/>
        <v>2</v>
      </c>
      <c r="AQ161" s="20" cm="1">
        <f t="array" ref="AQ161">IFERROR(_xlfn.IFS(AP161=AP160,AQ160,AQ160="Ramo",1),AQ160+1)</f>
        <v>11</v>
      </c>
      <c r="AR161" s="20">
        <f t="shared" si="35"/>
        <v>0</v>
      </c>
      <c r="AS161" s="20" t="str">
        <f>IF(AND(Carro1[[#This Row],[Nó]]=AI162,Carro1[[#This Row],[Nó]]=AI163),"",AQ161&amp;"|"&amp;AN161)</f>
        <v>11|8</v>
      </c>
      <c r="AT161" s="20" t="str">
        <f>IF(Carro1[[#This Row],[Tipo]]&lt;&gt;"Deslocação",AQ161&amp;"|"&amp;AN161,"")</f>
        <v>11|8</v>
      </c>
      <c r="AU161" s="20" t="str">
        <f>IF(Carro1[[#This Row],[Tipo]]="Início",AQ161&amp;"|"&amp;AN161,"")</f>
        <v/>
      </c>
    </row>
    <row r="162" spans="33:47" x14ac:dyDescent="0.25">
      <c r="AG162" s="20" t="s">
        <v>123</v>
      </c>
      <c r="AH162" s="20" t="s">
        <v>174</v>
      </c>
      <c r="AI162" s="20" t="s">
        <v>301</v>
      </c>
      <c r="AJ162" s="7">
        <v>0.10833333333333334</v>
      </c>
      <c r="AK162" s="7">
        <v>0.10833333333333334</v>
      </c>
      <c r="AL162" s="20" t="s">
        <v>44</v>
      </c>
      <c r="AM162" s="20" t="str">
        <f>+TEXT(Carro1[[#This Row],[Column1]],"hh:mm")&amp;" | " &amp;TEXT(Carro1[[#This Row],[Hora Fim]],"hh:mm")</f>
        <v>02:36 | 02:36</v>
      </c>
      <c r="AN162" s="20">
        <f>INDEX($E$3:$AA$3,MATCH(Carro1[[#This Row],[Nó]],$E$1:$AA$1,0))</f>
        <v>7</v>
      </c>
      <c r="AO162" s="7">
        <f>+IF(AND(Carro1[[#This Row],[Nó]]=AI161,Carro1[[#This Row],[Nó]]=AI163),AO161,Carro1[[#This Row],[Hora Início]])</f>
        <v>0.10833333333333334</v>
      </c>
      <c r="AP162" s="20">
        <f t="shared" si="34"/>
        <v>2</v>
      </c>
      <c r="AQ162" s="20" cm="1">
        <f t="array" ref="AQ162">IFERROR(_xlfn.IFS(AP162=AP161,AQ161,AQ161="Ramo",1),AQ161+1)</f>
        <v>11</v>
      </c>
      <c r="AR162" s="20">
        <f t="shared" si="35"/>
        <v>0</v>
      </c>
      <c r="AS162" s="20" t="str">
        <f>IF(AND(Carro1[[#This Row],[Nó]]=AI163,Carro1[[#This Row],[Nó]]=AI164),"",AQ162&amp;"|"&amp;AN162)</f>
        <v>11|7</v>
      </c>
      <c r="AT162" s="20" t="str">
        <f>IF(Carro1[[#This Row],[Tipo]]&lt;&gt;"Deslocação",AQ162&amp;"|"&amp;AN162,"")</f>
        <v/>
      </c>
      <c r="AU162" s="20" t="str">
        <f>IF(Carro1[[#This Row],[Tipo]]="Início",AQ162&amp;"|"&amp;AN162,"")</f>
        <v/>
      </c>
    </row>
    <row r="163" spans="33:47" x14ac:dyDescent="0.25">
      <c r="AG163" s="20" t="s">
        <v>123</v>
      </c>
      <c r="AH163" s="20" t="s">
        <v>174</v>
      </c>
      <c r="AI163" s="20" t="s">
        <v>301</v>
      </c>
      <c r="AJ163" s="7">
        <v>0.10833333333333334</v>
      </c>
      <c r="AK163" s="7">
        <v>0.11527777777777778</v>
      </c>
      <c r="AL163" s="20" t="s">
        <v>43</v>
      </c>
      <c r="AM163" s="20" t="str">
        <f>+TEXT(Carro1[[#This Row],[Column1]],"hh:mm")&amp;" | " &amp;TEXT(Carro1[[#This Row],[Hora Fim]],"hh:mm")</f>
        <v>02:36 | 02:46</v>
      </c>
      <c r="AN163" s="20">
        <f>INDEX($E$3:$AA$3,MATCH(Carro1[[#This Row],[Nó]],$E$1:$AA$1,0))</f>
        <v>7</v>
      </c>
      <c r="AO163" s="7">
        <f>+IF(AND(Carro1[[#This Row],[Nó]]=AI162,Carro1[[#This Row],[Nó]]=AI164),AO162,Carro1[[#This Row],[Hora Início]])</f>
        <v>0.10833333333333334</v>
      </c>
      <c r="AP163" s="20">
        <f t="shared" si="34"/>
        <v>2</v>
      </c>
      <c r="AQ163" s="20" cm="1">
        <f t="array" ref="AQ163">IFERROR(_xlfn.IFS(AP163=AP162,AQ162,AQ162="Ramo",1),AQ162+1)</f>
        <v>11</v>
      </c>
      <c r="AR163" s="20">
        <f t="shared" si="35"/>
        <v>0</v>
      </c>
      <c r="AS163" s="20" t="str">
        <f>IF(AND(Carro1[[#This Row],[Nó]]=AI164,Carro1[[#This Row],[Nó]]=AI165),"",AQ163&amp;"|"&amp;AN163)</f>
        <v>11|7</v>
      </c>
      <c r="AT163" s="20" t="str">
        <f>IF(Carro1[[#This Row],[Tipo]]&lt;&gt;"Deslocação",AQ163&amp;"|"&amp;AN163,"")</f>
        <v>11|7</v>
      </c>
      <c r="AU163" s="20" t="str">
        <f>IF(Carro1[[#This Row],[Tipo]]="Início",AQ163&amp;"|"&amp;AN163,"")</f>
        <v/>
      </c>
    </row>
    <row r="164" spans="33:47" x14ac:dyDescent="0.25">
      <c r="AG164" s="20" t="s">
        <v>123</v>
      </c>
      <c r="AH164" s="20" t="s">
        <v>173</v>
      </c>
      <c r="AI164" s="20" t="s">
        <v>300</v>
      </c>
      <c r="AJ164" s="7">
        <v>0.11736111111111111</v>
      </c>
      <c r="AK164" s="7">
        <v>0.11736111111111111</v>
      </c>
      <c r="AL164" s="20" t="s">
        <v>44</v>
      </c>
      <c r="AM164" s="20" t="str">
        <f>+TEXT(Carro1[[#This Row],[Column1]],"hh:mm")&amp;" | " &amp;TEXT(Carro1[[#This Row],[Hora Fim]],"hh:mm")</f>
        <v>02:49 | 02:49</v>
      </c>
      <c r="AN164" s="20">
        <f>INDEX($E$3:$AA$3,MATCH(Carro1[[#This Row],[Nó]],$E$1:$AA$1,0))</f>
        <v>6</v>
      </c>
      <c r="AO164" s="7">
        <f>+IF(AND(Carro1[[#This Row],[Nó]]=AI163,Carro1[[#This Row],[Nó]]=AI165),AO163,Carro1[[#This Row],[Hora Início]])</f>
        <v>0.11736111111111111</v>
      </c>
      <c r="AP164" s="20">
        <f t="shared" si="34"/>
        <v>2</v>
      </c>
      <c r="AQ164" s="20" cm="1">
        <f t="array" ref="AQ164">IFERROR(_xlfn.IFS(AP164=AP163,AQ163,AQ163="Ramo",1),AQ163+1)</f>
        <v>11</v>
      </c>
      <c r="AR164" s="20">
        <f t="shared" si="35"/>
        <v>0</v>
      </c>
      <c r="AS164" s="20" t="str">
        <f>IF(AND(Carro1[[#This Row],[Nó]]=AI165,Carro1[[#This Row],[Nó]]=AI166),"",AQ164&amp;"|"&amp;AN164)</f>
        <v>11|6</v>
      </c>
      <c r="AT164" s="20" t="str">
        <f>IF(Carro1[[#This Row],[Tipo]]&lt;&gt;"Deslocação",AQ164&amp;"|"&amp;AN164,"")</f>
        <v/>
      </c>
      <c r="AU164" s="20" t="str">
        <f>IF(Carro1[[#This Row],[Tipo]]="Início",AQ164&amp;"|"&amp;AN164,"")</f>
        <v/>
      </c>
    </row>
    <row r="165" spans="33:47" x14ac:dyDescent="0.25">
      <c r="AG165" s="20" t="s">
        <v>123</v>
      </c>
      <c r="AH165" s="20" t="s">
        <v>172</v>
      </c>
      <c r="AI165" s="20" t="s">
        <v>215</v>
      </c>
      <c r="AJ165" s="7">
        <v>0.12013888888888889</v>
      </c>
      <c r="AK165" s="7">
        <v>0.12013888888888889</v>
      </c>
      <c r="AL165" s="20" t="s">
        <v>44</v>
      </c>
      <c r="AM165" s="20" t="str">
        <f>+TEXT(Carro1[[#This Row],[Column1]],"hh:mm")&amp;" | " &amp;TEXT(Carro1[[#This Row],[Hora Fim]],"hh:mm")</f>
        <v>02:53 | 02:53</v>
      </c>
      <c r="AN165" s="20">
        <f>INDEX($E$3:$AA$3,MATCH(Carro1[[#This Row],[Nó]],$E$1:$AA$1,0))</f>
        <v>5</v>
      </c>
      <c r="AO165" s="7">
        <f>+IF(AND(Carro1[[#This Row],[Nó]]=AI164,Carro1[[#This Row],[Nó]]=AI166),AO164,Carro1[[#This Row],[Hora Início]])</f>
        <v>0.12013888888888889</v>
      </c>
      <c r="AP165" s="20">
        <f t="shared" si="34"/>
        <v>2</v>
      </c>
      <c r="AQ165" s="20" cm="1">
        <f t="array" ref="AQ165">IFERROR(_xlfn.IFS(AP165=AP164,AQ164,AQ164="Ramo",1),AQ164+1)</f>
        <v>11</v>
      </c>
      <c r="AR165" s="20">
        <f t="shared" si="35"/>
        <v>0</v>
      </c>
      <c r="AS165" s="20" t="str">
        <f>IF(AND(Carro1[[#This Row],[Nó]]=AI166,Carro1[[#This Row],[Nó]]=AI167),"",AQ165&amp;"|"&amp;AN165)</f>
        <v>11|5</v>
      </c>
      <c r="AT165" s="20" t="str">
        <f>IF(Carro1[[#This Row],[Tipo]]&lt;&gt;"Deslocação",AQ165&amp;"|"&amp;AN165,"")</f>
        <v/>
      </c>
      <c r="AU165" s="20" t="str">
        <f>IF(Carro1[[#This Row],[Tipo]]="Início",AQ165&amp;"|"&amp;AN165,"")</f>
        <v/>
      </c>
    </row>
    <row r="166" spans="33:47" x14ac:dyDescent="0.25">
      <c r="AG166" s="20" t="s">
        <v>123</v>
      </c>
      <c r="AH166" s="20" t="s">
        <v>125</v>
      </c>
      <c r="AI166" s="20" t="s">
        <v>2</v>
      </c>
      <c r="AJ166" s="7">
        <v>0.12222222222222222</v>
      </c>
      <c r="AK166" s="7">
        <v>0.12222222222222222</v>
      </c>
      <c r="AL166" s="20" t="s">
        <v>44</v>
      </c>
      <c r="AM166" s="20" t="str">
        <f>+TEXT(Carro1[[#This Row],[Column1]],"hh:mm")&amp;" | " &amp;TEXT(Carro1[[#This Row],[Hora Fim]],"hh:mm")</f>
        <v>02:56 | 02:56</v>
      </c>
      <c r="AN166" s="20">
        <f>INDEX($E$3:$AA$3,MATCH(Carro1[[#This Row],[Nó]],$E$1:$AA$1,0))</f>
        <v>4</v>
      </c>
      <c r="AO166" s="7">
        <f>+IF(AND(Carro1[[#This Row],[Nó]]=AI165,Carro1[[#This Row],[Nó]]=AI167),AO165,Carro1[[#This Row],[Hora Início]])</f>
        <v>0.12222222222222222</v>
      </c>
      <c r="AP166" s="20">
        <f t="shared" si="34"/>
        <v>2</v>
      </c>
      <c r="AQ166" s="20" cm="1">
        <f t="array" ref="AQ166">IFERROR(_xlfn.IFS(AP166=AP165,AQ165,AQ165="Ramo",1),AQ165+1)</f>
        <v>11</v>
      </c>
      <c r="AR166" s="20">
        <f t="shared" si="35"/>
        <v>0</v>
      </c>
      <c r="AS166" s="20" t="str">
        <f>IF(AND(Carro1[[#This Row],[Nó]]=AI167,Carro1[[#This Row],[Nó]]=AI168),"",AQ166&amp;"|"&amp;AN166)</f>
        <v>11|4</v>
      </c>
      <c r="AT166" s="20" t="str">
        <f>IF(Carro1[[#This Row],[Tipo]]&lt;&gt;"Deslocação",AQ166&amp;"|"&amp;AN166,"")</f>
        <v/>
      </c>
      <c r="AU166" s="20" t="str">
        <f>IF(Carro1[[#This Row],[Tipo]]="Início",AQ166&amp;"|"&amp;AN166,"")</f>
        <v/>
      </c>
    </row>
    <row r="167" spans="33:47" x14ac:dyDescent="0.25">
      <c r="AG167" s="20" t="s">
        <v>123</v>
      </c>
      <c r="AH167" s="20" t="s">
        <v>125</v>
      </c>
      <c r="AI167" s="20" t="s">
        <v>2</v>
      </c>
      <c r="AJ167" s="7">
        <v>0.12222222222222222</v>
      </c>
      <c r="AK167" s="7">
        <v>0.13125000000000001</v>
      </c>
      <c r="AL167" s="20" t="s">
        <v>43</v>
      </c>
      <c r="AM167" s="20" t="str">
        <f>+TEXT(Carro1[[#This Row],[Column1]],"hh:mm")&amp;" | " &amp;TEXT(Carro1[[#This Row],[Hora Fim]],"hh:mm")</f>
        <v>02:56 | 03:09</v>
      </c>
      <c r="AN167" s="20">
        <f>INDEX($E$3:$AA$3,MATCH(Carro1[[#This Row],[Nó]],$E$1:$AA$1,0))</f>
        <v>4</v>
      </c>
      <c r="AO167" s="7">
        <f>+IF(AND(Carro1[[#This Row],[Nó]]=AI166,Carro1[[#This Row],[Nó]]=AI168),AO166,Carro1[[#This Row],[Hora Início]])</f>
        <v>0.12222222222222222</v>
      </c>
      <c r="AP167" s="20">
        <f t="shared" si="34"/>
        <v>2</v>
      </c>
      <c r="AQ167" s="20" cm="1">
        <f t="array" ref="AQ167">IFERROR(_xlfn.IFS(AP167=AP166,AQ166,AQ166="Ramo",1),AQ166+1)</f>
        <v>11</v>
      </c>
      <c r="AR167" s="20">
        <f t="shared" si="35"/>
        <v>0</v>
      </c>
      <c r="AS167" s="20" t="str">
        <f>IF(AND(Carro1[[#This Row],[Nó]]=AI168,Carro1[[#This Row],[Nó]]=AI169),"",AQ167&amp;"|"&amp;AN167)</f>
        <v>11|4</v>
      </c>
      <c r="AT167" s="20" t="str">
        <f>IF(Carro1[[#This Row],[Tipo]]&lt;&gt;"Deslocação",AQ167&amp;"|"&amp;AN167,"")</f>
        <v>11|4</v>
      </c>
      <c r="AU167" s="20" t="str">
        <f>IF(Carro1[[#This Row],[Tipo]]="Início",AQ167&amp;"|"&amp;AN167,"")</f>
        <v/>
      </c>
    </row>
    <row r="168" spans="33:47" x14ac:dyDescent="0.25">
      <c r="AG168" s="20" t="s">
        <v>123</v>
      </c>
      <c r="AH168" s="20" t="s">
        <v>124</v>
      </c>
      <c r="AI168" s="20" t="s">
        <v>208</v>
      </c>
      <c r="AJ168" s="7">
        <v>0.13472222222222222</v>
      </c>
      <c r="AK168" s="7">
        <v>0.13472222222222222</v>
      </c>
      <c r="AL168" s="20" t="s">
        <v>44</v>
      </c>
      <c r="AM168" s="20" t="str">
        <f>+TEXT(Carro1[[#This Row],[Column1]],"hh:mm")&amp;" | " &amp;TEXT(Carro1[[#This Row],[Hora Fim]],"hh:mm")</f>
        <v>03:14 | 03:14</v>
      </c>
      <c r="AN168" s="20">
        <f>INDEX($E$3:$AA$3,MATCH(Carro1[[#This Row],[Nó]],$E$1:$AA$1,0))</f>
        <v>3</v>
      </c>
      <c r="AO168" s="7">
        <f>+IF(AND(Carro1[[#This Row],[Nó]]=AI167,Carro1[[#This Row],[Nó]]=AI169),AO167,Carro1[[#This Row],[Hora Início]])</f>
        <v>0.13472222222222222</v>
      </c>
      <c r="AP168" s="20">
        <f t="shared" si="34"/>
        <v>2</v>
      </c>
      <c r="AQ168" s="20" cm="1">
        <f t="array" ref="AQ168">IFERROR(_xlfn.IFS(AP168=AP167,AQ167,AQ167="Ramo",1),AQ167+1)</f>
        <v>11</v>
      </c>
      <c r="AR168" s="20">
        <f t="shared" si="35"/>
        <v>0</v>
      </c>
      <c r="AS168" s="20" t="str">
        <f>IF(AND(Carro1[[#This Row],[Nó]]=AI169,Carro1[[#This Row],[Nó]]=AI170),"",AQ168&amp;"|"&amp;AN168)</f>
        <v>11|3</v>
      </c>
      <c r="AT168" s="20" t="str">
        <f>IF(Carro1[[#This Row],[Tipo]]&lt;&gt;"Deslocação",AQ168&amp;"|"&amp;AN168,"")</f>
        <v/>
      </c>
      <c r="AU168" s="20" t="str">
        <f>IF(Carro1[[#This Row],[Tipo]]="Início",AQ168&amp;"|"&amp;AN168,"")</f>
        <v/>
      </c>
    </row>
    <row r="169" spans="33:47" x14ac:dyDescent="0.25">
      <c r="AG169" s="20" t="s">
        <v>123</v>
      </c>
      <c r="AH169" s="20" t="s">
        <v>124</v>
      </c>
      <c r="AI169" s="20" t="s">
        <v>208</v>
      </c>
      <c r="AJ169" s="7">
        <v>0.13472222222222222</v>
      </c>
      <c r="AK169" s="7">
        <v>0.14374999999999999</v>
      </c>
      <c r="AL169" s="20" t="s">
        <v>43</v>
      </c>
      <c r="AM169" s="20" t="str">
        <f>+TEXT(Carro1[[#This Row],[Column1]],"hh:mm")&amp;" | " &amp;TEXT(Carro1[[#This Row],[Hora Fim]],"hh:mm")</f>
        <v>03:14 | 03:27</v>
      </c>
      <c r="AN169" s="20">
        <f>INDEX($E$3:$AA$3,MATCH(Carro1[[#This Row],[Nó]],$E$1:$AA$1,0))</f>
        <v>3</v>
      </c>
      <c r="AO169" s="7">
        <f>+IF(AND(Carro1[[#This Row],[Nó]]=AI168,Carro1[[#This Row],[Nó]]=AI170),AO168,Carro1[[#This Row],[Hora Início]])</f>
        <v>0.13472222222222222</v>
      </c>
      <c r="AP169" s="20">
        <f t="shared" si="34"/>
        <v>2</v>
      </c>
      <c r="AQ169" s="20" cm="1">
        <f t="array" ref="AQ169">IFERROR(_xlfn.IFS(AP169=AP168,AQ168,AQ168="Ramo",1),AQ168+1)</f>
        <v>11</v>
      </c>
      <c r="AR169" s="20">
        <f t="shared" si="35"/>
        <v>0</v>
      </c>
      <c r="AS169" s="20" t="str">
        <f>IF(AND(Carro1[[#This Row],[Nó]]=AI170,Carro1[[#This Row],[Nó]]=AI171),"",AQ169&amp;"|"&amp;AN169)</f>
        <v>11|3</v>
      </c>
      <c r="AT169" s="20" t="str">
        <f>IF(Carro1[[#This Row],[Tipo]]&lt;&gt;"Deslocação",AQ169&amp;"|"&amp;AN169,"")</f>
        <v>11|3</v>
      </c>
      <c r="AU169" s="20" t="str">
        <f>IF(Carro1[[#This Row],[Tipo]]="Início",AQ169&amp;"|"&amp;AN169,"")</f>
        <v/>
      </c>
    </row>
    <row r="170" spans="33:47" x14ac:dyDescent="0.25">
      <c r="AG170" s="20" t="s">
        <v>123</v>
      </c>
      <c r="AH170" s="20" t="s">
        <v>123</v>
      </c>
      <c r="AI170" s="20" t="s">
        <v>228</v>
      </c>
      <c r="AJ170" s="7">
        <v>0.14583333333333334</v>
      </c>
      <c r="AK170" s="7">
        <v>0.14583333333333334</v>
      </c>
      <c r="AL170" s="20" t="s">
        <v>44</v>
      </c>
      <c r="AM170" s="20" t="str">
        <f>+TEXT(Carro1[[#This Row],[Column1]],"hh:mm")&amp;" | " &amp;TEXT(Carro1[[#This Row],[Hora Fim]],"hh:mm")</f>
        <v>03:30 | 03:30</v>
      </c>
      <c r="AN170" s="20">
        <f>INDEX($E$3:$AA$3,MATCH(Carro1[[#This Row],[Nó]],$E$1:$AA$1,0))</f>
        <v>2</v>
      </c>
      <c r="AO170" s="7">
        <f>+IF(AND(Carro1[[#This Row],[Nó]]=AI169,Carro1[[#This Row],[Nó]]=AI171),AO169,Carro1[[#This Row],[Hora Início]])</f>
        <v>0.14583333333333334</v>
      </c>
      <c r="AP170" s="20">
        <f t="shared" si="34"/>
        <v>2</v>
      </c>
      <c r="AQ170" s="20" cm="1">
        <f t="array" ref="AQ170">IFERROR(_xlfn.IFS(AP170=AP169,AQ169,AQ169="Ramo",1),AQ169+1)</f>
        <v>11</v>
      </c>
      <c r="AR170" s="20">
        <f t="shared" si="35"/>
        <v>0</v>
      </c>
      <c r="AS170" s="20" t="str">
        <f>IF(AND(Carro1[[#This Row],[Nó]]=AI171,Carro1[[#This Row],[Nó]]=AI172),"",AQ170&amp;"|"&amp;AN170)</f>
        <v>11|2</v>
      </c>
      <c r="AT170" s="20" t="str">
        <f>IF(Carro1[[#This Row],[Tipo]]&lt;&gt;"Deslocação",AQ170&amp;"|"&amp;AN170,"")</f>
        <v/>
      </c>
      <c r="AU170" s="20" t="str">
        <f>IF(Carro1[[#This Row],[Tipo]]="Início",AQ170&amp;"|"&amp;AN170,"")</f>
        <v/>
      </c>
    </row>
    <row r="171" spans="33:47" x14ac:dyDescent="0.25">
      <c r="AG171" s="20" t="s">
        <v>123</v>
      </c>
      <c r="AH171" s="20" t="s">
        <v>123</v>
      </c>
      <c r="AI171" s="20" t="s">
        <v>228</v>
      </c>
      <c r="AJ171" s="7">
        <v>0.14583333333333334</v>
      </c>
      <c r="AK171" s="7">
        <v>0.15833333333333333</v>
      </c>
      <c r="AL171" s="20" t="s">
        <v>43</v>
      </c>
      <c r="AM171" s="20" t="str">
        <f>+TEXT(Carro1[[#This Row],[Column1]],"hh:mm")&amp;" | " &amp;TEXT(Carro1[[#This Row],[Hora Fim]],"hh:mm")</f>
        <v>03:30 | 03:48</v>
      </c>
      <c r="AN171" s="20">
        <f>INDEX($E$3:$AA$3,MATCH(Carro1[[#This Row],[Nó]],$E$1:$AA$1,0))</f>
        <v>2</v>
      </c>
      <c r="AO171" s="7">
        <f>+IF(AND(Carro1[[#This Row],[Nó]]=AI170,Carro1[[#This Row],[Nó]]=AI172),AO170,Carro1[[#This Row],[Hora Início]])</f>
        <v>0.14583333333333334</v>
      </c>
      <c r="AP171" s="20">
        <f t="shared" si="34"/>
        <v>2</v>
      </c>
      <c r="AQ171" s="20" cm="1">
        <f t="array" ref="AQ171">IFERROR(_xlfn.IFS(AP171=AP170,AQ170,AQ170="Ramo",1),AQ170+1)</f>
        <v>11</v>
      </c>
      <c r="AR171" s="20">
        <f t="shared" si="35"/>
        <v>0</v>
      </c>
      <c r="AS171" s="20" t="str">
        <f>IF(AND(Carro1[[#This Row],[Nó]]=AI172,Carro1[[#This Row],[Nó]]=AI173),"",AQ171&amp;"|"&amp;AN171)</f>
        <v>11|2</v>
      </c>
      <c r="AT171" s="20" t="str">
        <f>IF(Carro1[[#This Row],[Tipo]]&lt;&gt;"Deslocação",AQ171&amp;"|"&amp;AN171,"")</f>
        <v>11|2</v>
      </c>
      <c r="AU171" s="20" t="str">
        <f>IF(Carro1[[#This Row],[Tipo]]="Início",AQ171&amp;"|"&amp;AN171,"")</f>
        <v/>
      </c>
    </row>
    <row r="172" spans="33:47" x14ac:dyDescent="0.25">
      <c r="AG172" s="20" t="s">
        <v>123</v>
      </c>
      <c r="AH172" s="20" t="s">
        <v>122</v>
      </c>
      <c r="AI172" s="20" t="s">
        <v>200</v>
      </c>
      <c r="AJ172" s="7">
        <v>0.15902777777777777</v>
      </c>
      <c r="AK172" s="7">
        <v>0.15902777777777777</v>
      </c>
      <c r="AL172" s="20" t="s">
        <v>44</v>
      </c>
      <c r="AM172" s="20" t="str">
        <f>+TEXT(Carro1[[#This Row],[Column1]],"hh:mm")&amp;" | " &amp;TEXT(Carro1[[#This Row],[Hora Fim]],"hh:mm")</f>
        <v>03:49 | 03:49</v>
      </c>
      <c r="AN172" s="20">
        <f>INDEX($E$3:$AA$3,MATCH(Carro1[[#This Row],[Nó]],$E$1:$AA$1,0))</f>
        <v>1</v>
      </c>
      <c r="AO172" s="7">
        <f>+IF(AND(Carro1[[#This Row],[Nó]]=AI171,Carro1[[#This Row],[Nó]]=AI173),AO171,Carro1[[#This Row],[Hora Início]])</f>
        <v>0.15902777777777777</v>
      </c>
      <c r="AP172" s="20">
        <f t="shared" si="34"/>
        <v>2</v>
      </c>
      <c r="AQ172" s="20" cm="1">
        <f t="array" ref="AQ172">IFERROR(_xlfn.IFS(AP172=AP171,AQ171,AQ171="Ramo",1),AQ171+1)</f>
        <v>11</v>
      </c>
      <c r="AR172" s="20">
        <f t="shared" si="35"/>
        <v>0</v>
      </c>
      <c r="AS172" s="20" t="str">
        <f>IF(AND(Carro1[[#This Row],[Nó]]=AI173,Carro1[[#This Row],[Nó]]=AI174),"",AQ172&amp;"|"&amp;AN172)</f>
        <v>11|1</v>
      </c>
      <c r="AT172" s="20" t="str">
        <f>IF(Carro1[[#This Row],[Tipo]]&lt;&gt;"Deslocação",AQ172&amp;"|"&amp;AN172,"")</f>
        <v/>
      </c>
      <c r="AU172" s="20" t="str">
        <f>IF(Carro1[[#This Row],[Tipo]]="Início",AQ172&amp;"|"&amp;AN172,"")</f>
        <v/>
      </c>
    </row>
    <row r="173" spans="33:47" x14ac:dyDescent="0.25">
      <c r="AG173" s="20" t="s">
        <v>123</v>
      </c>
      <c r="AH173" s="20" t="s">
        <v>122</v>
      </c>
      <c r="AI173" s="20" t="s">
        <v>200</v>
      </c>
      <c r="AJ173" s="7">
        <v>0.15902777777777777</v>
      </c>
      <c r="AK173" s="7">
        <v>0.16180555555555556</v>
      </c>
      <c r="AL173" s="20" t="s">
        <v>43</v>
      </c>
      <c r="AM173" s="20" t="str">
        <f>+TEXT(Carro1[[#This Row],[Column1]],"hh:mm")&amp;" | " &amp;TEXT(Carro1[[#This Row],[Hora Fim]],"hh:mm")</f>
        <v>03:49 | 03:53</v>
      </c>
      <c r="AN173" s="20">
        <f>INDEX($E$3:$AA$3,MATCH(Carro1[[#This Row],[Nó]],$E$1:$AA$1,0))</f>
        <v>1</v>
      </c>
      <c r="AO173" s="7">
        <f>+IF(AND(Carro1[[#This Row],[Nó]]=AI172,Carro1[[#This Row],[Nó]]=AI174),AO172,Carro1[[#This Row],[Hora Início]])</f>
        <v>0.15902777777777777</v>
      </c>
      <c r="AP173" s="20">
        <f t="shared" si="34"/>
        <v>2</v>
      </c>
      <c r="AQ173" s="20" cm="1">
        <f t="array" ref="AQ173">IFERROR(_xlfn.IFS(AP173=AP172,AQ172,AQ172="Ramo",1),AQ172+1)</f>
        <v>11</v>
      </c>
      <c r="AR173" s="20">
        <f t="shared" si="35"/>
        <v>0</v>
      </c>
      <c r="AS173" s="20" t="str">
        <f>IF(AND(Carro1[[#This Row],[Nó]]=AI174,Carro1[[#This Row],[Nó]]=AI175),"",AQ173&amp;"|"&amp;AN173)</f>
        <v>11|1</v>
      </c>
      <c r="AT173" s="20" t="str">
        <f>IF(Carro1[[#This Row],[Tipo]]&lt;&gt;"Deslocação",AQ173&amp;"|"&amp;AN173,"")</f>
        <v>11|1</v>
      </c>
      <c r="AU173" s="20" t="str">
        <f>IF(Carro1[[#This Row],[Tipo]]="Início",AQ173&amp;"|"&amp;AN173,"")</f>
        <v/>
      </c>
    </row>
    <row r="174" spans="33:47" x14ac:dyDescent="0.25">
      <c r="AG174" s="20" t="s">
        <v>123</v>
      </c>
      <c r="AH174" s="20" t="s">
        <v>121</v>
      </c>
      <c r="AI174" s="20" t="s">
        <v>203</v>
      </c>
      <c r="AJ174" s="7">
        <v>0.16319444444444445</v>
      </c>
      <c r="AK174" s="7">
        <v>0.16319444444444445</v>
      </c>
      <c r="AL174" s="20" t="s">
        <v>44</v>
      </c>
      <c r="AM174" s="20" t="str">
        <f>+TEXT(Carro1[[#This Row],[Column1]],"hh:mm")&amp;" | " &amp;TEXT(Carro1[[#This Row],[Hora Fim]],"hh:mm")</f>
        <v>03:55 | 03:55</v>
      </c>
      <c r="AN174" s="20">
        <f>INDEX($E$3:$AA$3,MATCH(Carro1[[#This Row],[Nó]],$E$1:$AA$1,0))</f>
        <v>0</v>
      </c>
      <c r="AO174" s="7">
        <f>+IF(AND(Carro1[[#This Row],[Nó]]=AI173,Carro1[[#This Row],[Nó]]=AI175),AO173,Carro1[[#This Row],[Hora Início]])</f>
        <v>0.16319444444444445</v>
      </c>
      <c r="AP174" s="20">
        <f t="shared" si="34"/>
        <v>2</v>
      </c>
      <c r="AQ174" s="20" cm="1">
        <f t="array" ref="AQ174">IFERROR(_xlfn.IFS(AP174=AP173,AQ173,AQ173="Ramo",1),AQ173+1)</f>
        <v>11</v>
      </c>
      <c r="AR174" s="20">
        <f t="shared" si="35"/>
        <v>0</v>
      </c>
      <c r="AS174" s="20" t="str">
        <f>IF(AND(Carro1[[#This Row],[Nó]]=AI175,Carro1[[#This Row],[Nó]]=AI176),"",AQ174&amp;"|"&amp;AN174)</f>
        <v/>
      </c>
      <c r="AT174" s="20" t="str">
        <f>IF(Carro1[[#This Row],[Tipo]]&lt;&gt;"Deslocação",AQ174&amp;"|"&amp;AN174,"")</f>
        <v/>
      </c>
      <c r="AU174" s="20" t="str">
        <f>IF(Carro1[[#This Row],[Tipo]]="Início",AQ174&amp;"|"&amp;AN174,"")</f>
        <v/>
      </c>
    </row>
    <row r="175" spans="33:47" x14ac:dyDescent="0.25">
      <c r="AG175" s="20" t="s">
        <v>123</v>
      </c>
      <c r="AH175" s="20" t="s">
        <v>121</v>
      </c>
      <c r="AI175" s="20" t="s">
        <v>203</v>
      </c>
      <c r="AJ175" s="7">
        <v>0.16319444444444445</v>
      </c>
      <c r="AK175" s="7">
        <v>0.18333333333333332</v>
      </c>
      <c r="AL175" s="20" t="s">
        <v>45</v>
      </c>
      <c r="AM175" s="20" t="str">
        <f>+TEXT(Carro1[[#This Row],[Column1]],"hh:mm")&amp;" | " &amp;TEXT(Carro1[[#This Row],[Hora Fim]],"hh:mm")</f>
        <v>03:55 | 04:24</v>
      </c>
      <c r="AN175" s="20">
        <f>INDEX($E$3:$AA$3,MATCH(Carro1[[#This Row],[Nó]],$E$1:$AA$1,0))</f>
        <v>0</v>
      </c>
      <c r="AO175" s="7">
        <f>+IF(AND(Carro1[[#This Row],[Nó]]=AI174,Carro1[[#This Row],[Nó]]=AI176),AO174,Carro1[[#This Row],[Hora Início]])</f>
        <v>0.16319444444444445</v>
      </c>
      <c r="AP175" s="20">
        <f t="shared" si="34"/>
        <v>2</v>
      </c>
      <c r="AQ175" s="20" cm="1">
        <f t="array" ref="AQ175">IFERROR(_xlfn.IFS(AP175=AP174,AQ174,AQ174="Ramo",1),AQ174+1)</f>
        <v>11</v>
      </c>
      <c r="AR175" s="20">
        <f t="shared" si="35"/>
        <v>0</v>
      </c>
      <c r="AS175" s="20" t="str">
        <f>IF(AND(Carro1[[#This Row],[Nó]]=AI176,Carro1[[#This Row],[Nó]]=AI177),"",AQ175&amp;"|"&amp;AN175)</f>
        <v/>
      </c>
      <c r="AT175" s="20" t="str">
        <f>IF(Carro1[[#This Row],[Tipo]]&lt;&gt;"Deslocação",AQ175&amp;"|"&amp;AN175,"")</f>
        <v>11|0</v>
      </c>
      <c r="AU175" s="20" t="str">
        <f>IF(Carro1[[#This Row],[Tipo]]="Início",AQ175&amp;"|"&amp;AN175,"")</f>
        <v/>
      </c>
    </row>
    <row r="176" spans="33:47" x14ac:dyDescent="0.25">
      <c r="AG176" s="20" t="s">
        <v>123</v>
      </c>
      <c r="AH176" s="20" t="s">
        <v>121</v>
      </c>
      <c r="AI176" s="20" t="s">
        <v>203</v>
      </c>
      <c r="AJ176" s="7">
        <v>0.18333333333333332</v>
      </c>
      <c r="AK176" s="7">
        <v>0.20416666666666666</v>
      </c>
      <c r="AL176" s="20" t="s">
        <v>45</v>
      </c>
      <c r="AM176" s="20" t="str">
        <f>+TEXT(Carro1[[#This Row],[Column1]],"hh:mm")&amp;" | " &amp;TEXT(Carro1[[#This Row],[Hora Fim]],"hh:mm")</f>
        <v>03:55 | 04:54</v>
      </c>
      <c r="AN176" s="20">
        <f>INDEX($E$3:$AA$3,MATCH(Carro1[[#This Row],[Nó]],$E$1:$AA$1,0))</f>
        <v>0</v>
      </c>
      <c r="AO176" s="7">
        <f>+IF(AND(Carro1[[#This Row],[Nó]]=AI175,Carro1[[#This Row],[Nó]]=AI177),AO175,Carro1[[#This Row],[Hora Início]])</f>
        <v>0.16319444444444445</v>
      </c>
      <c r="AP176" s="20">
        <f t="shared" si="34"/>
        <v>2</v>
      </c>
      <c r="AQ176" s="20" cm="1">
        <f t="array" ref="AQ176">IFERROR(_xlfn.IFS(AP176=AP175,AQ175,AQ175="Ramo",1),AQ175+1)</f>
        <v>11</v>
      </c>
      <c r="AR176" s="20">
        <f t="shared" si="35"/>
        <v>0</v>
      </c>
      <c r="AS176" s="20" t="str">
        <f>IF(AND(Carro1[[#This Row],[Nó]]=AI177,Carro1[[#This Row],[Nó]]=AI178),"",AQ176&amp;"|"&amp;AN176)</f>
        <v/>
      </c>
      <c r="AT176" s="20" t="str">
        <f>IF(Carro1[[#This Row],[Tipo]]&lt;&gt;"Deslocação",AQ176&amp;"|"&amp;AN176,"")</f>
        <v>11|0</v>
      </c>
      <c r="AU176" s="20" t="str">
        <f>IF(Carro1[[#This Row],[Tipo]]="Início",AQ176&amp;"|"&amp;AN176,"")</f>
        <v/>
      </c>
    </row>
    <row r="177" spans="33:47" x14ac:dyDescent="0.25">
      <c r="AG177" s="20" t="s">
        <v>123</v>
      </c>
      <c r="AH177" s="20" t="s">
        <v>121</v>
      </c>
      <c r="AI177" s="20" t="s">
        <v>203</v>
      </c>
      <c r="AJ177" s="7">
        <v>0.20416666666666666</v>
      </c>
      <c r="AK177" s="7">
        <v>0.20416666666666666</v>
      </c>
      <c r="AL177" s="20" t="s">
        <v>44</v>
      </c>
      <c r="AM177" s="20" t="str">
        <f>+TEXT(Carro1[[#This Row],[Column1]],"hh:mm")&amp;" | " &amp;TEXT(Carro1[[#This Row],[Hora Fim]],"hh:mm")</f>
        <v>03:55 | 04:54</v>
      </c>
      <c r="AN177" s="20">
        <f>INDEX($E$3:$AA$3,MATCH(Carro1[[#This Row],[Nó]],$E$1:$AA$1,0))</f>
        <v>0</v>
      </c>
      <c r="AO177" s="7">
        <f>+IF(AND(Carro1[[#This Row],[Nó]]=AI176,Carro1[[#This Row],[Nó]]=AI178),AO176,Carro1[[#This Row],[Hora Início]])</f>
        <v>0.16319444444444445</v>
      </c>
      <c r="AP177" s="20">
        <f t="shared" si="34"/>
        <v>2</v>
      </c>
      <c r="AQ177" s="20" cm="1">
        <f t="array" ref="AQ177">IFERROR(_xlfn.IFS(AP177=AP176,AQ176,AQ176="Ramo",1),AQ176+1)</f>
        <v>11</v>
      </c>
      <c r="AR177" s="20">
        <f t="shared" si="35"/>
        <v>0</v>
      </c>
      <c r="AS177" s="20" t="str">
        <f>IF(AND(Carro1[[#This Row],[Nó]]=AI178,Carro1[[#This Row],[Nó]]=AI179),"",AQ177&amp;"|"&amp;AN177)</f>
        <v>11|0</v>
      </c>
      <c r="AT177" s="20" t="str">
        <f>IF(Carro1[[#This Row],[Tipo]]&lt;&gt;"Deslocação",AQ177&amp;"|"&amp;AN177,"")</f>
        <v/>
      </c>
      <c r="AU177" s="20" t="str">
        <f>IF(Carro1[[#This Row],[Tipo]]="Início",AQ177&amp;"|"&amp;AN177,"")</f>
        <v/>
      </c>
    </row>
    <row r="178" spans="33:47" x14ac:dyDescent="0.25">
      <c r="AG178" s="20" t="s">
        <v>123</v>
      </c>
      <c r="AH178" s="20" t="s">
        <v>121</v>
      </c>
      <c r="AI178" s="20" t="s">
        <v>203</v>
      </c>
      <c r="AJ178" s="7">
        <v>0.20416666666666666</v>
      </c>
      <c r="AK178" s="7">
        <v>0.20972222222222223</v>
      </c>
      <c r="AL178" s="20" t="s">
        <v>43</v>
      </c>
      <c r="AM178" s="20" t="str">
        <f>+TEXT(Carro1[[#This Row],[Column1]],"hh:mm")&amp;" | " &amp;TEXT(Carro1[[#This Row],[Hora Fim]],"hh:mm")</f>
        <v>04:54 | 05:02</v>
      </c>
      <c r="AN178" s="20">
        <f>INDEX($E$3:$AA$3,MATCH(Carro1[[#This Row],[Nó]],$E$1:$AA$1,0))</f>
        <v>0</v>
      </c>
      <c r="AO178" s="7">
        <f>+IF(AND(Carro1[[#This Row],[Nó]]=AI177,Carro1[[#This Row],[Nó]]=AI179),AO177,Carro1[[#This Row],[Hora Início]])</f>
        <v>0.20416666666666666</v>
      </c>
      <c r="AP178" s="20">
        <f t="shared" si="34"/>
        <v>1</v>
      </c>
      <c r="AQ178" s="20" cm="1">
        <f t="array" ref="AQ178">IFERROR(_xlfn.IFS(AP178=AP177,AQ177,AQ177="Ramo",1),AQ177+1)</f>
        <v>12</v>
      </c>
      <c r="AR178" s="20">
        <f t="shared" si="35"/>
        <v>1</v>
      </c>
      <c r="AS178" s="20" t="str">
        <f>IF(AND(Carro1[[#This Row],[Nó]]=AI179,Carro1[[#This Row],[Nó]]=AI180),"",AQ178&amp;"|"&amp;AN178)</f>
        <v>12|0</v>
      </c>
      <c r="AT178" s="20" t="str">
        <f>IF(Carro1[[#This Row],[Tipo]]&lt;&gt;"Deslocação",AQ178&amp;"|"&amp;AN178,"")</f>
        <v>12|0</v>
      </c>
      <c r="AU178" s="20" t="str">
        <f>IF(Carro1[[#This Row],[Tipo]]="Início",AQ178&amp;"|"&amp;AN178,"")</f>
        <v/>
      </c>
    </row>
    <row r="179" spans="33:47" x14ac:dyDescent="0.25">
      <c r="AG179" s="20" t="s">
        <v>123</v>
      </c>
      <c r="AH179" s="20" t="s">
        <v>122</v>
      </c>
      <c r="AI179" s="20" t="s">
        <v>200</v>
      </c>
      <c r="AJ179" s="7">
        <v>0.21111111111111111</v>
      </c>
      <c r="AK179" s="7">
        <v>0.21111111111111111</v>
      </c>
      <c r="AL179" s="20" t="s">
        <v>44</v>
      </c>
      <c r="AM179" s="20" t="str">
        <f>+TEXT(Carro1[[#This Row],[Column1]],"hh:mm")&amp;" | " &amp;TEXT(Carro1[[#This Row],[Hora Fim]],"hh:mm")</f>
        <v>05:04 | 05:04</v>
      </c>
      <c r="AN179" s="20">
        <f>INDEX($E$3:$AA$3,MATCH(Carro1[[#This Row],[Nó]],$E$1:$AA$1,0))</f>
        <v>1</v>
      </c>
      <c r="AO179" s="7">
        <f>+IF(AND(Carro1[[#This Row],[Nó]]=AI178,Carro1[[#This Row],[Nó]]=AI180),AO178,Carro1[[#This Row],[Hora Início]])</f>
        <v>0.21111111111111111</v>
      </c>
      <c r="AP179" s="20">
        <f t="shared" si="34"/>
        <v>1</v>
      </c>
      <c r="AQ179" s="20" cm="1">
        <f t="array" ref="AQ179">IFERROR(_xlfn.IFS(AP179=AP178,AQ178,AQ178="Ramo",1),AQ178+1)</f>
        <v>12</v>
      </c>
      <c r="AR179" s="20">
        <f t="shared" si="35"/>
        <v>0</v>
      </c>
      <c r="AS179" s="20" t="str">
        <f>IF(AND(Carro1[[#This Row],[Nó]]=AI180,Carro1[[#This Row],[Nó]]=AI181),"",AQ179&amp;"|"&amp;AN179)</f>
        <v>12|1</v>
      </c>
      <c r="AT179" s="20" t="str">
        <f>IF(Carro1[[#This Row],[Tipo]]&lt;&gt;"Deslocação",AQ179&amp;"|"&amp;AN179,"")</f>
        <v/>
      </c>
      <c r="AU179" s="20" t="str">
        <f>IF(Carro1[[#This Row],[Tipo]]="Início",AQ179&amp;"|"&amp;AN179,"")</f>
        <v/>
      </c>
    </row>
    <row r="180" spans="33:47" x14ac:dyDescent="0.25">
      <c r="AG180" s="20" t="s">
        <v>123</v>
      </c>
      <c r="AH180" s="20" t="s">
        <v>123</v>
      </c>
      <c r="AI180" s="20" t="s">
        <v>228</v>
      </c>
      <c r="AJ180" s="7">
        <v>0.21180555555555555</v>
      </c>
      <c r="AK180" s="7">
        <v>0.21180555555555555</v>
      </c>
      <c r="AL180" s="20" t="s">
        <v>44</v>
      </c>
      <c r="AM180" s="20" t="str">
        <f>+TEXT(Carro1[[#This Row],[Column1]],"hh:mm")&amp;" | " &amp;TEXT(Carro1[[#This Row],[Hora Fim]],"hh:mm")</f>
        <v>05:05 | 05:05</v>
      </c>
      <c r="AN180" s="20">
        <f>INDEX($E$3:$AA$3,MATCH(Carro1[[#This Row],[Nó]],$E$1:$AA$1,0))</f>
        <v>2</v>
      </c>
      <c r="AO180" s="7">
        <f>+IF(AND(Carro1[[#This Row],[Nó]]=AI179,Carro1[[#This Row],[Nó]]=AI181),AO179,Carro1[[#This Row],[Hora Início]])</f>
        <v>0.21180555555555555</v>
      </c>
      <c r="AP180" s="20">
        <f t="shared" si="34"/>
        <v>1</v>
      </c>
      <c r="AQ180" s="20" cm="1">
        <f t="array" ref="AQ180">IFERROR(_xlfn.IFS(AP180=AP179,AQ179,AQ179="Ramo",1),AQ179+1)</f>
        <v>12</v>
      </c>
      <c r="AR180" s="20">
        <f t="shared" si="35"/>
        <v>0</v>
      </c>
      <c r="AS180" s="20" t="str">
        <f>IF(AND(Carro1[[#This Row],[Nó]]=AI181,Carro1[[#This Row],[Nó]]=AI182),"",AQ180&amp;"|"&amp;AN180)</f>
        <v>12|2</v>
      </c>
      <c r="AT180" s="20" t="str">
        <f>IF(Carro1[[#This Row],[Tipo]]&lt;&gt;"Deslocação",AQ180&amp;"|"&amp;AN180,"")</f>
        <v/>
      </c>
      <c r="AU180" s="20" t="str">
        <f>IF(Carro1[[#This Row],[Tipo]]="Início",AQ180&amp;"|"&amp;AN180,"")</f>
        <v/>
      </c>
    </row>
    <row r="181" spans="33:47" x14ac:dyDescent="0.25">
      <c r="AG181" s="20" t="s">
        <v>123</v>
      </c>
      <c r="AH181" s="20" t="s">
        <v>124</v>
      </c>
      <c r="AI181" s="20" t="s">
        <v>208</v>
      </c>
      <c r="AJ181" s="7">
        <v>0.21388888888888888</v>
      </c>
      <c r="AK181" s="7">
        <v>0.21388888888888888</v>
      </c>
      <c r="AL181" s="20" t="s">
        <v>44</v>
      </c>
      <c r="AM181" s="20" t="str">
        <f>+TEXT(Carro1[[#This Row],[Column1]],"hh:mm")&amp;" | " &amp;TEXT(Carro1[[#This Row],[Hora Fim]],"hh:mm")</f>
        <v>05:08 | 05:08</v>
      </c>
      <c r="AN181" s="20">
        <f>INDEX($E$3:$AA$3,MATCH(Carro1[[#This Row],[Nó]],$E$1:$AA$1,0))</f>
        <v>3</v>
      </c>
      <c r="AO181" s="7">
        <f>+IF(AND(Carro1[[#This Row],[Nó]]=AI180,Carro1[[#This Row],[Nó]]=AI182),AO180,Carro1[[#This Row],[Hora Início]])</f>
        <v>0.21388888888888888</v>
      </c>
      <c r="AP181" s="20">
        <f t="shared" si="34"/>
        <v>1</v>
      </c>
      <c r="AQ181" s="20" cm="1">
        <f t="array" ref="AQ181">IFERROR(_xlfn.IFS(AP181=AP180,AQ180,AQ180="Ramo",1),AQ180+1)</f>
        <v>12</v>
      </c>
      <c r="AR181" s="20">
        <f t="shared" si="35"/>
        <v>0</v>
      </c>
      <c r="AS181" s="20" t="str">
        <f>IF(AND(Carro1[[#This Row],[Nó]]=AI182,Carro1[[#This Row],[Nó]]=AI183),"",AQ181&amp;"|"&amp;AN181)</f>
        <v>12|3</v>
      </c>
      <c r="AT181" s="20" t="str">
        <f>IF(Carro1[[#This Row],[Tipo]]&lt;&gt;"Deslocação",AQ181&amp;"|"&amp;AN181,"")</f>
        <v/>
      </c>
      <c r="AU181" s="20" t="str">
        <f>IF(Carro1[[#This Row],[Tipo]]="Início",AQ181&amp;"|"&amp;AN181,"")</f>
        <v/>
      </c>
    </row>
    <row r="182" spans="33:47" x14ac:dyDescent="0.25">
      <c r="AG182" s="20" t="s">
        <v>123</v>
      </c>
      <c r="AH182" s="20" t="s">
        <v>124</v>
      </c>
      <c r="AI182" s="20" t="s">
        <v>208</v>
      </c>
      <c r="AJ182" s="7">
        <v>0.21388888888888888</v>
      </c>
      <c r="AK182" s="7">
        <v>0.22291666666666668</v>
      </c>
      <c r="AL182" s="20" t="s">
        <v>43</v>
      </c>
      <c r="AM182" s="20" t="str">
        <f>+TEXT(Carro1[[#This Row],[Column1]],"hh:mm")&amp;" | " &amp;TEXT(Carro1[[#This Row],[Hora Fim]],"hh:mm")</f>
        <v>05:08 | 05:21</v>
      </c>
      <c r="AN182" s="20">
        <f>INDEX($E$3:$AA$3,MATCH(Carro1[[#This Row],[Nó]],$E$1:$AA$1,0))</f>
        <v>3</v>
      </c>
      <c r="AO182" s="7">
        <f>+IF(AND(Carro1[[#This Row],[Nó]]=AI181,Carro1[[#This Row],[Nó]]=AI183),AO181,Carro1[[#This Row],[Hora Início]])</f>
        <v>0.21388888888888888</v>
      </c>
      <c r="AP182" s="20">
        <f t="shared" si="34"/>
        <v>1</v>
      </c>
      <c r="AQ182" s="20" cm="1">
        <f t="array" ref="AQ182">IFERROR(_xlfn.IFS(AP182=AP181,AQ181,AQ181="Ramo",1),AQ181+1)</f>
        <v>12</v>
      </c>
      <c r="AR182" s="20">
        <f t="shared" si="35"/>
        <v>0</v>
      </c>
      <c r="AS182" s="20" t="str">
        <f>IF(AND(Carro1[[#This Row],[Nó]]=AI183,Carro1[[#This Row],[Nó]]=AI184),"",AQ182&amp;"|"&amp;AN182)</f>
        <v>12|3</v>
      </c>
      <c r="AT182" s="20" t="str">
        <f>IF(Carro1[[#This Row],[Tipo]]&lt;&gt;"Deslocação",AQ182&amp;"|"&amp;AN182,"")</f>
        <v>12|3</v>
      </c>
      <c r="AU182" s="20" t="str">
        <f>IF(Carro1[[#This Row],[Tipo]]="Início",AQ182&amp;"|"&amp;AN182,"")</f>
        <v/>
      </c>
    </row>
    <row r="183" spans="33:47" x14ac:dyDescent="0.25">
      <c r="AG183" s="20" t="s">
        <v>123</v>
      </c>
      <c r="AH183" s="20" t="s">
        <v>125</v>
      </c>
      <c r="AI183" s="20" t="s">
        <v>2</v>
      </c>
      <c r="AJ183" s="7">
        <v>0.22638888888888889</v>
      </c>
      <c r="AK183" s="7">
        <v>0.22638888888888889</v>
      </c>
      <c r="AL183" s="20" t="s">
        <v>44</v>
      </c>
      <c r="AM183" s="20" t="str">
        <f>+TEXT(Carro1[[#This Row],[Column1]],"hh:mm")&amp;" | " &amp;TEXT(Carro1[[#This Row],[Hora Fim]],"hh:mm")</f>
        <v>05:26 | 05:26</v>
      </c>
      <c r="AN183" s="20">
        <f>INDEX($E$3:$AA$3,MATCH(Carro1[[#This Row],[Nó]],$E$1:$AA$1,0))</f>
        <v>4</v>
      </c>
      <c r="AO183" s="7">
        <f>+IF(AND(Carro1[[#This Row],[Nó]]=AI182,Carro1[[#This Row],[Nó]]=AI184),AO182,Carro1[[#This Row],[Hora Início]])</f>
        <v>0.22638888888888889</v>
      </c>
      <c r="AP183" s="20">
        <f t="shared" si="34"/>
        <v>1</v>
      </c>
      <c r="AQ183" s="20" cm="1">
        <f t="array" ref="AQ183">IFERROR(_xlfn.IFS(AP183=AP182,AQ182,AQ182="Ramo",1),AQ182+1)</f>
        <v>12</v>
      </c>
      <c r="AR183" s="20">
        <f t="shared" si="35"/>
        <v>0</v>
      </c>
      <c r="AS183" s="20" t="str">
        <f>IF(AND(Carro1[[#This Row],[Nó]]=AI184,Carro1[[#This Row],[Nó]]=AI185),"",AQ183&amp;"|"&amp;AN183)</f>
        <v>12|4</v>
      </c>
      <c r="AT183" s="20" t="str">
        <f>IF(Carro1[[#This Row],[Tipo]]&lt;&gt;"Deslocação",AQ183&amp;"|"&amp;AN183,"")</f>
        <v/>
      </c>
      <c r="AU183" s="20" t="str">
        <f>IF(Carro1[[#This Row],[Tipo]]="Início",AQ183&amp;"|"&amp;AN183,"")</f>
        <v/>
      </c>
    </row>
    <row r="184" spans="33:47" x14ac:dyDescent="0.25">
      <c r="AG184" s="20" t="s">
        <v>123</v>
      </c>
      <c r="AH184" s="20" t="s">
        <v>172</v>
      </c>
      <c r="AI184" s="20" t="s">
        <v>215</v>
      </c>
      <c r="AJ184" s="7">
        <v>0.22847222222222222</v>
      </c>
      <c r="AK184" s="7">
        <v>0.22847222222222222</v>
      </c>
      <c r="AL184" s="20" t="s">
        <v>44</v>
      </c>
      <c r="AM184" s="20" t="str">
        <f>+TEXT(Carro1[[#This Row],[Column1]],"hh:mm")&amp;" | " &amp;TEXT(Carro1[[#This Row],[Hora Fim]],"hh:mm")</f>
        <v>05:29 | 05:29</v>
      </c>
      <c r="AN184" s="20">
        <f>INDEX($E$3:$AA$3,MATCH(Carro1[[#This Row],[Nó]],$E$1:$AA$1,0))</f>
        <v>5</v>
      </c>
      <c r="AO184" s="7">
        <f>+IF(AND(Carro1[[#This Row],[Nó]]=AI183,Carro1[[#This Row],[Nó]]=AI185),AO183,Carro1[[#This Row],[Hora Início]])</f>
        <v>0.22847222222222222</v>
      </c>
      <c r="AP184" s="20">
        <f t="shared" si="34"/>
        <v>1</v>
      </c>
      <c r="AQ184" s="20" cm="1">
        <f t="array" ref="AQ184">IFERROR(_xlfn.IFS(AP184=AP183,AQ183,AQ183="Ramo",1),AQ183+1)</f>
        <v>12</v>
      </c>
      <c r="AR184" s="20">
        <f t="shared" si="35"/>
        <v>0</v>
      </c>
      <c r="AS184" s="20" t="str">
        <f>IF(AND(Carro1[[#This Row],[Nó]]=AI185,Carro1[[#This Row],[Nó]]=AI186),"",AQ184&amp;"|"&amp;AN184)</f>
        <v>12|5</v>
      </c>
      <c r="AT184" s="20" t="str">
        <f>IF(Carro1[[#This Row],[Tipo]]&lt;&gt;"Deslocação",AQ184&amp;"|"&amp;AN184,"")</f>
        <v/>
      </c>
      <c r="AU184" s="20" t="str">
        <f>IF(Carro1[[#This Row],[Tipo]]="Início",AQ184&amp;"|"&amp;AN184,"")</f>
        <v/>
      </c>
    </row>
    <row r="185" spans="33:47" x14ac:dyDescent="0.25">
      <c r="AG185" s="20" t="s">
        <v>123</v>
      </c>
      <c r="AH185" s="20" t="s">
        <v>172</v>
      </c>
      <c r="AI185" s="20" t="s">
        <v>215</v>
      </c>
      <c r="AJ185" s="7">
        <v>0.22847222222222222</v>
      </c>
      <c r="AK185" s="7">
        <v>0.22847222222222222</v>
      </c>
      <c r="AL185" s="20" t="s">
        <v>43</v>
      </c>
      <c r="AM185" s="20" t="str">
        <f>+TEXT(Carro1[[#This Row],[Column1]],"hh:mm")&amp;" | " &amp;TEXT(Carro1[[#This Row],[Hora Fim]],"hh:mm")</f>
        <v>05:29 | 05:29</v>
      </c>
      <c r="AN185" s="20">
        <f>INDEX($E$3:$AA$3,MATCH(Carro1[[#This Row],[Nó]],$E$1:$AA$1,0))</f>
        <v>5</v>
      </c>
      <c r="AO185" s="7">
        <f>+IF(AND(Carro1[[#This Row],[Nó]]=AI184,Carro1[[#This Row],[Nó]]=AI186),AO184,Carro1[[#This Row],[Hora Início]])</f>
        <v>0.22847222222222222</v>
      </c>
      <c r="AP185" s="20">
        <f t="shared" si="34"/>
        <v>1</v>
      </c>
      <c r="AQ185" s="20" cm="1">
        <f t="array" ref="AQ185">IFERROR(_xlfn.IFS(AP185=AP184,AQ184,AQ184="Ramo",1),AQ184+1)</f>
        <v>12</v>
      </c>
      <c r="AR185" s="20">
        <f t="shared" si="35"/>
        <v>0</v>
      </c>
      <c r="AS185" s="20" t="str">
        <f>IF(AND(Carro1[[#This Row],[Nó]]=AI186,Carro1[[#This Row],[Nó]]=AI187),"",AQ185&amp;"|"&amp;AN185)</f>
        <v>12|5</v>
      </c>
      <c r="AT185" s="20" t="str">
        <f>IF(Carro1[[#This Row],[Tipo]]&lt;&gt;"Deslocação",AQ185&amp;"|"&amp;AN185,"")</f>
        <v>12|5</v>
      </c>
      <c r="AU185" s="20" t="str">
        <f>IF(Carro1[[#This Row],[Tipo]]="Início",AQ185&amp;"|"&amp;AN185,"")</f>
        <v/>
      </c>
    </row>
    <row r="186" spans="33:47" x14ac:dyDescent="0.25">
      <c r="AG186" s="20" t="s">
        <v>123</v>
      </c>
      <c r="AH186" s="20" t="s">
        <v>173</v>
      </c>
      <c r="AI186" s="20" t="s">
        <v>300</v>
      </c>
      <c r="AJ186" s="7">
        <v>0.23125000000000001</v>
      </c>
      <c r="AK186" s="7">
        <v>0.23125000000000001</v>
      </c>
      <c r="AL186" s="20" t="s">
        <v>44</v>
      </c>
      <c r="AM186" s="20" t="str">
        <f>+TEXT(Carro1[[#This Row],[Column1]],"hh:mm")&amp;" | " &amp;TEXT(Carro1[[#This Row],[Hora Fim]],"hh:mm")</f>
        <v>05:33 | 05:33</v>
      </c>
      <c r="AN186" s="20">
        <f>INDEX($E$3:$AA$3,MATCH(Carro1[[#This Row],[Nó]],$E$1:$AA$1,0))</f>
        <v>6</v>
      </c>
      <c r="AO186" s="7">
        <f>+IF(AND(Carro1[[#This Row],[Nó]]=AI185,Carro1[[#This Row],[Nó]]=AI187),AO185,Carro1[[#This Row],[Hora Início]])</f>
        <v>0.23125000000000001</v>
      </c>
      <c r="AP186" s="20">
        <f t="shared" si="34"/>
        <v>1</v>
      </c>
      <c r="AQ186" s="20" cm="1">
        <f t="array" ref="AQ186">IFERROR(_xlfn.IFS(AP186=AP185,AQ185,AQ185="Ramo",1),AQ185+1)</f>
        <v>12</v>
      </c>
      <c r="AR186" s="20">
        <f t="shared" si="35"/>
        <v>0</v>
      </c>
      <c r="AS186" s="20" t="str">
        <f>IF(AND(Carro1[[#This Row],[Nó]]=AI187,Carro1[[#This Row],[Nó]]=AI188),"",AQ186&amp;"|"&amp;AN186)</f>
        <v>12|6</v>
      </c>
      <c r="AT186" s="20" t="str">
        <f>IF(Carro1[[#This Row],[Tipo]]&lt;&gt;"Deslocação",AQ186&amp;"|"&amp;AN186,"")</f>
        <v/>
      </c>
      <c r="AU186" s="20" t="str">
        <f>IF(Carro1[[#This Row],[Tipo]]="Início",AQ186&amp;"|"&amp;AN186,"")</f>
        <v/>
      </c>
    </row>
    <row r="187" spans="33:47" x14ac:dyDescent="0.25">
      <c r="AG187" s="20" t="s">
        <v>123</v>
      </c>
      <c r="AH187" s="20" t="s">
        <v>173</v>
      </c>
      <c r="AI187" s="20" t="s">
        <v>300</v>
      </c>
      <c r="AJ187" s="7">
        <v>0.23125000000000001</v>
      </c>
      <c r="AK187" s="7">
        <v>0.23125000000000001</v>
      </c>
      <c r="AL187" s="20" t="s">
        <v>43</v>
      </c>
      <c r="AM187" s="20" t="str">
        <f>+TEXT(Carro1[[#This Row],[Column1]],"hh:mm")&amp;" | " &amp;TEXT(Carro1[[#This Row],[Hora Fim]],"hh:mm")</f>
        <v>05:33 | 05:33</v>
      </c>
      <c r="AN187" s="20">
        <f>INDEX($E$3:$AA$3,MATCH(Carro1[[#This Row],[Nó]],$E$1:$AA$1,0))</f>
        <v>6</v>
      </c>
      <c r="AO187" s="7">
        <f>+IF(AND(Carro1[[#This Row],[Nó]]=AI186,Carro1[[#This Row],[Nó]]=AI188),AO186,Carro1[[#This Row],[Hora Início]])</f>
        <v>0.23125000000000001</v>
      </c>
      <c r="AP187" s="20">
        <f t="shared" si="34"/>
        <v>1</v>
      </c>
      <c r="AQ187" s="20" cm="1">
        <f t="array" ref="AQ187">IFERROR(_xlfn.IFS(AP187=AP186,AQ186,AQ186="Ramo",1),AQ186+1)</f>
        <v>12</v>
      </c>
      <c r="AR187" s="20">
        <f t="shared" si="35"/>
        <v>0</v>
      </c>
      <c r="AS187" s="20" t="str">
        <f>IF(AND(Carro1[[#This Row],[Nó]]=AI188,Carro1[[#This Row],[Nó]]=AI189),"",AQ187&amp;"|"&amp;AN187)</f>
        <v>12|6</v>
      </c>
      <c r="AT187" s="20" t="str">
        <f>IF(Carro1[[#This Row],[Tipo]]&lt;&gt;"Deslocação",AQ187&amp;"|"&amp;AN187,"")</f>
        <v>12|6</v>
      </c>
      <c r="AU187" s="20" t="str">
        <f>IF(Carro1[[#This Row],[Tipo]]="Início",AQ187&amp;"|"&amp;AN187,"")</f>
        <v/>
      </c>
    </row>
    <row r="188" spans="33:47" x14ac:dyDescent="0.25">
      <c r="AG188" s="20" t="s">
        <v>123</v>
      </c>
      <c r="AH188" s="20" t="s">
        <v>174</v>
      </c>
      <c r="AI188" s="20" t="s">
        <v>301</v>
      </c>
      <c r="AJ188" s="7">
        <v>0.23333333333333334</v>
      </c>
      <c r="AK188" s="7">
        <v>0.23333333333333334</v>
      </c>
      <c r="AL188" s="20" t="s">
        <v>44</v>
      </c>
      <c r="AM188" s="20" t="str">
        <f>+TEXT(Carro1[[#This Row],[Column1]],"hh:mm")&amp;" | " &amp;TEXT(Carro1[[#This Row],[Hora Fim]],"hh:mm")</f>
        <v>05:36 | 05:36</v>
      </c>
      <c r="AN188" s="20">
        <f>INDEX($E$3:$AA$3,MATCH(Carro1[[#This Row],[Nó]],$E$1:$AA$1,0))</f>
        <v>7</v>
      </c>
      <c r="AO188" s="7">
        <f>+IF(AND(Carro1[[#This Row],[Nó]]=AI187,Carro1[[#This Row],[Nó]]=AI189),AO187,Carro1[[#This Row],[Hora Início]])</f>
        <v>0.23333333333333334</v>
      </c>
      <c r="AP188" s="20">
        <f t="shared" si="34"/>
        <v>1</v>
      </c>
      <c r="AQ188" s="20" cm="1">
        <f t="array" ref="AQ188">IFERROR(_xlfn.IFS(AP188=AP187,AQ187,AQ187="Ramo",1),AQ187+1)</f>
        <v>12</v>
      </c>
      <c r="AR188" s="20">
        <f t="shared" si="35"/>
        <v>0</v>
      </c>
      <c r="AS188" s="20" t="str">
        <f>IF(AND(Carro1[[#This Row],[Nó]]=AI189,Carro1[[#This Row],[Nó]]=AI190),"",AQ188&amp;"|"&amp;AN188)</f>
        <v>12|7</v>
      </c>
      <c r="AT188" s="20" t="str">
        <f>IF(Carro1[[#This Row],[Tipo]]&lt;&gt;"Deslocação",AQ188&amp;"|"&amp;AN188,"")</f>
        <v/>
      </c>
      <c r="AU188" s="20" t="str">
        <f>IF(Carro1[[#This Row],[Tipo]]="Início",AQ188&amp;"|"&amp;AN188,"")</f>
        <v/>
      </c>
    </row>
    <row r="189" spans="33:47" x14ac:dyDescent="0.25">
      <c r="AG189" s="20" t="s">
        <v>123</v>
      </c>
      <c r="AH189" s="20" t="s">
        <v>174</v>
      </c>
      <c r="AI189" s="20" t="s">
        <v>301</v>
      </c>
      <c r="AJ189" s="7">
        <v>0.23333333333333334</v>
      </c>
      <c r="AK189" s="7">
        <v>0.24027777777777778</v>
      </c>
      <c r="AL189" s="20" t="s">
        <v>43</v>
      </c>
      <c r="AM189" s="20" t="str">
        <f>+TEXT(Carro1[[#This Row],[Column1]],"hh:mm")&amp;" | " &amp;TEXT(Carro1[[#This Row],[Hora Fim]],"hh:mm")</f>
        <v>05:36 | 05:46</v>
      </c>
      <c r="AN189" s="20">
        <f>INDEX($E$3:$AA$3,MATCH(Carro1[[#This Row],[Nó]],$E$1:$AA$1,0))</f>
        <v>7</v>
      </c>
      <c r="AO189" s="7">
        <f>+IF(AND(Carro1[[#This Row],[Nó]]=AI188,Carro1[[#This Row],[Nó]]=AI190),AO188,Carro1[[#This Row],[Hora Início]])</f>
        <v>0.23333333333333334</v>
      </c>
      <c r="AP189" s="20">
        <f t="shared" si="34"/>
        <v>1</v>
      </c>
      <c r="AQ189" s="20" cm="1">
        <f t="array" ref="AQ189">IFERROR(_xlfn.IFS(AP189=AP188,AQ188,AQ188="Ramo",1),AQ188+1)</f>
        <v>12</v>
      </c>
      <c r="AR189" s="20">
        <f t="shared" si="35"/>
        <v>0</v>
      </c>
      <c r="AS189" s="20" t="str">
        <f>IF(AND(Carro1[[#This Row],[Nó]]=AI190,Carro1[[#This Row],[Nó]]=AI191),"",AQ189&amp;"|"&amp;AN189)</f>
        <v>12|7</v>
      </c>
      <c r="AT189" s="20" t="str">
        <f>IF(Carro1[[#This Row],[Tipo]]&lt;&gt;"Deslocação",AQ189&amp;"|"&amp;AN189,"")</f>
        <v>12|7</v>
      </c>
      <c r="AU189" s="20" t="str">
        <f>IF(Carro1[[#This Row],[Tipo]]="Início",AQ189&amp;"|"&amp;AN189,"")</f>
        <v/>
      </c>
    </row>
    <row r="190" spans="33:47" x14ac:dyDescent="0.25">
      <c r="AG190" s="20" t="s">
        <v>123</v>
      </c>
      <c r="AH190" s="20" t="s">
        <v>240</v>
      </c>
      <c r="AI190" s="20" t="s">
        <v>302</v>
      </c>
      <c r="AJ190" s="7">
        <v>0.24444444444444444</v>
      </c>
      <c r="AK190" s="7">
        <v>0.24444444444444444</v>
      </c>
      <c r="AL190" s="20" t="s">
        <v>44</v>
      </c>
      <c r="AM190" s="20" t="str">
        <f>+TEXT(Carro1[[#This Row],[Column1]],"hh:mm")&amp;" | " &amp;TEXT(Carro1[[#This Row],[Hora Fim]],"hh:mm")</f>
        <v>05:52 | 05:52</v>
      </c>
      <c r="AN190" s="20">
        <f>INDEX($E$3:$AA$3,MATCH(Carro1[[#This Row],[Nó]],$E$1:$AA$1,0))</f>
        <v>8</v>
      </c>
      <c r="AO190" s="7">
        <f>+IF(AND(Carro1[[#This Row],[Nó]]=AI189,Carro1[[#This Row],[Nó]]=AI191),AO189,Carro1[[#This Row],[Hora Início]])</f>
        <v>0.24444444444444444</v>
      </c>
      <c r="AP190" s="20">
        <f t="shared" si="34"/>
        <v>1</v>
      </c>
      <c r="AQ190" s="20" cm="1">
        <f t="array" ref="AQ190">IFERROR(_xlfn.IFS(AP190=AP189,AQ189,AQ189="Ramo",1),AQ189+1)</f>
        <v>12</v>
      </c>
      <c r="AR190" s="20">
        <f t="shared" si="35"/>
        <v>0</v>
      </c>
      <c r="AS190" s="20" t="str">
        <f>IF(AND(Carro1[[#This Row],[Nó]]=AI191,Carro1[[#This Row],[Nó]]=AI192),"",AQ190&amp;"|"&amp;AN190)</f>
        <v>12|8</v>
      </c>
      <c r="AT190" s="20" t="str">
        <f>IF(Carro1[[#This Row],[Tipo]]&lt;&gt;"Deslocação",AQ190&amp;"|"&amp;AN190,"")</f>
        <v/>
      </c>
      <c r="AU190" s="20" t="str">
        <f>IF(Carro1[[#This Row],[Tipo]]="Início",AQ190&amp;"|"&amp;AN190,"")</f>
        <v/>
      </c>
    </row>
    <row r="191" spans="33:47" x14ac:dyDescent="0.25">
      <c r="AG191" s="20" t="s">
        <v>123</v>
      </c>
      <c r="AH191" s="20" t="s">
        <v>256</v>
      </c>
      <c r="AI191" s="20" t="s">
        <v>303</v>
      </c>
      <c r="AJ191" s="7">
        <v>0.24861111111111112</v>
      </c>
      <c r="AK191" s="7">
        <v>0.24861111111111112</v>
      </c>
      <c r="AL191" s="20" t="s">
        <v>44</v>
      </c>
      <c r="AM191" s="20" t="str">
        <f>+TEXT(Carro1[[#This Row],[Column1]],"hh:mm")&amp;" | " &amp;TEXT(Carro1[[#This Row],[Hora Fim]],"hh:mm")</f>
        <v>05:58 | 05:58</v>
      </c>
      <c r="AN191" s="20">
        <f>INDEX($E$3:$AA$3,MATCH(Carro1[[#This Row],[Nó]],$E$1:$AA$1,0))</f>
        <v>9</v>
      </c>
      <c r="AO191" s="7">
        <f>+IF(AND(Carro1[[#This Row],[Nó]]=AI190,Carro1[[#This Row],[Nó]]=AI192),AO190,Carro1[[#This Row],[Hora Início]])</f>
        <v>0.24861111111111112</v>
      </c>
      <c r="AP191" s="20">
        <f t="shared" si="34"/>
        <v>1</v>
      </c>
      <c r="AQ191" s="20" cm="1">
        <f t="array" ref="AQ191">IFERROR(_xlfn.IFS(AP191=AP190,AQ190,AQ190="Ramo",1),AQ190+1)</f>
        <v>12</v>
      </c>
      <c r="AR191" s="20">
        <f t="shared" si="35"/>
        <v>0</v>
      </c>
      <c r="AS191" s="20" t="str">
        <f>IF(AND(Carro1[[#This Row],[Nó]]=AI192,Carro1[[#This Row],[Nó]]=AI193),"",AQ191&amp;"|"&amp;AN191)</f>
        <v/>
      </c>
      <c r="AT191" s="20" t="str">
        <f>IF(Carro1[[#This Row],[Tipo]]&lt;&gt;"Deslocação",AQ191&amp;"|"&amp;AN191,"")</f>
        <v/>
      </c>
      <c r="AU191" s="20" t="str">
        <f>IF(Carro1[[#This Row],[Tipo]]="Início",AQ191&amp;"|"&amp;AN191,"")</f>
        <v/>
      </c>
    </row>
    <row r="192" spans="33:47" x14ac:dyDescent="0.25">
      <c r="AG192" s="20" t="s">
        <v>123</v>
      </c>
      <c r="AH192" s="20" t="s">
        <v>256</v>
      </c>
      <c r="AI192" s="20" t="s">
        <v>303</v>
      </c>
      <c r="AJ192" s="7">
        <v>0.24861111111111112</v>
      </c>
      <c r="AK192" s="7">
        <v>0.24861111111111112</v>
      </c>
      <c r="AL192" s="20" t="s">
        <v>44</v>
      </c>
      <c r="AM192" s="20" t="str">
        <f>+TEXT(Carro1[[#This Row],[Column1]],"hh:mm")&amp;" | " &amp;TEXT(Carro1[[#This Row],[Hora Fim]],"hh:mm")</f>
        <v>05:58 | 05:58</v>
      </c>
      <c r="AN192" s="20">
        <f>INDEX($E$3:$AA$3,MATCH(Carro1[[#This Row],[Nó]],$E$1:$AA$1,0))</f>
        <v>9</v>
      </c>
      <c r="AO192" s="7">
        <f>+IF(AND(Carro1[[#This Row],[Nó]]=AI191,Carro1[[#This Row],[Nó]]=AI193),AO191,Carro1[[#This Row],[Hora Início]])</f>
        <v>0.24861111111111112</v>
      </c>
      <c r="AP192" s="20">
        <f t="shared" si="34"/>
        <v>1</v>
      </c>
      <c r="AQ192" s="20" cm="1">
        <f t="array" ref="AQ192">IFERROR(_xlfn.IFS(AP192=AP191,AQ191,AQ191="Ramo",1),AQ191+1)</f>
        <v>12</v>
      </c>
      <c r="AR192" s="20">
        <f t="shared" si="35"/>
        <v>0</v>
      </c>
      <c r="AS192" s="20" t="str">
        <f>IF(AND(Carro1[[#This Row],[Nó]]=AI193,Carro1[[#This Row],[Nó]]=AI194),"",AQ192&amp;"|"&amp;AN192)</f>
        <v>12|9</v>
      </c>
      <c r="AT192" s="20" t="str">
        <f>IF(Carro1[[#This Row],[Tipo]]&lt;&gt;"Deslocação",AQ192&amp;"|"&amp;AN192,"")</f>
        <v/>
      </c>
      <c r="AU192" s="20" t="str">
        <f>IF(Carro1[[#This Row],[Tipo]]="Início",AQ192&amp;"|"&amp;AN192,"")</f>
        <v/>
      </c>
    </row>
    <row r="193" spans="33:47" x14ac:dyDescent="0.25">
      <c r="AG193" s="20" t="s">
        <v>123</v>
      </c>
      <c r="AH193" s="20" t="s">
        <v>256</v>
      </c>
      <c r="AI193" s="20" t="s">
        <v>303</v>
      </c>
      <c r="AJ193" s="7">
        <v>0.24861111111111112</v>
      </c>
      <c r="AK193" s="7">
        <v>0.25555555555555554</v>
      </c>
      <c r="AL193" s="20" t="s">
        <v>43</v>
      </c>
      <c r="AM193" s="20" t="str">
        <f>+TEXT(Carro1[[#This Row],[Column1]],"hh:mm")&amp;" | " &amp;TEXT(Carro1[[#This Row],[Hora Fim]],"hh:mm")</f>
        <v>05:58 | 06:08</v>
      </c>
      <c r="AN193" s="20">
        <f>INDEX($E$3:$AA$3,MATCH(Carro1[[#This Row],[Nó]],$E$1:$AA$1,0))</f>
        <v>9</v>
      </c>
      <c r="AO193" s="7">
        <f>+IF(AND(Carro1[[#This Row],[Nó]]=AI192,Carro1[[#This Row],[Nó]]=AI194),AO192,Carro1[[#This Row],[Hora Início]])</f>
        <v>0.24861111111111112</v>
      </c>
      <c r="AP193" s="20">
        <f t="shared" si="34"/>
        <v>2</v>
      </c>
      <c r="AQ193" s="20" cm="1">
        <f t="array" ref="AQ193">IFERROR(_xlfn.IFS(AP193=AP192,AQ192,AQ192="Ramo",1),AQ192+1)</f>
        <v>13</v>
      </c>
      <c r="AR193" s="20">
        <f t="shared" si="35"/>
        <v>1</v>
      </c>
      <c r="AS193" s="20" t="str">
        <f>IF(AND(Carro1[[#This Row],[Nó]]=AI194,Carro1[[#This Row],[Nó]]=AI195),"",AQ193&amp;"|"&amp;AN193)</f>
        <v>13|9</v>
      </c>
      <c r="AT193" s="20" t="str">
        <f>IF(Carro1[[#This Row],[Tipo]]&lt;&gt;"Deslocação",AQ193&amp;"|"&amp;AN193,"")</f>
        <v>13|9</v>
      </c>
      <c r="AU193" s="20" t="str">
        <f>IF(Carro1[[#This Row],[Tipo]]="Início",AQ193&amp;"|"&amp;AN193,"")</f>
        <v/>
      </c>
    </row>
    <row r="194" spans="33:47" x14ac:dyDescent="0.25">
      <c r="AG194" s="20" t="s">
        <v>123</v>
      </c>
      <c r="AH194" s="20" t="s">
        <v>240</v>
      </c>
      <c r="AI194" s="20" t="s">
        <v>302</v>
      </c>
      <c r="AJ194" s="7">
        <v>0.25972222222222224</v>
      </c>
      <c r="AK194" s="7">
        <v>0.25972222222222224</v>
      </c>
      <c r="AL194" s="20" t="s">
        <v>44</v>
      </c>
      <c r="AM194" s="20" t="str">
        <f>+TEXT(Carro1[[#This Row],[Column1]],"hh:mm")&amp;" | " &amp;TEXT(Carro1[[#This Row],[Hora Fim]],"hh:mm")</f>
        <v>06:14 | 06:14</v>
      </c>
      <c r="AN194" s="20">
        <f>INDEX($E$3:$AA$3,MATCH(Carro1[[#This Row],[Nó]],$E$1:$AA$1,0))</f>
        <v>8</v>
      </c>
      <c r="AO194" s="7">
        <f>+IF(AND(Carro1[[#This Row],[Nó]]=AI193,Carro1[[#This Row],[Nó]]=AI195),AO193,Carro1[[#This Row],[Hora Início]])</f>
        <v>0.25972222222222224</v>
      </c>
      <c r="AP194" s="20">
        <f t="shared" ref="AP194:AP202" si="36">IF(AN194=AN193,IF(AN194&lt;&gt;AN195,IF(AN195&gt;=AN193,1,2),AP193),IF(AN194&gt;=AN193,1,2))</f>
        <v>2</v>
      </c>
      <c r="AQ194" s="20" cm="1">
        <f t="array" ref="AQ194">IFERROR(_xlfn.IFS(AP194=AP193,AQ193,AQ193="Ramo",1),AQ193+1)</f>
        <v>13</v>
      </c>
      <c r="AR194" s="20">
        <f t="shared" ref="AR194:AR257" si="37">IF(AQ194&lt;&gt;AQ193,1,0)</f>
        <v>0</v>
      </c>
      <c r="AS194" s="20" t="str">
        <f>IF(AND(Carro1[[#This Row],[Nó]]=AI195,Carro1[[#This Row],[Nó]]=AI196),"",AQ194&amp;"|"&amp;AN194)</f>
        <v>13|8</v>
      </c>
      <c r="AT194" s="20" t="str">
        <f>IF(Carro1[[#This Row],[Tipo]]&lt;&gt;"Deslocação",AQ194&amp;"|"&amp;AN194,"")</f>
        <v/>
      </c>
      <c r="AU194" s="20" t="str">
        <f>IF(Carro1[[#This Row],[Tipo]]="Início",AQ194&amp;"|"&amp;AN194,"")</f>
        <v/>
      </c>
    </row>
    <row r="195" spans="33:47" x14ac:dyDescent="0.25">
      <c r="AG195" s="20" t="s">
        <v>123</v>
      </c>
      <c r="AH195" s="20" t="s">
        <v>174</v>
      </c>
      <c r="AI195" s="20" t="s">
        <v>301</v>
      </c>
      <c r="AJ195" s="7">
        <v>0.2638888888888889</v>
      </c>
      <c r="AK195" s="7">
        <v>0.2638888888888889</v>
      </c>
      <c r="AL195" s="20" t="s">
        <v>44</v>
      </c>
      <c r="AM195" s="20" t="str">
        <f>+TEXT(Carro1[[#This Row],[Column1]],"hh:mm")&amp;" | " &amp;TEXT(Carro1[[#This Row],[Hora Fim]],"hh:mm")</f>
        <v>06:20 | 06:20</v>
      </c>
      <c r="AN195" s="20">
        <f>INDEX($E$3:$AA$3,MATCH(Carro1[[#This Row],[Nó]],$E$1:$AA$1,0))</f>
        <v>7</v>
      </c>
      <c r="AO195" s="7">
        <f>+IF(AND(Carro1[[#This Row],[Nó]]=AI194,Carro1[[#This Row],[Nó]]=AI196),AO194,Carro1[[#This Row],[Hora Início]])</f>
        <v>0.2638888888888889</v>
      </c>
      <c r="AP195" s="20">
        <f t="shared" si="36"/>
        <v>2</v>
      </c>
      <c r="AQ195" s="20" cm="1">
        <f t="array" ref="AQ195">IFERROR(_xlfn.IFS(AP195=AP194,AQ194,AQ194="Ramo",1),AQ194+1)</f>
        <v>13</v>
      </c>
      <c r="AR195" s="20">
        <f t="shared" si="37"/>
        <v>0</v>
      </c>
      <c r="AS195" s="20" t="str">
        <f>IF(AND(Carro1[[#This Row],[Nó]]=AI196,Carro1[[#This Row],[Nó]]=AI197),"",AQ195&amp;"|"&amp;AN195)</f>
        <v>13|7</v>
      </c>
      <c r="AT195" s="20" t="str">
        <f>IF(Carro1[[#This Row],[Tipo]]&lt;&gt;"Deslocação",AQ195&amp;"|"&amp;AN195,"")</f>
        <v/>
      </c>
      <c r="AU195" s="20" t="str">
        <f>IF(Carro1[[#This Row],[Tipo]]="Início",AQ195&amp;"|"&amp;AN195,"")</f>
        <v/>
      </c>
    </row>
    <row r="196" spans="33:47" x14ac:dyDescent="0.25">
      <c r="AG196" s="20" t="s">
        <v>123</v>
      </c>
      <c r="AH196" s="20" t="s">
        <v>173</v>
      </c>
      <c r="AI196" s="20" t="s">
        <v>300</v>
      </c>
      <c r="AJ196" s="7">
        <v>0.26597222222222222</v>
      </c>
      <c r="AK196" s="7">
        <v>0.26597222222222222</v>
      </c>
      <c r="AL196" s="20" t="s">
        <v>44</v>
      </c>
      <c r="AM196" s="20" t="str">
        <f>+TEXT(Carro1[[#This Row],[Column1]],"hh:mm")&amp;" | " &amp;TEXT(Carro1[[#This Row],[Hora Fim]],"hh:mm")</f>
        <v>06:23 | 06:23</v>
      </c>
      <c r="AN196" s="20">
        <f>INDEX($E$3:$AA$3,MATCH(Carro1[[#This Row],[Nó]],$E$1:$AA$1,0))</f>
        <v>6</v>
      </c>
      <c r="AO196" s="7">
        <f>+IF(AND(Carro1[[#This Row],[Nó]]=AI195,Carro1[[#This Row],[Nó]]=AI197),AO195,Carro1[[#This Row],[Hora Início]])</f>
        <v>0.26597222222222222</v>
      </c>
      <c r="AP196" s="20">
        <f t="shared" si="36"/>
        <v>2</v>
      </c>
      <c r="AQ196" s="20" cm="1">
        <f t="array" ref="AQ196">IFERROR(_xlfn.IFS(AP196=AP195,AQ195,AQ195="Ramo",1),AQ195+1)</f>
        <v>13</v>
      </c>
      <c r="AR196" s="20">
        <f t="shared" si="37"/>
        <v>0</v>
      </c>
      <c r="AS196" s="20" t="str">
        <f>IF(AND(Carro1[[#This Row],[Nó]]=AI197,Carro1[[#This Row],[Nó]]=AI198),"",AQ196&amp;"|"&amp;AN196)</f>
        <v>13|6</v>
      </c>
      <c r="AT196" s="20" t="str">
        <f>IF(Carro1[[#This Row],[Tipo]]&lt;&gt;"Deslocação",AQ196&amp;"|"&amp;AN196,"")</f>
        <v/>
      </c>
      <c r="AU196" s="20" t="str">
        <f>IF(Carro1[[#This Row],[Tipo]]="Início",AQ196&amp;"|"&amp;AN196,"")</f>
        <v/>
      </c>
    </row>
    <row r="197" spans="33:47" x14ac:dyDescent="0.25">
      <c r="AG197" s="20" t="s">
        <v>123</v>
      </c>
      <c r="AH197" s="20" t="s">
        <v>173</v>
      </c>
      <c r="AI197" s="20" t="s">
        <v>300</v>
      </c>
      <c r="AJ197" s="7">
        <v>0.26597222222222222</v>
      </c>
      <c r="AK197" s="7">
        <v>0.26597222222222222</v>
      </c>
      <c r="AL197" s="20" t="s">
        <v>43</v>
      </c>
      <c r="AM197" s="20" t="str">
        <f>+TEXT(Carro1[[#This Row],[Column1]],"hh:mm")&amp;" | " &amp;TEXT(Carro1[[#This Row],[Hora Fim]],"hh:mm")</f>
        <v>06:23 | 06:23</v>
      </c>
      <c r="AN197" s="20">
        <f>INDEX($E$3:$AA$3,MATCH(Carro1[[#This Row],[Nó]],$E$1:$AA$1,0))</f>
        <v>6</v>
      </c>
      <c r="AO197" s="7">
        <f>+IF(AND(Carro1[[#This Row],[Nó]]=AI196,Carro1[[#This Row],[Nó]]=AI198),AO196,Carro1[[#This Row],[Hora Início]])</f>
        <v>0.26597222222222222</v>
      </c>
      <c r="AP197" s="20">
        <f t="shared" si="36"/>
        <v>2</v>
      </c>
      <c r="AQ197" s="20" cm="1">
        <f t="array" ref="AQ197">IFERROR(_xlfn.IFS(AP197=AP196,AQ196,AQ196="Ramo",1),AQ196+1)</f>
        <v>13</v>
      </c>
      <c r="AR197" s="20">
        <f t="shared" si="37"/>
        <v>0</v>
      </c>
      <c r="AS197" s="20" t="str">
        <f>IF(AND(Carro1[[#This Row],[Nó]]=AI198,Carro1[[#This Row],[Nó]]=AI199),"",AQ197&amp;"|"&amp;AN197)</f>
        <v>13|6</v>
      </c>
      <c r="AT197" s="20" t="str">
        <f>IF(Carro1[[#This Row],[Tipo]]&lt;&gt;"Deslocação",AQ197&amp;"|"&amp;AN197,"")</f>
        <v>13|6</v>
      </c>
      <c r="AU197" s="20" t="str">
        <f>IF(Carro1[[#This Row],[Tipo]]="Início",AQ197&amp;"|"&amp;AN197,"")</f>
        <v/>
      </c>
    </row>
    <row r="198" spans="33:47" x14ac:dyDescent="0.25">
      <c r="AG198" s="20" t="s">
        <v>123</v>
      </c>
      <c r="AH198" s="20" t="s">
        <v>172</v>
      </c>
      <c r="AI198" s="20" t="s">
        <v>215</v>
      </c>
      <c r="AJ198" s="7">
        <v>0.26874999999999999</v>
      </c>
      <c r="AK198" s="7">
        <v>0.26874999999999999</v>
      </c>
      <c r="AL198" s="20" t="s">
        <v>44</v>
      </c>
      <c r="AM198" s="20" t="str">
        <f>+TEXT(Carro1[[#This Row],[Column1]],"hh:mm")&amp;" | " &amp;TEXT(Carro1[[#This Row],[Hora Fim]],"hh:mm")</f>
        <v>06:27 | 06:27</v>
      </c>
      <c r="AN198" s="20">
        <f>INDEX($E$3:$AA$3,MATCH(Carro1[[#This Row],[Nó]],$E$1:$AA$1,0))</f>
        <v>5</v>
      </c>
      <c r="AO198" s="7">
        <f>+IF(AND(Carro1[[#This Row],[Nó]]=AI197,Carro1[[#This Row],[Nó]]=AI199),AO197,Carro1[[#This Row],[Hora Início]])</f>
        <v>0.26874999999999999</v>
      </c>
      <c r="AP198" s="20">
        <f t="shared" si="36"/>
        <v>2</v>
      </c>
      <c r="AQ198" s="20" cm="1">
        <f t="array" ref="AQ198">IFERROR(_xlfn.IFS(AP198=AP197,AQ197,AQ197="Ramo",1),AQ197+1)</f>
        <v>13</v>
      </c>
      <c r="AR198" s="20">
        <f t="shared" si="37"/>
        <v>0</v>
      </c>
      <c r="AS198" s="20" t="str">
        <f>IF(AND(Carro1[[#This Row],[Nó]]=AI199,Carro1[[#This Row],[Nó]]=AI200),"",AQ198&amp;"|"&amp;AN198)</f>
        <v>13|5</v>
      </c>
      <c r="AT198" s="20" t="str">
        <f>IF(Carro1[[#This Row],[Tipo]]&lt;&gt;"Deslocação",AQ198&amp;"|"&amp;AN198,"")</f>
        <v/>
      </c>
      <c r="AU198" s="20" t="str">
        <f>IF(Carro1[[#This Row],[Tipo]]="Início",AQ198&amp;"|"&amp;AN198,"")</f>
        <v/>
      </c>
    </row>
    <row r="199" spans="33:47" x14ac:dyDescent="0.25">
      <c r="AG199" s="20" t="s">
        <v>123</v>
      </c>
      <c r="AH199" s="20" t="s">
        <v>172</v>
      </c>
      <c r="AI199" s="20" t="s">
        <v>215</v>
      </c>
      <c r="AJ199" s="7">
        <v>0.26874999999999999</v>
      </c>
      <c r="AK199" s="7">
        <v>0.26874999999999999</v>
      </c>
      <c r="AL199" s="20" t="s">
        <v>43</v>
      </c>
      <c r="AM199" s="20" t="str">
        <f>+TEXT(Carro1[[#This Row],[Column1]],"hh:mm")&amp;" | " &amp;TEXT(Carro1[[#This Row],[Hora Fim]],"hh:mm")</f>
        <v>06:27 | 06:27</v>
      </c>
      <c r="AN199" s="20">
        <f>INDEX($E$3:$AA$3,MATCH(Carro1[[#This Row],[Nó]],$E$1:$AA$1,0))</f>
        <v>5</v>
      </c>
      <c r="AO199" s="7">
        <f>+IF(AND(Carro1[[#This Row],[Nó]]=AI198,Carro1[[#This Row],[Nó]]=AI200),AO198,Carro1[[#This Row],[Hora Início]])</f>
        <v>0.26874999999999999</v>
      </c>
      <c r="AP199" s="20">
        <f t="shared" si="36"/>
        <v>2</v>
      </c>
      <c r="AQ199" s="20" cm="1">
        <f t="array" ref="AQ199">IFERROR(_xlfn.IFS(AP199=AP198,AQ198,AQ198="Ramo",1),AQ198+1)</f>
        <v>13</v>
      </c>
      <c r="AR199" s="20">
        <f t="shared" si="37"/>
        <v>0</v>
      </c>
      <c r="AS199" s="20" t="str">
        <f>IF(AND(Carro1[[#This Row],[Nó]]=AI200,Carro1[[#This Row],[Nó]]=AI201),"",AQ199&amp;"|"&amp;AN199)</f>
        <v>13|5</v>
      </c>
      <c r="AT199" s="20" t="str">
        <f>IF(Carro1[[#This Row],[Tipo]]&lt;&gt;"Deslocação",AQ199&amp;"|"&amp;AN199,"")</f>
        <v>13|5</v>
      </c>
      <c r="AU199" s="20" t="str">
        <f>IF(Carro1[[#This Row],[Tipo]]="Início",AQ199&amp;"|"&amp;AN199,"")</f>
        <v/>
      </c>
    </row>
    <row r="200" spans="33:47" x14ac:dyDescent="0.25">
      <c r="AG200" s="20" t="s">
        <v>123</v>
      </c>
      <c r="AH200" s="20" t="s">
        <v>125</v>
      </c>
      <c r="AI200" s="20" t="s">
        <v>2</v>
      </c>
      <c r="AJ200" s="7">
        <v>0.27083333333333331</v>
      </c>
      <c r="AK200" s="7">
        <v>0.27083333333333331</v>
      </c>
      <c r="AL200" s="20" t="s">
        <v>44</v>
      </c>
      <c r="AM200" s="20" t="str">
        <f>+TEXT(Carro1[[#This Row],[Column1]],"hh:mm")&amp;" | " &amp;TEXT(Carro1[[#This Row],[Hora Fim]],"hh:mm")</f>
        <v>06:30 | 06:30</v>
      </c>
      <c r="AN200" s="20">
        <f>INDEX($E$3:$AA$3,MATCH(Carro1[[#This Row],[Nó]],$E$1:$AA$1,0))</f>
        <v>4</v>
      </c>
      <c r="AO200" s="7">
        <f>+IF(AND(Carro1[[#This Row],[Nó]]=AI199,Carro1[[#This Row],[Nó]]=AI201),AO199,Carro1[[#This Row],[Hora Início]])</f>
        <v>0.27083333333333331</v>
      </c>
      <c r="AP200" s="20">
        <f t="shared" si="36"/>
        <v>2</v>
      </c>
      <c r="AQ200" s="20" cm="1">
        <f t="array" ref="AQ200">IFERROR(_xlfn.IFS(AP200=AP199,AQ199,AQ199="Ramo",1),AQ199+1)</f>
        <v>13</v>
      </c>
      <c r="AR200" s="20">
        <f t="shared" si="37"/>
        <v>0</v>
      </c>
      <c r="AS200" s="20" t="str">
        <f>IF(AND(Carro1[[#This Row],[Nó]]=AI201,Carro1[[#This Row],[Nó]]=AI202),"",AQ200&amp;"|"&amp;AN200)</f>
        <v/>
      </c>
      <c r="AT200" s="20" t="str">
        <f>IF(Carro1[[#This Row],[Tipo]]&lt;&gt;"Deslocação",AQ200&amp;"|"&amp;AN200,"")</f>
        <v/>
      </c>
      <c r="AU200" s="20" t="str">
        <f>IF(Carro1[[#This Row],[Tipo]]="Início",AQ200&amp;"|"&amp;AN200,"")</f>
        <v/>
      </c>
    </row>
    <row r="201" spans="33:47" x14ac:dyDescent="0.25">
      <c r="AG201" s="20" t="s">
        <v>123</v>
      </c>
      <c r="AH201" s="20" t="s">
        <v>125</v>
      </c>
      <c r="AI201" s="20" t="s">
        <v>2</v>
      </c>
      <c r="AJ201" s="7">
        <v>0.27083333333333331</v>
      </c>
      <c r="AK201" s="7">
        <v>0.29166666666666669</v>
      </c>
      <c r="AL201" s="20" t="s">
        <v>45</v>
      </c>
      <c r="AM201" s="20" t="str">
        <f>+TEXT(Carro1[[#This Row],[Column1]],"hh:mm")&amp;" | " &amp;TEXT(Carro1[[#This Row],[Hora Fim]],"hh:mm")</f>
        <v>06:30 | 07:00</v>
      </c>
      <c r="AN201" s="20">
        <f>INDEX($E$3:$AA$3,MATCH(Carro1[[#This Row],[Nó]],$E$1:$AA$1,0))</f>
        <v>4</v>
      </c>
      <c r="AO201" s="7">
        <f>+IF(AND(Carro1[[#This Row],[Nó]]=AI200,Carro1[[#This Row],[Nó]]=AI202),AO200,Carro1[[#This Row],[Hora Início]])</f>
        <v>0.27083333333333331</v>
      </c>
      <c r="AP201" s="20">
        <f t="shared" si="36"/>
        <v>2</v>
      </c>
      <c r="AQ201" s="20" cm="1">
        <f t="array" ref="AQ201">IFERROR(_xlfn.IFS(AP201=AP200,AQ200,AQ200="Ramo",1),AQ200+1)</f>
        <v>13</v>
      </c>
      <c r="AR201" s="20">
        <f t="shared" si="37"/>
        <v>0</v>
      </c>
      <c r="AS201" s="20" t="str">
        <f>IF(AND(Carro1[[#This Row],[Nó]]=AI202,Carro1[[#This Row],[Nó]]=AI203),"",AQ201&amp;"|"&amp;AN201)</f>
        <v>13|4</v>
      </c>
      <c r="AT201" s="20" t="str">
        <f>IF(Carro1[[#This Row],[Tipo]]&lt;&gt;"Deslocação",AQ201&amp;"|"&amp;AN201,"")</f>
        <v>13|4</v>
      </c>
      <c r="AU201" s="20" t="str">
        <f>IF(Carro1[[#This Row],[Tipo]]="Início",AQ201&amp;"|"&amp;AN201,"")</f>
        <v/>
      </c>
    </row>
    <row r="202" spans="33:47" x14ac:dyDescent="0.25">
      <c r="AG202" s="20" t="s">
        <v>123</v>
      </c>
      <c r="AH202" s="20" t="s">
        <v>125</v>
      </c>
      <c r="AI202" s="20" t="s">
        <v>2</v>
      </c>
      <c r="AJ202" s="7">
        <v>0.29166666666666669</v>
      </c>
      <c r="AK202" s="7">
        <v>0.29166666666666669</v>
      </c>
      <c r="AL202" s="20" t="s">
        <v>44</v>
      </c>
      <c r="AM202" s="20" t="str">
        <f>+TEXT(Carro1[[#This Row],[Column1]],"hh:mm")&amp;" | " &amp;TEXT(Carro1[[#This Row],[Hora Fim]],"hh:mm")</f>
        <v>07:00 | 07:00</v>
      </c>
      <c r="AN202" s="20">
        <f>INDEX($E$3:$AA$3,MATCH(Carro1[[#This Row],[Nó]],$E$1:$AA$1,0))</f>
        <v>4</v>
      </c>
      <c r="AO202" s="7">
        <f>+IF(AND(Carro1[[#This Row],[Nó]]=AI201,Carro1[[#This Row],[Nó]]=AI203),AO201,Carro1[[#This Row],[Hora Início]])</f>
        <v>0.29166666666666669</v>
      </c>
      <c r="AP202" s="20">
        <f t="shared" si="36"/>
        <v>2</v>
      </c>
      <c r="AQ202" s="20" cm="1">
        <f t="array" ref="AQ202">IFERROR(_xlfn.IFS(AP202=AP201,AQ201,AQ201="Ramo",1),AQ201+1)</f>
        <v>13</v>
      </c>
      <c r="AR202" s="20">
        <f t="shared" si="37"/>
        <v>0</v>
      </c>
      <c r="AS202" s="20" t="str">
        <f>IF(AND(Carro1[[#This Row],[Nó]]=AI203,Carro1[[#This Row],[Nó]]=AI204),"",AQ202&amp;"|"&amp;AN202)</f>
        <v>13|4</v>
      </c>
      <c r="AT202" s="20" t="str">
        <f>IF(Carro1[[#This Row],[Tipo]]&lt;&gt;"Deslocação",AQ202&amp;"|"&amp;AN202,"")</f>
        <v/>
      </c>
      <c r="AU202" s="20" t="str">
        <f>IF(Carro1[[#This Row],[Tipo]]="Início",AQ202&amp;"|"&amp;AN202,"")</f>
        <v/>
      </c>
    </row>
  </sheetData>
  <phoneticPr fontId="8" type="noConversion"/>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86" t="s">
        <v>104</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row>
    <row r="2" spans="1:37" ht="15" customHeight="1"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37" ht="15" customHeight="1"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5" spans="1:37" x14ac:dyDescent="0.25">
      <c r="B5" s="5" t="s">
        <v>90</v>
      </c>
      <c r="C5" s="5" t="s">
        <v>7</v>
      </c>
      <c r="D5" s="5" t="s">
        <v>40</v>
      </c>
      <c r="E5" s="5" t="s">
        <v>41</v>
      </c>
      <c r="F5" s="5" t="s">
        <v>3</v>
      </c>
      <c r="G5" s="5" t="s">
        <v>93</v>
      </c>
      <c r="H5" s="5" t="s">
        <v>94</v>
      </c>
      <c r="I5" s="5" t="s">
        <v>95</v>
      </c>
      <c r="J5" s="5" t="s">
        <v>81</v>
      </c>
      <c r="O5" s="5" t="s">
        <v>39</v>
      </c>
      <c r="P5" s="5" t="s">
        <v>7</v>
      </c>
      <c r="Q5" s="19" t="s">
        <v>89</v>
      </c>
      <c r="R5"/>
      <c r="S5" s="5" t="s">
        <v>91</v>
      </c>
      <c r="T5" s="5" t="s">
        <v>92</v>
      </c>
    </row>
    <row r="6" spans="1:37" x14ac:dyDescent="0.25">
      <c r="B6">
        <v>1</v>
      </c>
      <c r="C6" s="20" t="s">
        <v>27</v>
      </c>
      <c r="D6">
        <v>0</v>
      </c>
      <c r="E6">
        <v>0</v>
      </c>
      <c r="F6" s="20" t="s">
        <v>42</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16</v>
      </c>
      <c r="Q6" s="22" t="e">
        <f>AVERAGEIFS(detalhe_carro2[Tempo],detalhe_carro2[Numero Voltas],O6,detalhe_carro2[Nó],P6,detalhe_carro2[Chegada],1)/60</f>
        <v>#DIV/0!</v>
      </c>
      <c r="R6"/>
      <c r="S6">
        <v>1</v>
      </c>
      <c r="T6" s="20">
        <v>8.8699999999999992</v>
      </c>
    </row>
    <row r="7" spans="1:37" x14ac:dyDescent="0.25">
      <c r="B7">
        <v>1</v>
      </c>
      <c r="C7" s="20" t="s">
        <v>27</v>
      </c>
      <c r="D7">
        <v>2</v>
      </c>
      <c r="E7">
        <v>15</v>
      </c>
      <c r="F7" s="20" t="s">
        <v>43</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18</v>
      </c>
      <c r="Q7" s="22">
        <f>AVERAGEIFS(detalhe_carro2[Tempo],detalhe_carro2[Numero Voltas],O7,detalhe_carro2[Nó],P7,detalhe_carro2[Chegada],1)/60</f>
        <v>0.35</v>
      </c>
      <c r="R7"/>
      <c r="S7">
        <v>2</v>
      </c>
      <c r="T7" s="20">
        <v>8.85</v>
      </c>
    </row>
    <row r="8" spans="1:37" x14ac:dyDescent="0.25">
      <c r="B8">
        <v>1</v>
      </c>
      <c r="C8" s="20" t="s">
        <v>27</v>
      </c>
      <c r="D8">
        <v>15</v>
      </c>
      <c r="E8">
        <v>15</v>
      </c>
      <c r="F8" s="20" t="s">
        <v>44</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20</v>
      </c>
      <c r="Q8" s="22">
        <f>AVERAGEIFS(detalhe_carro2[Tempo],detalhe_carro2[Numero Voltas],O8,detalhe_carro2[Nó],P8,detalhe_carro2[Chegada],1)/60</f>
        <v>0.58333333333333337</v>
      </c>
      <c r="R8"/>
      <c r="S8">
        <v>3</v>
      </c>
      <c r="T8" s="20">
        <v>8.81</v>
      </c>
    </row>
    <row r="9" spans="1:37" x14ac:dyDescent="0.25">
      <c r="B9">
        <v>1</v>
      </c>
      <c r="C9" s="20" t="s">
        <v>25</v>
      </c>
      <c r="D9">
        <v>19</v>
      </c>
      <c r="E9">
        <v>28</v>
      </c>
      <c r="F9" s="20" t="s">
        <v>43</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22</v>
      </c>
      <c r="Q9" s="22">
        <f>AVERAGEIFS(detalhe_carro2[Tempo],detalhe_carro2[Numero Voltas],O9,detalhe_carro2[Nó],P9,detalhe_carro2[Chegada],1)/60</f>
        <v>1.45</v>
      </c>
      <c r="R9"/>
      <c r="S9">
        <v>4</v>
      </c>
      <c r="T9" s="20">
        <v>8.2899999999999991</v>
      </c>
    </row>
    <row r="10" spans="1:37" x14ac:dyDescent="0.25">
      <c r="B10">
        <v>1</v>
      </c>
      <c r="C10" s="20" t="s">
        <v>25</v>
      </c>
      <c r="D10">
        <v>28</v>
      </c>
      <c r="E10">
        <v>28</v>
      </c>
      <c r="F10" s="20" t="s">
        <v>44</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23</v>
      </c>
      <c r="Q10" s="22">
        <f>AVERAGEIFS(detalhe_carro2[Tempo],detalhe_carro2[Numero Voltas],O10,detalhe_carro2[Nó],P10,detalhe_carro2[Chegada],1)/60</f>
        <v>1.85</v>
      </c>
      <c r="R10"/>
      <c r="S10"/>
      <c r="T10"/>
    </row>
    <row r="11" spans="1:37" x14ac:dyDescent="0.25">
      <c r="B11">
        <v>1</v>
      </c>
      <c r="C11" s="20" t="s">
        <v>24</v>
      </c>
      <c r="D11">
        <v>32</v>
      </c>
      <c r="E11">
        <v>60</v>
      </c>
      <c r="F11" s="20" t="s">
        <v>43</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24</v>
      </c>
      <c r="Q11" s="22">
        <f>AVERAGEIFS(detalhe_carro2[Tempo],detalhe_carro2[Numero Voltas],O11,detalhe_carro2[Nó],P11,detalhe_carro2[Chegada],1)/60</f>
        <v>2.35</v>
      </c>
      <c r="R11"/>
      <c r="S11"/>
      <c r="T11"/>
    </row>
    <row r="12" spans="1:37" x14ac:dyDescent="0.25">
      <c r="B12">
        <v>1</v>
      </c>
      <c r="C12" s="20" t="s">
        <v>24</v>
      </c>
      <c r="D12">
        <v>60</v>
      </c>
      <c r="E12">
        <v>60</v>
      </c>
      <c r="F12" s="20" t="s">
        <v>44</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25</v>
      </c>
      <c r="Q12" s="22">
        <f>AVERAGEIFS(detalhe_carro2[Tempo],detalhe_carro2[Numero Voltas],O12,detalhe_carro2[Nó],P12,detalhe_carro2[Chegada],1)/60</f>
        <v>3.5666666666666669</v>
      </c>
      <c r="R12"/>
      <c r="S12"/>
      <c r="T12"/>
    </row>
    <row r="13" spans="1:37" x14ac:dyDescent="0.25">
      <c r="B13">
        <v>1</v>
      </c>
      <c r="C13" s="20" t="s">
        <v>23</v>
      </c>
      <c r="D13">
        <v>62</v>
      </c>
      <c r="E13">
        <v>75</v>
      </c>
      <c r="F13" s="20" t="s">
        <v>43</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27</v>
      </c>
      <c r="Q13" s="22">
        <f>AVERAGEIFS(detalhe_carro2[Tempo],detalhe_carro2[Numero Voltas],O13,detalhe_carro2[Nó],P13,detalhe_carro2[Chegada],1)/60</f>
        <v>4.8</v>
      </c>
      <c r="R13"/>
      <c r="S13"/>
      <c r="T13"/>
    </row>
    <row r="14" spans="1:37" x14ac:dyDescent="0.25">
      <c r="B14">
        <v>1</v>
      </c>
      <c r="C14" s="20" t="s">
        <v>23</v>
      </c>
      <c r="D14">
        <v>75</v>
      </c>
      <c r="E14">
        <v>75</v>
      </c>
      <c r="F14" s="20" t="s">
        <v>44</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16</v>
      </c>
      <c r="Q14" s="28">
        <f>AVERAGEIFS(detalhe_carro2[Tempo],detalhe_carro2[Numero Voltas],O14,detalhe_carro2[Nó],P14,detalhe_carro2[Chegada],1)/60</f>
        <v>1.95</v>
      </c>
      <c r="R14"/>
      <c r="S14"/>
      <c r="T14"/>
    </row>
    <row r="15" spans="1:37" x14ac:dyDescent="0.25">
      <c r="B15">
        <v>1</v>
      </c>
      <c r="C15" s="20" t="s">
        <v>22</v>
      </c>
      <c r="D15">
        <v>77</v>
      </c>
      <c r="E15">
        <v>87</v>
      </c>
      <c r="F15" s="20" t="s">
        <v>43</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18</v>
      </c>
      <c r="Q15" s="24">
        <f>AVERAGEIFS(detalhe_carro2[Tempo],detalhe_carro2[Numero Voltas],O15,detalhe_carro2[Nó],P15,detalhe_carro2[Chegada],1)/60</f>
        <v>0.75</v>
      </c>
      <c r="R15"/>
      <c r="S15"/>
      <c r="T15"/>
    </row>
    <row r="16" spans="1:37" x14ac:dyDescent="0.25">
      <c r="B16">
        <v>1</v>
      </c>
      <c r="C16" s="20" t="s">
        <v>22</v>
      </c>
      <c r="D16">
        <v>87</v>
      </c>
      <c r="E16">
        <v>87</v>
      </c>
      <c r="F16" s="20" t="s">
        <v>44</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20</v>
      </c>
      <c r="Q16" s="24">
        <f>AVERAGEIFS(detalhe_carro2[Tempo],detalhe_carro2[Numero Voltas],O16,detalhe_carro2[Nó],P16,detalhe_carro2[Chegada],1)/60</f>
        <v>0.75</v>
      </c>
      <c r="R16"/>
      <c r="S16"/>
      <c r="T16"/>
    </row>
    <row r="17" spans="2:20" x14ac:dyDescent="0.25">
      <c r="B17">
        <v>1</v>
      </c>
      <c r="C17" s="20" t="s">
        <v>20</v>
      </c>
      <c r="D17">
        <v>103</v>
      </c>
      <c r="E17">
        <v>123</v>
      </c>
      <c r="F17" s="20" t="s">
        <v>47</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22</v>
      </c>
      <c r="Q17" s="24">
        <f>AVERAGEIFS(detalhe_carro2[Tempo],detalhe_carro2[Numero Voltas],O17,detalhe_carro2[Nó],P17,detalhe_carro2[Chegada],1)/60</f>
        <v>0.98333333333333328</v>
      </c>
      <c r="R17"/>
      <c r="S17"/>
      <c r="T17"/>
    </row>
    <row r="18" spans="2:20" x14ac:dyDescent="0.25">
      <c r="B18">
        <v>1</v>
      </c>
      <c r="C18" s="20" t="s">
        <v>20</v>
      </c>
      <c r="D18">
        <v>109</v>
      </c>
      <c r="E18">
        <v>123</v>
      </c>
      <c r="F18" s="20" t="s">
        <v>43</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23</v>
      </c>
      <c r="Q18" s="24">
        <f>AVERAGEIFS(detalhe_carro2[Tempo],detalhe_carro2[Numero Voltas],O18,detalhe_carro2[Nó],P18,detalhe_carro2[Chegada],1)/60</f>
        <v>1.0444444444444445</v>
      </c>
      <c r="R18"/>
      <c r="S18"/>
      <c r="T18"/>
    </row>
    <row r="19" spans="2:20" x14ac:dyDescent="0.25">
      <c r="B19">
        <v>1</v>
      </c>
      <c r="C19" s="20" t="s">
        <v>20</v>
      </c>
      <c r="D19">
        <v>123</v>
      </c>
      <c r="E19">
        <v>123</v>
      </c>
      <c r="F19" s="20" t="s">
        <v>44</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24</v>
      </c>
      <c r="Q19" s="24">
        <f>AVERAGEIFS(detalhe_carro2[Tempo],detalhe_carro2[Numero Voltas],O19,detalhe_carro2[Nó],P19,detalhe_carro2[Chegada],1)/60</f>
        <v>1.0555555555555556</v>
      </c>
      <c r="R19"/>
      <c r="S19"/>
      <c r="T19"/>
    </row>
    <row r="20" spans="2:20" x14ac:dyDescent="0.25">
      <c r="B20">
        <v>1</v>
      </c>
      <c r="C20" s="20" t="s">
        <v>18</v>
      </c>
      <c r="D20">
        <v>125</v>
      </c>
      <c r="E20">
        <v>130</v>
      </c>
      <c r="F20" s="20" t="s">
        <v>43</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25</v>
      </c>
      <c r="Q20" s="24">
        <f>AVERAGEIFS(detalhe_carro2[Tempo],detalhe_carro2[Numero Voltas],O20,detalhe_carro2[Nó],P20,detalhe_carro2[Chegada],1)/60</f>
        <v>1.3611111111111112</v>
      </c>
      <c r="R20"/>
      <c r="S20"/>
      <c r="T20"/>
    </row>
    <row r="21" spans="2:20" x14ac:dyDescent="0.25">
      <c r="B21">
        <v>1</v>
      </c>
      <c r="C21" s="20" t="s">
        <v>18</v>
      </c>
      <c r="D21">
        <v>130</v>
      </c>
      <c r="E21">
        <v>130</v>
      </c>
      <c r="F21" s="20" t="s">
        <v>44</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27</v>
      </c>
      <c r="Q21" s="26">
        <f>AVERAGEIFS(detalhe_carro2[Tempo],detalhe_carro2[Numero Voltas],O21,detalhe_carro2[Nó],P21,detalhe_carro2[Chegada],1)/60</f>
        <v>2.2416666666666667</v>
      </c>
      <c r="R21"/>
      <c r="S21"/>
      <c r="T21"/>
    </row>
    <row r="22" spans="2:20" x14ac:dyDescent="0.25">
      <c r="B22">
        <v>1</v>
      </c>
      <c r="C22" s="20" t="s">
        <v>16</v>
      </c>
      <c r="D22">
        <v>132</v>
      </c>
      <c r="E22">
        <v>132</v>
      </c>
      <c r="F22" s="20" t="s">
        <v>44</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16</v>
      </c>
      <c r="Q22" s="22">
        <f>AVERAGEIFS(detalhe_carro2[Tempo],detalhe_carro2[Numero Voltas],O22,detalhe_carro2[Nó],P22,detalhe_carro2[Chegada],1)/60</f>
        <v>1.7916666666666667</v>
      </c>
      <c r="R22"/>
      <c r="S22"/>
      <c r="T22"/>
    </row>
    <row r="23" spans="2:20" x14ac:dyDescent="0.25">
      <c r="B23">
        <v>1</v>
      </c>
      <c r="C23" s="20" t="s">
        <v>16</v>
      </c>
      <c r="D23">
        <v>134</v>
      </c>
      <c r="E23">
        <v>149</v>
      </c>
      <c r="F23" s="20" t="s">
        <v>43</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18</v>
      </c>
      <c r="Q23" s="22">
        <f>AVERAGEIFS(detalhe_carro2[Tempo],detalhe_carro2[Numero Voltas],O23,detalhe_carro2[Nó],P23,detalhe_carro2[Chegada],1)/60</f>
        <v>0.78333333333333333</v>
      </c>
      <c r="R23"/>
      <c r="S23"/>
      <c r="T23"/>
    </row>
    <row r="24" spans="2:20" x14ac:dyDescent="0.25">
      <c r="B24">
        <v>1</v>
      </c>
      <c r="C24" s="20" t="s">
        <v>16</v>
      </c>
      <c r="D24">
        <v>149</v>
      </c>
      <c r="E24">
        <v>149</v>
      </c>
      <c r="F24" s="20" t="s">
        <v>44</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20</v>
      </c>
      <c r="Q24" s="22">
        <f>AVERAGEIFS(detalhe_carro2[Tempo],detalhe_carro2[Numero Voltas],O24,detalhe_carro2[Nó],P24,detalhe_carro2[Chegada],1)/60</f>
        <v>0.78333333333333333</v>
      </c>
      <c r="R24"/>
      <c r="S24"/>
      <c r="T24"/>
    </row>
    <row r="25" spans="2:20" x14ac:dyDescent="0.25">
      <c r="B25">
        <v>1</v>
      </c>
      <c r="C25" s="20" t="s">
        <v>18</v>
      </c>
      <c r="D25">
        <v>151</v>
      </c>
      <c r="E25">
        <v>156</v>
      </c>
      <c r="F25" s="20" t="s">
        <v>43</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22</v>
      </c>
      <c r="Q25" s="22">
        <f>AVERAGEIFS(detalhe_carro2[Tempo],detalhe_carro2[Numero Voltas],O25,detalhe_carro2[Nó],P25,detalhe_carro2[Chegada],1)/60</f>
        <v>0.72333333333333327</v>
      </c>
      <c r="R25"/>
      <c r="S25"/>
      <c r="T25"/>
    </row>
    <row r="26" spans="2:20" x14ac:dyDescent="0.25">
      <c r="B26">
        <v>1</v>
      </c>
      <c r="C26" s="20" t="s">
        <v>18</v>
      </c>
      <c r="D26">
        <v>156</v>
      </c>
      <c r="E26">
        <v>156</v>
      </c>
      <c r="F26" s="20" t="s">
        <v>44</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23</v>
      </c>
      <c r="Q26" s="22">
        <f>AVERAGEIFS(detalhe_carro2[Tempo],detalhe_carro2[Numero Voltas],O26,detalhe_carro2[Nó],P26,detalhe_carro2[Chegada],1)/60</f>
        <v>0.96000000000000008</v>
      </c>
      <c r="R26"/>
      <c r="S26"/>
      <c r="T26"/>
    </row>
    <row r="27" spans="2:20" x14ac:dyDescent="0.25">
      <c r="B27">
        <v>1</v>
      </c>
      <c r="C27" s="20" t="s">
        <v>20</v>
      </c>
      <c r="D27">
        <v>158</v>
      </c>
      <c r="E27">
        <v>172</v>
      </c>
      <c r="F27" s="20" t="s">
        <v>43</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24</v>
      </c>
      <c r="Q27" s="22">
        <f>AVERAGEIFS(detalhe_carro2[Tempo],detalhe_carro2[Numero Voltas],O27,detalhe_carro2[Nó],P27,detalhe_carro2[Chegada],1)/60</f>
        <v>0.96666666666666667</v>
      </c>
      <c r="R27"/>
      <c r="S27"/>
      <c r="T27"/>
    </row>
    <row r="28" spans="2:20" x14ac:dyDescent="0.25">
      <c r="B28">
        <v>1</v>
      </c>
      <c r="C28" s="20" t="s">
        <v>20</v>
      </c>
      <c r="D28">
        <v>172</v>
      </c>
      <c r="E28">
        <v>172</v>
      </c>
      <c r="F28" s="20" t="s">
        <v>44</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25</v>
      </c>
      <c r="Q28" s="22">
        <f>AVERAGEIFS(detalhe_carro2[Tempo],detalhe_carro2[Numero Voltas],O28,detalhe_carro2[Nó],P28,detalhe_carro2[Chegada],1)/60</f>
        <v>1.1499999999999999</v>
      </c>
      <c r="R28"/>
      <c r="S28"/>
      <c r="T28"/>
    </row>
    <row r="29" spans="2:20" x14ac:dyDescent="0.25">
      <c r="B29">
        <v>1</v>
      </c>
      <c r="C29" s="20" t="s">
        <v>22</v>
      </c>
      <c r="D29">
        <v>174</v>
      </c>
      <c r="E29">
        <v>184</v>
      </c>
      <c r="F29" s="20" t="s">
        <v>43</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27</v>
      </c>
      <c r="Q29" s="22">
        <f>AVERAGEIFS(detalhe_carro2[Tempo],detalhe_carro2[Numero Voltas],O29,detalhe_carro2[Nó],P29,detalhe_carro2[Chegada],1)/60</f>
        <v>2.0388888888888888</v>
      </c>
      <c r="R29"/>
      <c r="S29"/>
      <c r="T29"/>
    </row>
    <row r="30" spans="2:20" x14ac:dyDescent="0.25">
      <c r="B30">
        <v>1</v>
      </c>
      <c r="C30" s="20" t="s">
        <v>22</v>
      </c>
      <c r="D30">
        <v>184</v>
      </c>
      <c r="E30">
        <v>184</v>
      </c>
      <c r="F30" s="20" t="s">
        <v>44</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16</v>
      </c>
      <c r="Q30" s="28">
        <f>AVERAGEIFS(detalhe_carro2[Tempo],detalhe_carro2[Numero Voltas],O30,detalhe_carro2[Nó],P30,detalhe_carro2[Chegada],1)/60</f>
        <v>1.4055555555555554</v>
      </c>
      <c r="R30"/>
      <c r="S30"/>
      <c r="T30"/>
    </row>
    <row r="31" spans="2:20" x14ac:dyDescent="0.25">
      <c r="B31">
        <v>1</v>
      </c>
      <c r="C31" s="20" t="s">
        <v>23</v>
      </c>
      <c r="D31">
        <v>186</v>
      </c>
      <c r="E31">
        <v>199</v>
      </c>
      <c r="F31" s="20" t="s">
        <v>43</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18</v>
      </c>
      <c r="Q31" s="24">
        <f>AVERAGEIFS(detalhe_carro2[Tempo],detalhe_carro2[Numero Voltas],O31,detalhe_carro2[Nó],P31,detalhe_carro2[Chegada],1)/60</f>
        <v>0.65476190476190477</v>
      </c>
      <c r="R31"/>
      <c r="S31"/>
      <c r="T31"/>
    </row>
    <row r="32" spans="2:20" x14ac:dyDescent="0.25">
      <c r="B32">
        <v>1</v>
      </c>
      <c r="C32" s="20" t="s">
        <v>23</v>
      </c>
      <c r="D32">
        <v>199</v>
      </c>
      <c r="E32">
        <v>199</v>
      </c>
      <c r="F32" s="20" t="s">
        <v>44</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20</v>
      </c>
      <c r="Q32" s="24">
        <f>AVERAGEIFS(detalhe_carro2[Tempo],detalhe_carro2[Numero Voltas],O32,detalhe_carro2[Nó],P32,detalhe_carro2[Chegada],1)/60</f>
        <v>0.65476190476190477</v>
      </c>
      <c r="R32"/>
      <c r="S32"/>
      <c r="T32"/>
    </row>
    <row r="33" spans="2:20" x14ac:dyDescent="0.25">
      <c r="B33">
        <v>1</v>
      </c>
      <c r="C33" s="20" t="s">
        <v>24</v>
      </c>
      <c r="D33">
        <v>201</v>
      </c>
      <c r="E33">
        <v>229</v>
      </c>
      <c r="F33" s="20" t="s">
        <v>43</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22</v>
      </c>
      <c r="Q33" s="24">
        <f>AVERAGEIFS(detalhe_carro2[Tempo],detalhe_carro2[Numero Voltas],O33,detalhe_carro2[Nó],P33,detalhe_carro2[Chegada],1)/60</f>
        <v>0.61190476190476195</v>
      </c>
      <c r="R33"/>
      <c r="S33"/>
      <c r="T33"/>
    </row>
    <row r="34" spans="2:20" x14ac:dyDescent="0.25">
      <c r="B34">
        <v>1</v>
      </c>
      <c r="C34" s="20" t="s">
        <v>24</v>
      </c>
      <c r="D34">
        <v>229</v>
      </c>
      <c r="E34">
        <v>229</v>
      </c>
      <c r="F34" s="20" t="s">
        <v>44</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23</v>
      </c>
      <c r="Q34" s="24">
        <f>AVERAGEIFS(detalhe_carro2[Tempo],detalhe_carro2[Numero Voltas],O34,detalhe_carro2[Nó],P34,detalhe_carro2[Chegada],1)/60</f>
        <v>0.78095238095238095</v>
      </c>
      <c r="R34"/>
      <c r="S34"/>
      <c r="T34"/>
    </row>
    <row r="35" spans="2:20" x14ac:dyDescent="0.25">
      <c r="B35">
        <v>1</v>
      </c>
      <c r="C35" s="20" t="s">
        <v>25</v>
      </c>
      <c r="D35">
        <v>242</v>
      </c>
      <c r="E35">
        <v>270</v>
      </c>
      <c r="F35" s="20" t="s">
        <v>45</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24</v>
      </c>
      <c r="Q35" s="24">
        <f>AVERAGEIFS(detalhe_carro2[Tempo],detalhe_carro2[Numero Voltas],O35,detalhe_carro2[Nó],P35,detalhe_carro2[Chegada],1)/60</f>
        <v>0.78571428571428581</v>
      </c>
      <c r="R35"/>
      <c r="S35"/>
      <c r="T35"/>
    </row>
    <row r="36" spans="2:20" x14ac:dyDescent="0.25">
      <c r="B36">
        <v>1</v>
      </c>
      <c r="C36" s="20" t="s">
        <v>25</v>
      </c>
      <c r="D36">
        <v>261</v>
      </c>
      <c r="E36">
        <v>270</v>
      </c>
      <c r="F36" s="20" t="s">
        <v>43</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25</v>
      </c>
      <c r="Q36" s="24">
        <f>AVERAGEIFS(detalhe_carro2[Tempo],detalhe_carro2[Numero Voltas],O36,detalhe_carro2[Nó],P36,detalhe_carro2[Chegada],1)/60</f>
        <v>0.91666666666666663</v>
      </c>
      <c r="R36"/>
      <c r="S36"/>
      <c r="T36"/>
    </row>
    <row r="37" spans="2:20" x14ac:dyDescent="0.25">
      <c r="B37">
        <v>1</v>
      </c>
      <c r="C37" s="20" t="s">
        <v>25</v>
      </c>
      <c r="D37">
        <v>270</v>
      </c>
      <c r="E37">
        <v>299</v>
      </c>
      <c r="F37" s="20" t="s">
        <v>45</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27</v>
      </c>
      <c r="Q37" s="26">
        <f>AVERAGEIFS(detalhe_carro2[Tempo],detalhe_carro2[Numero Voltas],O37,detalhe_carro2[Nó],P37,detalhe_carro2[Chegada],1)/60</f>
        <v>1.6875</v>
      </c>
      <c r="R37"/>
      <c r="S37"/>
      <c r="T37"/>
    </row>
    <row r="38" spans="2:20" x14ac:dyDescent="0.25">
      <c r="B38">
        <v>1</v>
      </c>
      <c r="C38" s="20" t="s">
        <v>25</v>
      </c>
      <c r="D38">
        <v>299</v>
      </c>
      <c r="E38">
        <v>299</v>
      </c>
      <c r="F38" s="20" t="s">
        <v>44</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27</v>
      </c>
      <c r="D39">
        <v>303</v>
      </c>
      <c r="E39">
        <v>331</v>
      </c>
      <c r="F39" s="20" t="s">
        <v>45</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27</v>
      </c>
      <c r="D40">
        <v>331</v>
      </c>
      <c r="E40">
        <v>331</v>
      </c>
      <c r="F40" s="20" t="s">
        <v>44</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27</v>
      </c>
      <c r="D41">
        <v>393</v>
      </c>
      <c r="E41">
        <v>421</v>
      </c>
      <c r="F41" s="20" t="s">
        <v>45</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27</v>
      </c>
      <c r="D42">
        <v>361</v>
      </c>
      <c r="E42">
        <v>421</v>
      </c>
      <c r="F42" s="20" t="s">
        <v>47</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27</v>
      </c>
      <c r="D43">
        <v>421</v>
      </c>
      <c r="E43">
        <v>450</v>
      </c>
      <c r="F43" s="20" t="s">
        <v>45</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27</v>
      </c>
      <c r="D44">
        <v>450</v>
      </c>
      <c r="E44">
        <v>450</v>
      </c>
      <c r="F44" s="20" t="s">
        <v>44</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27</v>
      </c>
      <c r="D45">
        <v>452</v>
      </c>
      <c r="E45">
        <v>480</v>
      </c>
      <c r="F45" s="20" t="s">
        <v>45</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27</v>
      </c>
      <c r="D46">
        <v>480</v>
      </c>
      <c r="E46">
        <v>480</v>
      </c>
      <c r="F46" s="20" t="s">
        <v>44</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27</v>
      </c>
      <c r="D47">
        <v>0</v>
      </c>
      <c r="E47">
        <v>0</v>
      </c>
      <c r="F47" s="20" t="s">
        <v>42</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27</v>
      </c>
      <c r="D48">
        <v>2</v>
      </c>
      <c r="E48">
        <v>15</v>
      </c>
      <c r="F48" s="20" t="s">
        <v>43</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27</v>
      </c>
      <c r="D49">
        <v>15</v>
      </c>
      <c r="E49">
        <v>15</v>
      </c>
      <c r="F49" s="20" t="s">
        <v>44</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25</v>
      </c>
      <c r="D50">
        <v>19</v>
      </c>
      <c r="E50">
        <v>28</v>
      </c>
      <c r="F50" s="20" t="s">
        <v>43</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25</v>
      </c>
      <c r="D51">
        <v>28</v>
      </c>
      <c r="E51">
        <v>28</v>
      </c>
      <c r="F51" s="20" t="s">
        <v>44</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24</v>
      </c>
      <c r="D52">
        <v>32</v>
      </c>
      <c r="E52">
        <v>60</v>
      </c>
      <c r="F52" s="20" t="s">
        <v>43</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24</v>
      </c>
      <c r="D53">
        <v>60</v>
      </c>
      <c r="E53">
        <v>60</v>
      </c>
      <c r="F53" s="20" t="s">
        <v>44</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23</v>
      </c>
      <c r="D54">
        <v>62</v>
      </c>
      <c r="E54">
        <v>75</v>
      </c>
      <c r="F54" s="20" t="s">
        <v>43</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23</v>
      </c>
      <c r="D55">
        <v>75</v>
      </c>
      <c r="E55">
        <v>75</v>
      </c>
      <c r="F55" s="20" t="s">
        <v>44</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22</v>
      </c>
      <c r="D56">
        <v>77</v>
      </c>
      <c r="E56">
        <v>87</v>
      </c>
      <c r="F56" s="20" t="s">
        <v>43</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22</v>
      </c>
      <c r="D57">
        <v>87</v>
      </c>
      <c r="E57">
        <v>87</v>
      </c>
      <c r="F57" s="20" t="s">
        <v>44</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20</v>
      </c>
      <c r="D58">
        <v>103</v>
      </c>
      <c r="E58">
        <v>123</v>
      </c>
      <c r="F58" s="20" t="s">
        <v>47</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20</v>
      </c>
      <c r="D59">
        <v>109</v>
      </c>
      <c r="E59">
        <v>123</v>
      </c>
      <c r="F59" s="20" t="s">
        <v>43</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20</v>
      </c>
      <c r="D60">
        <v>123</v>
      </c>
      <c r="E60">
        <v>123</v>
      </c>
      <c r="F60" s="20" t="s">
        <v>44</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18</v>
      </c>
      <c r="D61">
        <v>125</v>
      </c>
      <c r="E61">
        <v>130</v>
      </c>
      <c r="F61" s="20" t="s">
        <v>43</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18</v>
      </c>
      <c r="D62">
        <v>130</v>
      </c>
      <c r="E62">
        <v>130</v>
      </c>
      <c r="F62" s="20" t="s">
        <v>44</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16</v>
      </c>
      <c r="D63">
        <v>132</v>
      </c>
      <c r="E63">
        <v>132</v>
      </c>
      <c r="F63" s="20" t="s">
        <v>44</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16</v>
      </c>
      <c r="D64">
        <v>134</v>
      </c>
      <c r="E64">
        <v>149</v>
      </c>
      <c r="F64" s="20" t="s">
        <v>43</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16</v>
      </c>
      <c r="D65">
        <v>149</v>
      </c>
      <c r="E65">
        <v>149</v>
      </c>
      <c r="F65" s="20" t="s">
        <v>44</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18</v>
      </c>
      <c r="D66">
        <v>151</v>
      </c>
      <c r="E66">
        <v>156</v>
      </c>
      <c r="F66" s="20" t="s">
        <v>43</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18</v>
      </c>
      <c r="D67">
        <v>156</v>
      </c>
      <c r="E67">
        <v>156</v>
      </c>
      <c r="F67" s="20" t="s">
        <v>44</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20</v>
      </c>
      <c r="D68">
        <v>158</v>
      </c>
      <c r="E68">
        <v>172</v>
      </c>
      <c r="F68" s="20" t="s">
        <v>43</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20</v>
      </c>
      <c r="D69">
        <v>172</v>
      </c>
      <c r="E69">
        <v>172</v>
      </c>
      <c r="F69" s="20" t="s">
        <v>44</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22</v>
      </c>
      <c r="D70">
        <v>174</v>
      </c>
      <c r="E70">
        <v>184</v>
      </c>
      <c r="F70" s="20" t="s">
        <v>43</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22</v>
      </c>
      <c r="D71">
        <v>184</v>
      </c>
      <c r="E71">
        <v>184</v>
      </c>
      <c r="F71" s="20" t="s">
        <v>44</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23</v>
      </c>
      <c r="D72">
        <v>186</v>
      </c>
      <c r="E72">
        <v>199</v>
      </c>
      <c r="F72" s="20" t="s">
        <v>43</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23</v>
      </c>
      <c r="D73">
        <v>199</v>
      </c>
      <c r="E73">
        <v>199</v>
      </c>
      <c r="F73" s="20" t="s">
        <v>44</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24</v>
      </c>
      <c r="D74">
        <v>201</v>
      </c>
      <c r="E74">
        <v>229</v>
      </c>
      <c r="F74" s="20" t="s">
        <v>43</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24</v>
      </c>
      <c r="D75">
        <v>229</v>
      </c>
      <c r="E75">
        <v>229</v>
      </c>
      <c r="F75" s="20" t="s">
        <v>44</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25</v>
      </c>
      <c r="D76">
        <v>233</v>
      </c>
      <c r="E76">
        <v>242</v>
      </c>
      <c r="F76" s="20" t="s">
        <v>43</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25</v>
      </c>
      <c r="D77">
        <v>242</v>
      </c>
      <c r="E77">
        <v>242</v>
      </c>
      <c r="F77" s="20" t="s">
        <v>44</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27</v>
      </c>
      <c r="D78">
        <v>246</v>
      </c>
      <c r="E78">
        <v>246</v>
      </c>
      <c r="F78" s="20" t="s">
        <v>44</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27</v>
      </c>
      <c r="D79">
        <v>248</v>
      </c>
      <c r="E79">
        <v>248</v>
      </c>
      <c r="F79" s="20" t="s">
        <v>44</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25</v>
      </c>
      <c r="D80">
        <v>252</v>
      </c>
      <c r="E80">
        <v>252</v>
      </c>
      <c r="F80" s="20" t="s">
        <v>44</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24</v>
      </c>
      <c r="D81">
        <v>256</v>
      </c>
      <c r="E81">
        <v>256</v>
      </c>
      <c r="F81" s="20" t="s">
        <v>44</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23</v>
      </c>
      <c r="D82">
        <v>258</v>
      </c>
      <c r="E82">
        <v>258</v>
      </c>
      <c r="F82" s="20" t="s">
        <v>44</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22</v>
      </c>
      <c r="D83">
        <v>260</v>
      </c>
      <c r="E83">
        <v>260</v>
      </c>
      <c r="F83" s="20" t="s">
        <v>44</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20</v>
      </c>
      <c r="D84">
        <v>262</v>
      </c>
      <c r="E84">
        <v>262</v>
      </c>
      <c r="F84" s="20" t="s">
        <v>44</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18</v>
      </c>
      <c r="D85">
        <v>264</v>
      </c>
      <c r="E85">
        <v>264</v>
      </c>
      <c r="F85" s="20" t="s">
        <v>44</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16</v>
      </c>
      <c r="D86">
        <v>266</v>
      </c>
      <c r="E86">
        <v>266</v>
      </c>
      <c r="F86" s="20" t="s">
        <v>44</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16</v>
      </c>
      <c r="D87">
        <v>268</v>
      </c>
      <c r="E87">
        <v>268</v>
      </c>
      <c r="F87" s="20" t="s">
        <v>44</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18</v>
      </c>
      <c r="D88">
        <v>270</v>
      </c>
      <c r="E88">
        <v>270</v>
      </c>
      <c r="F88" s="20" t="s">
        <v>44</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20</v>
      </c>
      <c r="D89">
        <v>272</v>
      </c>
      <c r="E89">
        <v>272</v>
      </c>
      <c r="F89" s="20" t="s">
        <v>44</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22</v>
      </c>
      <c r="D90">
        <v>274</v>
      </c>
      <c r="E90">
        <v>274</v>
      </c>
      <c r="F90" s="20" t="s">
        <v>44</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23</v>
      </c>
      <c r="D91">
        <v>276</v>
      </c>
      <c r="E91">
        <v>276</v>
      </c>
      <c r="F91" s="20" t="s">
        <v>44</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24</v>
      </c>
      <c r="D92">
        <v>278</v>
      </c>
      <c r="E92">
        <v>278</v>
      </c>
      <c r="F92" s="20" t="s">
        <v>44</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25</v>
      </c>
      <c r="D93">
        <v>282</v>
      </c>
      <c r="E93">
        <v>282</v>
      </c>
      <c r="F93" s="20" t="s">
        <v>44</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27</v>
      </c>
      <c r="D94">
        <v>286</v>
      </c>
      <c r="E94">
        <v>318</v>
      </c>
      <c r="F94" s="20" t="s">
        <v>45</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27</v>
      </c>
      <c r="D95">
        <v>318</v>
      </c>
      <c r="E95">
        <v>318</v>
      </c>
      <c r="F95" s="20" t="s">
        <v>44</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27</v>
      </c>
      <c r="D96">
        <v>380</v>
      </c>
      <c r="E96">
        <v>413</v>
      </c>
      <c r="F96" s="20" t="s">
        <v>45</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27</v>
      </c>
      <c r="D97">
        <v>353</v>
      </c>
      <c r="E97">
        <v>413</v>
      </c>
      <c r="F97" s="20" t="s">
        <v>47</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27</v>
      </c>
      <c r="D98">
        <v>413</v>
      </c>
      <c r="E98">
        <v>446</v>
      </c>
      <c r="F98" s="20" t="s">
        <v>45</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27</v>
      </c>
      <c r="D99">
        <v>446</v>
      </c>
      <c r="E99">
        <v>446</v>
      </c>
      <c r="F99" s="20" t="s">
        <v>44</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27</v>
      </c>
      <c r="D100">
        <v>448</v>
      </c>
      <c r="E100">
        <v>480</v>
      </c>
      <c r="F100" s="20" t="s">
        <v>45</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27</v>
      </c>
      <c r="D101">
        <v>480</v>
      </c>
      <c r="E101">
        <v>480</v>
      </c>
      <c r="F101" s="20" t="s">
        <v>44</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27</v>
      </c>
      <c r="D102">
        <v>0</v>
      </c>
      <c r="E102">
        <v>0</v>
      </c>
      <c r="F102" s="20" t="s">
        <v>42</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27</v>
      </c>
      <c r="D103">
        <v>2</v>
      </c>
      <c r="E103">
        <v>15</v>
      </c>
      <c r="F103" s="20" t="s">
        <v>43</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27</v>
      </c>
      <c r="D104">
        <v>15</v>
      </c>
      <c r="E104">
        <v>15</v>
      </c>
      <c r="F104" s="20" t="s">
        <v>44</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25</v>
      </c>
      <c r="D105">
        <v>19</v>
      </c>
      <c r="E105">
        <v>28</v>
      </c>
      <c r="F105" s="20" t="s">
        <v>43</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25</v>
      </c>
      <c r="D106">
        <v>28</v>
      </c>
      <c r="E106">
        <v>28</v>
      </c>
      <c r="F106" s="20" t="s">
        <v>44</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24</v>
      </c>
      <c r="D107">
        <v>32</v>
      </c>
      <c r="E107">
        <v>60</v>
      </c>
      <c r="F107" s="20" t="s">
        <v>43</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24</v>
      </c>
      <c r="D108">
        <v>60</v>
      </c>
      <c r="E108">
        <v>60</v>
      </c>
      <c r="F108" s="20" t="s">
        <v>44</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23</v>
      </c>
      <c r="D109">
        <v>62</v>
      </c>
      <c r="E109">
        <v>75</v>
      </c>
      <c r="F109" s="20" t="s">
        <v>43</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23</v>
      </c>
      <c r="D110">
        <v>75</v>
      </c>
      <c r="E110">
        <v>75</v>
      </c>
      <c r="F110" s="20" t="s">
        <v>44</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22</v>
      </c>
      <c r="D111">
        <v>77</v>
      </c>
      <c r="E111">
        <v>87</v>
      </c>
      <c r="F111" s="20" t="s">
        <v>43</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22</v>
      </c>
      <c r="D112">
        <v>87</v>
      </c>
      <c r="E112">
        <v>87</v>
      </c>
      <c r="F112" s="20" t="s">
        <v>44</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20</v>
      </c>
      <c r="D113">
        <v>103</v>
      </c>
      <c r="E113">
        <v>123</v>
      </c>
      <c r="F113" s="20" t="s">
        <v>47</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20</v>
      </c>
      <c r="D114">
        <v>109</v>
      </c>
      <c r="E114">
        <v>123</v>
      </c>
      <c r="F114" s="20" t="s">
        <v>43</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20</v>
      </c>
      <c r="D115">
        <v>123</v>
      </c>
      <c r="E115">
        <v>123</v>
      </c>
      <c r="F115" s="20" t="s">
        <v>44</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18</v>
      </c>
      <c r="D116">
        <v>125</v>
      </c>
      <c r="E116">
        <v>130</v>
      </c>
      <c r="F116" s="20" t="s">
        <v>43</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18</v>
      </c>
      <c r="D117">
        <v>130</v>
      </c>
      <c r="E117">
        <v>130</v>
      </c>
      <c r="F117" s="20" t="s">
        <v>44</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16</v>
      </c>
      <c r="D118">
        <v>132</v>
      </c>
      <c r="E118">
        <v>132</v>
      </c>
      <c r="F118" s="20" t="s">
        <v>44</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16</v>
      </c>
      <c r="D119">
        <v>134</v>
      </c>
      <c r="E119">
        <v>149</v>
      </c>
      <c r="F119" s="20" t="s">
        <v>43</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16</v>
      </c>
      <c r="D120">
        <v>149</v>
      </c>
      <c r="E120">
        <v>149</v>
      </c>
      <c r="F120" s="20" t="s">
        <v>44</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18</v>
      </c>
      <c r="D121">
        <v>151</v>
      </c>
      <c r="E121">
        <v>156</v>
      </c>
      <c r="F121" s="20" t="s">
        <v>43</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18</v>
      </c>
      <c r="D122">
        <v>156</v>
      </c>
      <c r="E122">
        <v>156</v>
      </c>
      <c r="F122" s="20" t="s">
        <v>44</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20</v>
      </c>
      <c r="D123">
        <v>158</v>
      </c>
      <c r="E123">
        <v>172</v>
      </c>
      <c r="F123" s="20" t="s">
        <v>43</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20</v>
      </c>
      <c r="D124">
        <v>172</v>
      </c>
      <c r="E124">
        <v>172</v>
      </c>
      <c r="F124" s="20" t="s">
        <v>44</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22</v>
      </c>
      <c r="D125">
        <v>174</v>
      </c>
      <c r="E125">
        <v>184</v>
      </c>
      <c r="F125" s="20" t="s">
        <v>43</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22</v>
      </c>
      <c r="D126">
        <v>184</v>
      </c>
      <c r="E126">
        <v>184</v>
      </c>
      <c r="F126" s="20" t="s">
        <v>44</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23</v>
      </c>
      <c r="D127">
        <v>186</v>
      </c>
      <c r="E127">
        <v>199</v>
      </c>
      <c r="F127" s="20" t="s">
        <v>43</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23</v>
      </c>
      <c r="D128">
        <v>199</v>
      </c>
      <c r="E128">
        <v>199</v>
      </c>
      <c r="F128" s="20" t="s">
        <v>44</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24</v>
      </c>
      <c r="D129">
        <v>201</v>
      </c>
      <c r="E129">
        <v>229</v>
      </c>
      <c r="F129" s="20" t="s">
        <v>43</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24</v>
      </c>
      <c r="D130">
        <v>229</v>
      </c>
      <c r="E130">
        <v>229</v>
      </c>
      <c r="F130" s="20" t="s">
        <v>44</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25</v>
      </c>
      <c r="D131">
        <v>233</v>
      </c>
      <c r="E131">
        <v>242</v>
      </c>
      <c r="F131" s="20" t="s">
        <v>43</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25</v>
      </c>
      <c r="D132">
        <v>242</v>
      </c>
      <c r="E132">
        <v>242</v>
      </c>
      <c r="F132" s="20" t="s">
        <v>44</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27</v>
      </c>
      <c r="D133">
        <v>246</v>
      </c>
      <c r="E133">
        <v>246</v>
      </c>
      <c r="F133" s="20" t="s">
        <v>44</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27</v>
      </c>
      <c r="D134">
        <v>248</v>
      </c>
      <c r="E134">
        <v>248</v>
      </c>
      <c r="F134" s="20" t="s">
        <v>44</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25</v>
      </c>
      <c r="D135">
        <v>252</v>
      </c>
      <c r="E135">
        <v>252</v>
      </c>
      <c r="F135" s="20" t="s">
        <v>44</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24</v>
      </c>
      <c r="D136">
        <v>256</v>
      </c>
      <c r="E136">
        <v>256</v>
      </c>
      <c r="F136" s="20" t="s">
        <v>44</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23</v>
      </c>
      <c r="D137">
        <v>258</v>
      </c>
      <c r="E137">
        <v>258</v>
      </c>
      <c r="F137" s="20" t="s">
        <v>44</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22</v>
      </c>
      <c r="D138">
        <v>260</v>
      </c>
      <c r="E138">
        <v>260</v>
      </c>
      <c r="F138" s="20" t="s">
        <v>44</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20</v>
      </c>
      <c r="D139">
        <v>262</v>
      </c>
      <c r="E139">
        <v>262</v>
      </c>
      <c r="F139" s="20" t="s">
        <v>44</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18</v>
      </c>
      <c r="D140">
        <v>264</v>
      </c>
      <c r="E140">
        <v>264</v>
      </c>
      <c r="F140" s="20" t="s">
        <v>44</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16</v>
      </c>
      <c r="D141">
        <v>266</v>
      </c>
      <c r="E141">
        <v>266</v>
      </c>
      <c r="F141" s="20" t="s">
        <v>44</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16</v>
      </c>
      <c r="D142">
        <v>268</v>
      </c>
      <c r="E142">
        <v>268</v>
      </c>
      <c r="F142" s="20" t="s">
        <v>44</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18</v>
      </c>
      <c r="D143">
        <v>270</v>
      </c>
      <c r="E143">
        <v>270</v>
      </c>
      <c r="F143" s="20" t="s">
        <v>44</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20</v>
      </c>
      <c r="D144">
        <v>272</v>
      </c>
      <c r="E144">
        <v>272</v>
      </c>
      <c r="F144" s="20" t="s">
        <v>44</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22</v>
      </c>
      <c r="D145">
        <v>274</v>
      </c>
      <c r="E145">
        <v>274</v>
      </c>
      <c r="F145" s="20" t="s">
        <v>44</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23</v>
      </c>
      <c r="D146">
        <v>276</v>
      </c>
      <c r="E146">
        <v>276</v>
      </c>
      <c r="F146" s="20" t="s">
        <v>44</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24</v>
      </c>
      <c r="D147">
        <v>278</v>
      </c>
      <c r="E147">
        <v>278</v>
      </c>
      <c r="F147" s="20" t="s">
        <v>44</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25</v>
      </c>
      <c r="D148">
        <v>282</v>
      </c>
      <c r="E148">
        <v>282</v>
      </c>
      <c r="F148" s="20" t="s">
        <v>44</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27</v>
      </c>
      <c r="D149">
        <v>286</v>
      </c>
      <c r="E149">
        <v>286</v>
      </c>
      <c r="F149" s="20" t="s">
        <v>44</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27</v>
      </c>
      <c r="D150">
        <v>288</v>
      </c>
      <c r="E150">
        <v>288</v>
      </c>
      <c r="F150" s="20" t="s">
        <v>44</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25</v>
      </c>
      <c r="D151">
        <v>292</v>
      </c>
      <c r="E151">
        <v>292</v>
      </c>
      <c r="F151" s="20" t="s">
        <v>44</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24</v>
      </c>
      <c r="D152">
        <v>296</v>
      </c>
      <c r="E152">
        <v>296</v>
      </c>
      <c r="F152" s="20" t="s">
        <v>44</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23</v>
      </c>
      <c r="D153">
        <v>298</v>
      </c>
      <c r="E153">
        <v>298</v>
      </c>
      <c r="F153" s="20" t="s">
        <v>44</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22</v>
      </c>
      <c r="D154">
        <v>300</v>
      </c>
      <c r="E154">
        <v>360</v>
      </c>
      <c r="F154" s="20" t="s">
        <v>47</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22</v>
      </c>
      <c r="D155">
        <v>360</v>
      </c>
      <c r="E155">
        <v>360</v>
      </c>
      <c r="F155" s="20" t="s">
        <v>44</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20</v>
      </c>
      <c r="D156">
        <v>362</v>
      </c>
      <c r="E156">
        <v>362</v>
      </c>
      <c r="F156" s="20" t="s">
        <v>44</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18</v>
      </c>
      <c r="D157">
        <v>364</v>
      </c>
      <c r="E157">
        <v>364</v>
      </c>
      <c r="F157" s="20" t="s">
        <v>44</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16</v>
      </c>
      <c r="D158">
        <v>366</v>
      </c>
      <c r="E158">
        <v>366</v>
      </c>
      <c r="F158" s="20" t="s">
        <v>44</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16</v>
      </c>
      <c r="D159">
        <v>368</v>
      </c>
      <c r="E159">
        <v>368</v>
      </c>
      <c r="F159" s="20" t="s">
        <v>44</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18</v>
      </c>
      <c r="D160">
        <v>370</v>
      </c>
      <c r="E160">
        <v>370</v>
      </c>
      <c r="F160" s="20" t="s">
        <v>44</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20</v>
      </c>
      <c r="D161">
        <v>372</v>
      </c>
      <c r="E161">
        <v>372</v>
      </c>
      <c r="F161" s="20" t="s">
        <v>44</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22</v>
      </c>
      <c r="D162">
        <v>374</v>
      </c>
      <c r="E162">
        <v>374</v>
      </c>
      <c r="F162" s="20" t="s">
        <v>44</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23</v>
      </c>
      <c r="D163">
        <v>376</v>
      </c>
      <c r="E163">
        <v>376</v>
      </c>
      <c r="F163" s="20" t="s">
        <v>44</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24</v>
      </c>
      <c r="D164">
        <v>378</v>
      </c>
      <c r="E164">
        <v>378</v>
      </c>
      <c r="F164" s="20" t="s">
        <v>44</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25</v>
      </c>
      <c r="D165">
        <v>382</v>
      </c>
      <c r="E165">
        <v>382</v>
      </c>
      <c r="F165" s="20" t="s">
        <v>44</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27</v>
      </c>
      <c r="D166">
        <v>386</v>
      </c>
      <c r="E166">
        <v>416</v>
      </c>
      <c r="F166" s="20" t="s">
        <v>45</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27</v>
      </c>
      <c r="D167">
        <v>416</v>
      </c>
      <c r="E167">
        <v>416</v>
      </c>
      <c r="F167" s="20" t="s">
        <v>44</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27</v>
      </c>
      <c r="D168">
        <v>418</v>
      </c>
      <c r="E168">
        <v>448</v>
      </c>
      <c r="F168" s="20" t="s">
        <v>45</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27</v>
      </c>
      <c r="D169">
        <v>448</v>
      </c>
      <c r="E169">
        <v>448</v>
      </c>
      <c r="F169" s="20" t="s">
        <v>44</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27</v>
      </c>
      <c r="D170">
        <v>450</v>
      </c>
      <c r="E170">
        <v>480</v>
      </c>
      <c r="F170" s="20" t="s">
        <v>45</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27</v>
      </c>
      <c r="D171">
        <v>480</v>
      </c>
      <c r="E171">
        <v>480</v>
      </c>
      <c r="F171" s="20" t="s">
        <v>44</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27</v>
      </c>
      <c r="D172">
        <v>0</v>
      </c>
      <c r="E172">
        <v>0</v>
      </c>
      <c r="F172" s="20" t="s">
        <v>42</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27</v>
      </c>
      <c r="D173">
        <v>2</v>
      </c>
      <c r="E173">
        <v>15</v>
      </c>
      <c r="F173" s="20" t="s">
        <v>43</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27</v>
      </c>
      <c r="D174">
        <v>15</v>
      </c>
      <c r="E174">
        <v>15</v>
      </c>
      <c r="F174" s="20" t="s">
        <v>44</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25</v>
      </c>
      <c r="D175">
        <v>19</v>
      </c>
      <c r="E175">
        <v>28</v>
      </c>
      <c r="F175" s="20" t="s">
        <v>43</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25</v>
      </c>
      <c r="D176">
        <v>28</v>
      </c>
      <c r="E176">
        <v>28</v>
      </c>
      <c r="F176" s="20" t="s">
        <v>44</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24</v>
      </c>
      <c r="D177">
        <v>32</v>
      </c>
      <c r="E177">
        <v>60</v>
      </c>
      <c r="F177" s="20" t="s">
        <v>43</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24</v>
      </c>
      <c r="D178">
        <v>60</v>
      </c>
      <c r="E178">
        <v>60</v>
      </c>
      <c r="F178" s="20" t="s">
        <v>44</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23</v>
      </c>
      <c r="D179">
        <v>62</v>
      </c>
      <c r="E179">
        <v>75</v>
      </c>
      <c r="F179" s="20" t="s">
        <v>43</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23</v>
      </c>
      <c r="D180">
        <v>75</v>
      </c>
      <c r="E180">
        <v>75</v>
      </c>
      <c r="F180" s="20" t="s">
        <v>44</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22</v>
      </c>
      <c r="D181">
        <v>77</v>
      </c>
      <c r="E181">
        <v>87</v>
      </c>
      <c r="F181" s="20" t="s">
        <v>43</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22</v>
      </c>
      <c r="D182">
        <v>87</v>
      </c>
      <c r="E182">
        <v>87</v>
      </c>
      <c r="F182" s="20" t="s">
        <v>44</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20</v>
      </c>
      <c r="D183">
        <v>103</v>
      </c>
      <c r="E183">
        <v>123</v>
      </c>
      <c r="F183" s="20" t="s">
        <v>47</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20</v>
      </c>
      <c r="D184">
        <v>109</v>
      </c>
      <c r="E184">
        <v>123</v>
      </c>
      <c r="F184" s="20" t="s">
        <v>43</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20</v>
      </c>
      <c r="D185">
        <v>123</v>
      </c>
      <c r="E185">
        <v>123</v>
      </c>
      <c r="F185" s="20" t="s">
        <v>44</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18</v>
      </c>
      <c r="D186">
        <v>125</v>
      </c>
      <c r="E186">
        <v>130</v>
      </c>
      <c r="F186" s="20" t="s">
        <v>43</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18</v>
      </c>
      <c r="D187">
        <v>130</v>
      </c>
      <c r="E187">
        <v>130</v>
      </c>
      <c r="F187" s="20" t="s">
        <v>44</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16</v>
      </c>
      <c r="D188">
        <v>132</v>
      </c>
      <c r="E188">
        <v>132</v>
      </c>
      <c r="F188" s="20" t="s">
        <v>44</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16</v>
      </c>
      <c r="D189">
        <v>134</v>
      </c>
      <c r="E189">
        <v>149</v>
      </c>
      <c r="F189" s="20" t="s">
        <v>43</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16</v>
      </c>
      <c r="D190">
        <v>149</v>
      </c>
      <c r="E190">
        <v>149</v>
      </c>
      <c r="F190" s="20" t="s">
        <v>44</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18</v>
      </c>
      <c r="D191">
        <v>151</v>
      </c>
      <c r="E191">
        <v>156</v>
      </c>
      <c r="F191" s="20" t="s">
        <v>43</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18</v>
      </c>
      <c r="D192">
        <v>156</v>
      </c>
      <c r="E192">
        <v>156</v>
      </c>
      <c r="F192" s="20" t="s">
        <v>44</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20</v>
      </c>
      <c r="D193">
        <v>158</v>
      </c>
      <c r="E193">
        <v>172</v>
      </c>
      <c r="F193" s="20" t="s">
        <v>43</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20</v>
      </c>
      <c r="D194">
        <v>172</v>
      </c>
      <c r="E194">
        <v>172</v>
      </c>
      <c r="F194" s="20" t="s">
        <v>44</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22</v>
      </c>
      <c r="D195">
        <v>174</v>
      </c>
      <c r="E195">
        <v>184</v>
      </c>
      <c r="F195" s="20" t="s">
        <v>43</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22</v>
      </c>
      <c r="D196">
        <v>184</v>
      </c>
      <c r="E196">
        <v>184</v>
      </c>
      <c r="F196" s="20" t="s">
        <v>44</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23</v>
      </c>
      <c r="D197">
        <v>186</v>
      </c>
      <c r="E197">
        <v>199</v>
      </c>
      <c r="F197" s="20" t="s">
        <v>43</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23</v>
      </c>
      <c r="D198">
        <v>199</v>
      </c>
      <c r="E198">
        <v>199</v>
      </c>
      <c r="F198" s="20" t="s">
        <v>44</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24</v>
      </c>
      <c r="D199">
        <v>201</v>
      </c>
      <c r="E199">
        <v>229</v>
      </c>
      <c r="F199" s="20" t="s">
        <v>43</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24</v>
      </c>
      <c r="D200">
        <v>229</v>
      </c>
      <c r="E200">
        <v>229</v>
      </c>
      <c r="F200" s="20" t="s">
        <v>44</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25</v>
      </c>
      <c r="D201">
        <v>233</v>
      </c>
      <c r="E201">
        <v>242</v>
      </c>
      <c r="F201" s="20" t="s">
        <v>43</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25</v>
      </c>
      <c r="D202">
        <v>242</v>
      </c>
      <c r="E202">
        <v>242</v>
      </c>
      <c r="F202" s="20" t="s">
        <v>44</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27</v>
      </c>
      <c r="D203">
        <v>246</v>
      </c>
      <c r="E203">
        <v>246</v>
      </c>
      <c r="F203" s="20" t="s">
        <v>44</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27</v>
      </c>
      <c r="D204">
        <v>248</v>
      </c>
      <c r="E204">
        <v>248</v>
      </c>
      <c r="F204" s="20" t="s">
        <v>44</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25</v>
      </c>
      <c r="D205">
        <v>252</v>
      </c>
      <c r="E205">
        <v>252</v>
      </c>
      <c r="F205" s="20" t="s">
        <v>44</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24</v>
      </c>
      <c r="D206">
        <v>256</v>
      </c>
      <c r="E206">
        <v>256</v>
      </c>
      <c r="F206" s="20" t="s">
        <v>44</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23</v>
      </c>
      <c r="D207">
        <v>258</v>
      </c>
      <c r="E207">
        <v>258</v>
      </c>
      <c r="F207" s="20" t="s">
        <v>44</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22</v>
      </c>
      <c r="D208">
        <v>260</v>
      </c>
      <c r="E208">
        <v>260</v>
      </c>
      <c r="F208" s="20" t="s">
        <v>44</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20</v>
      </c>
      <c r="D209">
        <v>262</v>
      </c>
      <c r="E209">
        <v>262</v>
      </c>
      <c r="F209" s="20" t="s">
        <v>44</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18</v>
      </c>
      <c r="D210">
        <v>264</v>
      </c>
      <c r="E210">
        <v>264</v>
      </c>
      <c r="F210" s="20" t="s">
        <v>44</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16</v>
      </c>
      <c r="D211">
        <v>266</v>
      </c>
      <c r="E211">
        <v>266</v>
      </c>
      <c r="F211" s="20" t="s">
        <v>44</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16</v>
      </c>
      <c r="D212">
        <v>268</v>
      </c>
      <c r="E212">
        <v>268</v>
      </c>
      <c r="F212" s="20" t="s">
        <v>44</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18</v>
      </c>
      <c r="D213">
        <v>270</v>
      </c>
      <c r="E213">
        <v>270</v>
      </c>
      <c r="F213" s="20" t="s">
        <v>44</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20</v>
      </c>
      <c r="D214">
        <v>272</v>
      </c>
      <c r="E214">
        <v>272</v>
      </c>
      <c r="F214" s="20" t="s">
        <v>44</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22</v>
      </c>
      <c r="D215">
        <v>274</v>
      </c>
      <c r="E215">
        <v>274</v>
      </c>
      <c r="F215" s="20" t="s">
        <v>44</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23</v>
      </c>
      <c r="D216">
        <v>276</v>
      </c>
      <c r="E216">
        <v>276</v>
      </c>
      <c r="F216" s="20" t="s">
        <v>44</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24</v>
      </c>
      <c r="D217">
        <v>278</v>
      </c>
      <c r="E217">
        <v>278</v>
      </c>
      <c r="F217" s="20" t="s">
        <v>44</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25</v>
      </c>
      <c r="D218">
        <v>282</v>
      </c>
      <c r="E218">
        <v>282</v>
      </c>
      <c r="F218" s="20" t="s">
        <v>44</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27</v>
      </c>
      <c r="D219">
        <v>286</v>
      </c>
      <c r="E219">
        <v>286</v>
      </c>
      <c r="F219" s="20" t="s">
        <v>44</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27</v>
      </c>
      <c r="D220">
        <v>288</v>
      </c>
      <c r="E220">
        <v>288</v>
      </c>
      <c r="F220" s="20" t="s">
        <v>44</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25</v>
      </c>
      <c r="D221">
        <v>292</v>
      </c>
      <c r="E221">
        <v>292</v>
      </c>
      <c r="F221" s="20" t="s">
        <v>44</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24</v>
      </c>
      <c r="D222">
        <v>296</v>
      </c>
      <c r="E222">
        <v>296</v>
      </c>
      <c r="F222" s="20" t="s">
        <v>44</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23</v>
      </c>
      <c r="D223">
        <v>298</v>
      </c>
      <c r="E223">
        <v>298</v>
      </c>
      <c r="F223" s="20" t="s">
        <v>44</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22</v>
      </c>
      <c r="D224">
        <v>300</v>
      </c>
      <c r="E224">
        <v>360</v>
      </c>
      <c r="F224" s="20" t="s">
        <v>47</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22</v>
      </c>
      <c r="D225">
        <v>360</v>
      </c>
      <c r="E225">
        <v>360</v>
      </c>
      <c r="F225" s="20" t="s">
        <v>44</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20</v>
      </c>
      <c r="D226">
        <v>362</v>
      </c>
      <c r="E226">
        <v>362</v>
      </c>
      <c r="F226" s="20" t="s">
        <v>44</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18</v>
      </c>
      <c r="D227">
        <v>364</v>
      </c>
      <c r="E227">
        <v>364</v>
      </c>
      <c r="F227" s="20" t="s">
        <v>44</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16</v>
      </c>
      <c r="D228">
        <v>366</v>
      </c>
      <c r="E228">
        <v>366</v>
      </c>
      <c r="F228" s="20" t="s">
        <v>44</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16</v>
      </c>
      <c r="D229">
        <v>368</v>
      </c>
      <c r="E229">
        <v>368</v>
      </c>
      <c r="F229" s="20" t="s">
        <v>44</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18</v>
      </c>
      <c r="D230">
        <v>370</v>
      </c>
      <c r="E230">
        <v>370</v>
      </c>
      <c r="F230" s="20" t="s">
        <v>44</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20</v>
      </c>
      <c r="D231">
        <v>372</v>
      </c>
      <c r="E231">
        <v>372</v>
      </c>
      <c r="F231" s="20" t="s">
        <v>44</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22</v>
      </c>
      <c r="D232">
        <v>374</v>
      </c>
      <c r="E232">
        <v>374</v>
      </c>
      <c r="F232" s="20" t="s">
        <v>44</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23</v>
      </c>
      <c r="D233">
        <v>376</v>
      </c>
      <c r="E233">
        <v>376</v>
      </c>
      <c r="F233" s="20" t="s">
        <v>44</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24</v>
      </c>
      <c r="D234">
        <v>378</v>
      </c>
      <c r="E234">
        <v>378</v>
      </c>
      <c r="F234" s="20" t="s">
        <v>44</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25</v>
      </c>
      <c r="D235">
        <v>382</v>
      </c>
      <c r="E235">
        <v>382</v>
      </c>
      <c r="F235" s="20" t="s">
        <v>44</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27</v>
      </c>
      <c r="D236">
        <v>386</v>
      </c>
      <c r="E236">
        <v>386</v>
      </c>
      <c r="F236" s="20" t="s">
        <v>44</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27</v>
      </c>
      <c r="D237">
        <v>388</v>
      </c>
      <c r="E237">
        <v>388</v>
      </c>
      <c r="F237" s="20" t="s">
        <v>44</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25</v>
      </c>
      <c r="D238">
        <v>392</v>
      </c>
      <c r="E238">
        <v>392</v>
      </c>
      <c r="F238" s="20" t="s">
        <v>44</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24</v>
      </c>
      <c r="D239">
        <v>396</v>
      </c>
      <c r="E239">
        <v>396</v>
      </c>
      <c r="F239" s="20" t="s">
        <v>44</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23</v>
      </c>
      <c r="D240">
        <v>398</v>
      </c>
      <c r="E240">
        <v>398</v>
      </c>
      <c r="F240" s="20" t="s">
        <v>44</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22</v>
      </c>
      <c r="D241">
        <v>400</v>
      </c>
      <c r="E241">
        <v>400</v>
      </c>
      <c r="F241" s="20" t="s">
        <v>44</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20</v>
      </c>
      <c r="D242">
        <v>402</v>
      </c>
      <c r="E242">
        <v>402</v>
      </c>
      <c r="F242" s="20" t="s">
        <v>44</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18</v>
      </c>
      <c r="D243">
        <v>404</v>
      </c>
      <c r="E243">
        <v>404</v>
      </c>
      <c r="F243" s="20" t="s">
        <v>44</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16</v>
      </c>
      <c r="D244">
        <v>406</v>
      </c>
      <c r="E244">
        <v>406</v>
      </c>
      <c r="F244" s="20" t="s">
        <v>44</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16</v>
      </c>
      <c r="D245">
        <v>408</v>
      </c>
      <c r="E245">
        <v>408</v>
      </c>
      <c r="F245" s="20" t="s">
        <v>44</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18</v>
      </c>
      <c r="D246">
        <v>410</v>
      </c>
      <c r="E246">
        <v>410</v>
      </c>
      <c r="F246" s="20" t="s">
        <v>44</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20</v>
      </c>
      <c r="D247">
        <v>412</v>
      </c>
      <c r="E247">
        <v>412</v>
      </c>
      <c r="F247" s="20" t="s">
        <v>44</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22</v>
      </c>
      <c r="D248">
        <v>414</v>
      </c>
      <c r="E248">
        <v>414</v>
      </c>
      <c r="F248" s="20" t="s">
        <v>44</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23</v>
      </c>
      <c r="D249">
        <v>416</v>
      </c>
      <c r="E249">
        <v>416</v>
      </c>
      <c r="F249" s="20" t="s">
        <v>44</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24</v>
      </c>
      <c r="D250">
        <v>418</v>
      </c>
      <c r="E250">
        <v>418</v>
      </c>
      <c r="F250" s="20" t="s">
        <v>44</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25</v>
      </c>
      <c r="D251">
        <v>422</v>
      </c>
      <c r="E251">
        <v>422</v>
      </c>
      <c r="F251" s="20" t="s">
        <v>44</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27</v>
      </c>
      <c r="D252">
        <v>426</v>
      </c>
      <c r="E252">
        <v>426</v>
      </c>
      <c r="F252" s="20" t="s">
        <v>44</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27</v>
      </c>
      <c r="D253">
        <v>428</v>
      </c>
      <c r="E253">
        <v>453</v>
      </c>
      <c r="F253" s="20" t="s">
        <v>45</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27</v>
      </c>
      <c r="D254">
        <v>453</v>
      </c>
      <c r="E254">
        <v>453</v>
      </c>
      <c r="F254" s="20" t="s">
        <v>44</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27</v>
      </c>
      <c r="D255">
        <v>455</v>
      </c>
      <c r="E255">
        <v>480</v>
      </c>
      <c r="F255" s="20" t="s">
        <v>45</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27</v>
      </c>
      <c r="D256">
        <v>480</v>
      </c>
      <c r="E256">
        <v>480</v>
      </c>
      <c r="F256" s="20" t="s">
        <v>44</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7</v>
      </c>
      <c r="B1" t="s">
        <v>80</v>
      </c>
      <c r="C1" t="s">
        <v>41</v>
      </c>
      <c r="D1" t="s">
        <v>3</v>
      </c>
      <c r="E1" t="s">
        <v>81</v>
      </c>
      <c r="F1" t="s">
        <v>82</v>
      </c>
      <c r="G1" s="7" t="s">
        <v>83</v>
      </c>
      <c r="H1" t="s">
        <v>84</v>
      </c>
      <c r="I1" t="s">
        <v>85</v>
      </c>
      <c r="J1" t="s">
        <v>86</v>
      </c>
      <c r="K1" t="s">
        <v>87</v>
      </c>
      <c r="M1" s="8" t="str" cm="1">
        <f t="array" aca="1" ref="M1" ca="1">LEFT(CELL("filename",A1),FIND("[",CELL("filename",A1),1)-1)</f>
        <v>C:\Users\Liliana Ramalho\PycharmProjects\Rotas Brisa\</v>
      </c>
      <c r="N1" s="6" t="s">
        <v>16</v>
      </c>
      <c r="O1" s="6" t="s">
        <v>88</v>
      </c>
      <c r="P1" s="6" t="s">
        <v>18</v>
      </c>
      <c r="Q1" s="6" t="s">
        <v>88</v>
      </c>
      <c r="R1" s="6" t="s">
        <v>20</v>
      </c>
      <c r="S1" s="6" t="s">
        <v>88</v>
      </c>
      <c r="T1" s="6" t="s">
        <v>22</v>
      </c>
      <c r="U1" s="6" t="s">
        <v>88</v>
      </c>
      <c r="V1" s="6" t="s">
        <v>23</v>
      </c>
      <c r="W1" s="6" t="s">
        <v>88</v>
      </c>
      <c r="X1" s="6" t="s">
        <v>24</v>
      </c>
      <c r="Y1" s="6" t="s">
        <v>88</v>
      </c>
      <c r="Z1" s="6" t="s">
        <v>25</v>
      </c>
      <c r="AA1" s="6" t="s">
        <v>88</v>
      </c>
      <c r="AB1" s="6" t="s">
        <v>27</v>
      </c>
      <c r="AC1" s="6" t="s">
        <v>88</v>
      </c>
      <c r="AD1" s="6" t="s">
        <v>29</v>
      </c>
      <c r="AE1" s="6" t="s">
        <v>88</v>
      </c>
      <c r="AF1" s="6" t="s">
        <v>30</v>
      </c>
      <c r="AG1" s="6" t="s">
        <v>88</v>
      </c>
      <c r="AH1" s="6" t="s">
        <v>31</v>
      </c>
      <c r="AI1" s="6" t="s">
        <v>88</v>
      </c>
      <c r="AJ1" s="6" t="s">
        <v>33</v>
      </c>
    </row>
    <row r="2" spans="1:38" x14ac:dyDescent="0.25">
      <c r="A2" s="20" t="s">
        <v>27</v>
      </c>
      <c r="B2" s="7">
        <v>0.29166666666666669</v>
      </c>
      <c r="C2" s="7">
        <v>0.29166666666666669</v>
      </c>
      <c r="D2" s="20" t="s">
        <v>42</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27</v>
      </c>
      <c r="B3" s="7">
        <v>0.29305555555555557</v>
      </c>
      <c r="C3" s="7">
        <v>0.30208333333333331</v>
      </c>
      <c r="D3" s="20" t="s">
        <v>43</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85</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27</v>
      </c>
      <c r="B4" s="7">
        <v>0.30208333333333331</v>
      </c>
      <c r="C4" s="7">
        <v>0.30208333333333331</v>
      </c>
      <c r="D4" s="20" t="s">
        <v>44</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43</v>
      </c>
    </row>
    <row r="5" spans="1:38" x14ac:dyDescent="0.25">
      <c r="A5" s="20" t="s">
        <v>25</v>
      </c>
      <c r="B5" s="7">
        <v>0.30486111111111114</v>
      </c>
      <c r="C5" s="7">
        <v>0.31111111111111112</v>
      </c>
      <c r="D5" s="20" t="s">
        <v>43</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47</v>
      </c>
    </row>
    <row r="6" spans="1:38" x14ac:dyDescent="0.25">
      <c r="A6" s="20" t="s">
        <v>25</v>
      </c>
      <c r="B6" s="7">
        <v>0.31111111111111112</v>
      </c>
      <c r="C6" s="7">
        <v>0.31111111111111112</v>
      </c>
      <c r="D6" s="20" t="s">
        <v>44</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48</v>
      </c>
    </row>
    <row r="7" spans="1:38" x14ac:dyDescent="0.25">
      <c r="A7" s="20" t="s">
        <v>24</v>
      </c>
      <c r="B7" s="7">
        <v>0.31388888888888888</v>
      </c>
      <c r="C7" s="7">
        <v>0.33333333333333331</v>
      </c>
      <c r="D7" s="20" t="s">
        <v>43</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46</v>
      </c>
    </row>
    <row r="8" spans="1:38" x14ac:dyDescent="0.25">
      <c r="A8" s="20" t="s">
        <v>24</v>
      </c>
      <c r="B8" s="7">
        <v>0.33333333333333331</v>
      </c>
      <c r="C8" s="7">
        <v>0.33333333333333331</v>
      </c>
      <c r="D8" s="20" t="s">
        <v>44</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45</v>
      </c>
    </row>
    <row r="9" spans="1:38" x14ac:dyDescent="0.25">
      <c r="A9" s="20" t="s">
        <v>23</v>
      </c>
      <c r="B9" s="7">
        <v>0.3347222222222222</v>
      </c>
      <c r="C9" s="7">
        <v>0.34375</v>
      </c>
      <c r="D9" s="20" t="s">
        <v>43</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23</v>
      </c>
      <c r="B10" s="7">
        <v>0.34375</v>
      </c>
      <c r="C10" s="7">
        <v>0.34375</v>
      </c>
      <c r="D10" s="20" t="s">
        <v>44</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22</v>
      </c>
      <c r="B11" s="7">
        <v>0.34513888888888888</v>
      </c>
      <c r="C11" s="7">
        <v>0.35208333333333336</v>
      </c>
      <c r="D11" s="20" t="s">
        <v>43</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22</v>
      </c>
      <c r="B12" s="7">
        <v>0.35208333333333336</v>
      </c>
      <c r="C12" s="7">
        <v>0.35208333333333336</v>
      </c>
      <c r="D12" s="20" t="s">
        <v>44</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20</v>
      </c>
      <c r="B13" s="7">
        <v>0.36319444444444443</v>
      </c>
      <c r="C13" s="7">
        <v>0.37708333333333333</v>
      </c>
      <c r="D13" s="20" t="s">
        <v>47</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20</v>
      </c>
      <c r="B14" s="7">
        <v>0.36736111111111114</v>
      </c>
      <c r="C14" s="7">
        <v>0.37708333333333333</v>
      </c>
      <c r="D14" s="20" t="s">
        <v>43</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20</v>
      </c>
      <c r="B15" s="7">
        <v>0.37708333333333333</v>
      </c>
      <c r="C15" s="7">
        <v>0.37708333333333333</v>
      </c>
      <c r="D15" s="20" t="s">
        <v>44</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18</v>
      </c>
      <c r="B16" s="7">
        <v>0.37847222222222221</v>
      </c>
      <c r="C16" s="7">
        <v>0.38194444444444442</v>
      </c>
      <c r="D16" s="20" t="s">
        <v>43</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18</v>
      </c>
      <c r="B17" s="7">
        <v>0.38194444444444442</v>
      </c>
      <c r="C17" s="7">
        <v>0.38194444444444442</v>
      </c>
      <c r="D17" s="20" t="s">
        <v>44</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16</v>
      </c>
      <c r="B18" s="7">
        <v>0.38333333333333336</v>
      </c>
      <c r="C18" s="7">
        <v>0.38333333333333336</v>
      </c>
      <c r="D18" s="20" t="s">
        <v>44</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16</v>
      </c>
      <c r="B19" s="7">
        <v>0.38472222222222224</v>
      </c>
      <c r="C19" s="7">
        <v>0.39513888888888887</v>
      </c>
      <c r="D19" s="20" t="s">
        <v>43</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16</v>
      </c>
      <c r="B20" s="7">
        <v>0.39513888888888887</v>
      </c>
      <c r="C20" s="7">
        <v>0.39513888888888887</v>
      </c>
      <c r="D20" s="20" t="s">
        <v>44</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18</v>
      </c>
      <c r="B21" s="7">
        <v>0.39652777777777776</v>
      </c>
      <c r="C21" s="7">
        <v>0.4</v>
      </c>
      <c r="D21" s="20" t="s">
        <v>43</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18</v>
      </c>
      <c r="B22" s="7">
        <v>0.4</v>
      </c>
      <c r="C22" s="7">
        <v>0.4</v>
      </c>
      <c r="D22" s="20" t="s">
        <v>44</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20</v>
      </c>
      <c r="B23" s="7">
        <v>0.40138888888888891</v>
      </c>
      <c r="C23" s="7">
        <v>0.41111111111111109</v>
      </c>
      <c r="D23" s="20" t="s">
        <v>43</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20</v>
      </c>
      <c r="B24" s="7">
        <v>0.41111111111111109</v>
      </c>
      <c r="C24" s="7">
        <v>0.41111111111111109</v>
      </c>
      <c r="D24" s="20" t="s">
        <v>44</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22</v>
      </c>
      <c r="B25" s="7">
        <v>0.41249999999999998</v>
      </c>
      <c r="C25" s="7">
        <v>0.41944444444444445</v>
      </c>
      <c r="D25" s="20" t="s">
        <v>43</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22</v>
      </c>
      <c r="B26" s="7">
        <v>0.41944444444444445</v>
      </c>
      <c r="C26" s="7">
        <v>0.41944444444444445</v>
      </c>
      <c r="D26" s="20" t="s">
        <v>44</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23</v>
      </c>
      <c r="B27" s="7">
        <v>0.42083333333333334</v>
      </c>
      <c r="C27" s="7">
        <v>0.42986111111111114</v>
      </c>
      <c r="D27" s="20" t="s">
        <v>43</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23</v>
      </c>
      <c r="B28" s="7">
        <v>0.42986111111111114</v>
      </c>
      <c r="C28" s="7">
        <v>0.42986111111111114</v>
      </c>
      <c r="D28" s="20" t="s">
        <v>44</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24</v>
      </c>
      <c r="B29" s="7">
        <v>0.43125000000000002</v>
      </c>
      <c r="C29" s="7">
        <v>0.45069444444444445</v>
      </c>
      <c r="D29" s="20" t="s">
        <v>43</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24</v>
      </c>
      <c r="B30" s="7">
        <v>0.45069444444444445</v>
      </c>
      <c r="C30" s="7">
        <v>0.45069444444444445</v>
      </c>
      <c r="D30" s="20" t="s">
        <v>44</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25</v>
      </c>
      <c r="B31" s="7">
        <v>0.45347222222222222</v>
      </c>
      <c r="C31" s="7">
        <v>0.4597222222222222</v>
      </c>
      <c r="D31" s="20" t="s">
        <v>43</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25</v>
      </c>
      <c r="B32" s="7">
        <v>0.4597222222222222</v>
      </c>
      <c r="C32" s="7">
        <v>0.4597222222222222</v>
      </c>
      <c r="D32" s="20" t="s">
        <v>44</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27</v>
      </c>
      <c r="B33" s="7">
        <v>0.46250000000000002</v>
      </c>
      <c r="C33" s="7">
        <v>0.46250000000000002</v>
      </c>
      <c r="D33" s="20" t="s">
        <v>44</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27</v>
      </c>
      <c r="B34" s="7">
        <v>0.46388888888888891</v>
      </c>
      <c r="C34" s="7">
        <v>0.46388888888888891</v>
      </c>
      <c r="D34" s="20" t="s">
        <v>44</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25</v>
      </c>
      <c r="B35" s="7">
        <v>0.46666666666666667</v>
      </c>
      <c r="C35" s="7">
        <v>0.46666666666666667</v>
      </c>
      <c r="D35" s="20" t="s">
        <v>44</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24</v>
      </c>
      <c r="B36" s="7">
        <v>0.46944444444444444</v>
      </c>
      <c r="C36" s="7">
        <v>0.46944444444444444</v>
      </c>
      <c r="D36" s="20" t="s">
        <v>44</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23</v>
      </c>
      <c r="B37" s="7">
        <v>0.47083333333333333</v>
      </c>
      <c r="C37" s="7">
        <v>0.47083333333333333</v>
      </c>
      <c r="D37" s="20" t="s">
        <v>44</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22</v>
      </c>
      <c r="B38" s="7">
        <v>0.47222222222222221</v>
      </c>
      <c r="C38" s="7">
        <v>0.47222222222222221</v>
      </c>
      <c r="D38" s="20" t="s">
        <v>44</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20</v>
      </c>
      <c r="B39" s="7">
        <v>0.47361111111111109</v>
      </c>
      <c r="C39" s="7">
        <v>0.47361111111111109</v>
      </c>
      <c r="D39" s="20" t="s">
        <v>44</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18</v>
      </c>
      <c r="B40" s="7">
        <v>0.47499999999999998</v>
      </c>
      <c r="C40" s="7">
        <v>0.47499999999999998</v>
      </c>
      <c r="D40" s="20" t="s">
        <v>44</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16</v>
      </c>
      <c r="B41" s="7">
        <v>0.47638888888888886</v>
      </c>
      <c r="C41" s="7">
        <v>0.47638888888888886</v>
      </c>
      <c r="D41" s="20" t="s">
        <v>44</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16</v>
      </c>
      <c r="B42" s="7">
        <v>0.4777777777777778</v>
      </c>
      <c r="C42" s="7">
        <v>0.4777777777777778</v>
      </c>
      <c r="D42" s="20" t="s">
        <v>44</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18</v>
      </c>
      <c r="B43" s="7">
        <v>0.47916666666666669</v>
      </c>
      <c r="C43" s="7">
        <v>0.47916666666666669</v>
      </c>
      <c r="D43" s="20" t="s">
        <v>44</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20</v>
      </c>
      <c r="B44" s="7">
        <v>0.48055555555555557</v>
      </c>
      <c r="C44" s="7">
        <v>0.48055555555555557</v>
      </c>
      <c r="D44" s="20" t="s">
        <v>44</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22</v>
      </c>
      <c r="B45" s="7">
        <v>0.48194444444444445</v>
      </c>
      <c r="C45" s="7">
        <v>0.48194444444444445</v>
      </c>
      <c r="D45" s="20" t="s">
        <v>44</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23</v>
      </c>
      <c r="B46" s="7">
        <v>0.48333333333333334</v>
      </c>
      <c r="C46" s="7">
        <v>0.48333333333333334</v>
      </c>
      <c r="D46" s="20" t="s">
        <v>44</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24</v>
      </c>
      <c r="B47" s="7">
        <v>0.48472222222222222</v>
      </c>
      <c r="C47" s="7">
        <v>0.48472222222222222</v>
      </c>
      <c r="D47" s="20" t="s">
        <v>44</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25</v>
      </c>
      <c r="B48" s="7">
        <v>0.48749999999999999</v>
      </c>
      <c r="C48" s="7">
        <v>0.48749999999999999</v>
      </c>
      <c r="D48" s="20" t="s">
        <v>44</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27</v>
      </c>
      <c r="B49" s="7">
        <v>0.49027777777777776</v>
      </c>
      <c r="C49" s="7">
        <v>0.51249999999999996</v>
      </c>
      <c r="D49" s="20" t="s">
        <v>45</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27</v>
      </c>
      <c r="B50" s="7">
        <v>0.51249999999999996</v>
      </c>
      <c r="C50" s="7">
        <v>0.51249999999999996</v>
      </c>
      <c r="D50" s="20" t="s">
        <v>44</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27</v>
      </c>
      <c r="B51" s="7">
        <v>0.55555555555555558</v>
      </c>
      <c r="C51" s="7">
        <v>0.57847222222222228</v>
      </c>
      <c r="D51" s="20" t="s">
        <v>45</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27</v>
      </c>
      <c r="B52" s="7">
        <v>0.53680555555555554</v>
      </c>
      <c r="C52" s="7">
        <v>0.57847222222222228</v>
      </c>
      <c r="D52" s="20" t="s">
        <v>47</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27</v>
      </c>
      <c r="B53" s="7">
        <v>0.57847222222222228</v>
      </c>
      <c r="C53" s="7">
        <v>0.60138888888888886</v>
      </c>
      <c r="D53" s="20" t="s">
        <v>45</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27</v>
      </c>
      <c r="B54" s="7">
        <v>0.60138888888888886</v>
      </c>
      <c r="C54" s="7">
        <v>0.60138888888888886</v>
      </c>
      <c r="D54" s="20" t="s">
        <v>44</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27</v>
      </c>
      <c r="B55" s="7">
        <v>0.60277777777777775</v>
      </c>
      <c r="C55" s="7">
        <v>0.625</v>
      </c>
      <c r="D55" s="20" t="s">
        <v>45</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27</v>
      </c>
      <c r="B56" s="7">
        <v>0.625</v>
      </c>
      <c r="C56" s="7">
        <v>0.625</v>
      </c>
      <c r="D56" s="20" t="s">
        <v>44</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11"/>
  <sheetViews>
    <sheetView zoomScale="80" zoomScaleNormal="80" workbookViewId="0">
      <selection activeCell="A2" sqref="A2:J11"/>
    </sheetView>
  </sheetViews>
  <sheetFormatPr defaultRowHeight="15" x14ac:dyDescent="0.25"/>
  <cols>
    <col min="4" max="4" width="9.42578125" bestFit="1" customWidth="1"/>
  </cols>
  <sheetData>
    <row r="1" spans="1:10" x14ac:dyDescent="0.25">
      <c r="A1" t="s">
        <v>5</v>
      </c>
      <c r="B1" t="s">
        <v>6</v>
      </c>
      <c r="C1" t="s">
        <v>7</v>
      </c>
      <c r="D1" t="s">
        <v>9</v>
      </c>
      <c r="E1" t="s">
        <v>10</v>
      </c>
      <c r="F1" t="s">
        <v>11</v>
      </c>
      <c r="G1" t="s">
        <v>12</v>
      </c>
      <c r="H1" t="s">
        <v>13</v>
      </c>
      <c r="I1" t="s">
        <v>14</v>
      </c>
      <c r="J1" t="s">
        <v>52</v>
      </c>
    </row>
    <row r="2" spans="1:10" x14ac:dyDescent="0.25">
      <c r="A2" t="s">
        <v>15</v>
      </c>
      <c r="B2" t="s">
        <v>2</v>
      </c>
      <c r="C2" t="s">
        <v>300</v>
      </c>
      <c r="D2">
        <v>7</v>
      </c>
      <c r="E2">
        <v>0</v>
      </c>
      <c r="F2">
        <v>0</v>
      </c>
      <c r="G2">
        <v>0</v>
      </c>
      <c r="H2">
        <v>0</v>
      </c>
      <c r="I2">
        <v>0</v>
      </c>
      <c r="J2">
        <v>0</v>
      </c>
    </row>
    <row r="3" spans="1:10" x14ac:dyDescent="0.25">
      <c r="A3" t="s">
        <v>307</v>
      </c>
      <c r="B3" t="s">
        <v>307</v>
      </c>
      <c r="C3" t="s">
        <v>301</v>
      </c>
      <c r="D3">
        <v>8</v>
      </c>
      <c r="E3">
        <v>0</v>
      </c>
      <c r="F3">
        <v>0</v>
      </c>
      <c r="G3">
        <v>0</v>
      </c>
      <c r="H3">
        <v>10</v>
      </c>
      <c r="I3">
        <v>10</v>
      </c>
      <c r="J3">
        <v>0</v>
      </c>
    </row>
    <row r="4" spans="1:10" x14ac:dyDescent="0.25">
      <c r="A4" t="s">
        <v>307</v>
      </c>
      <c r="B4" t="s">
        <v>307</v>
      </c>
      <c r="C4" t="s">
        <v>302</v>
      </c>
      <c r="D4">
        <v>9</v>
      </c>
      <c r="E4">
        <v>0</v>
      </c>
      <c r="F4">
        <v>0</v>
      </c>
      <c r="G4">
        <v>1</v>
      </c>
      <c r="H4">
        <v>10</v>
      </c>
      <c r="I4">
        <v>10</v>
      </c>
      <c r="J4">
        <v>0</v>
      </c>
    </row>
    <row r="5" spans="1:10" x14ac:dyDescent="0.25">
      <c r="A5" t="s">
        <v>307</v>
      </c>
      <c r="B5" t="s">
        <v>307</v>
      </c>
      <c r="C5" t="s">
        <v>303</v>
      </c>
      <c r="D5">
        <v>10</v>
      </c>
      <c r="E5">
        <v>0</v>
      </c>
      <c r="F5">
        <v>0</v>
      </c>
      <c r="G5">
        <v>0</v>
      </c>
      <c r="H5">
        <v>10</v>
      </c>
      <c r="I5">
        <v>10</v>
      </c>
      <c r="J5">
        <v>0</v>
      </c>
    </row>
    <row r="6" spans="1:10" x14ac:dyDescent="0.25">
      <c r="A6" t="s">
        <v>15</v>
      </c>
      <c r="B6" t="s">
        <v>2</v>
      </c>
      <c r="C6" t="s">
        <v>215</v>
      </c>
      <c r="D6">
        <v>6</v>
      </c>
      <c r="E6">
        <v>0</v>
      </c>
      <c r="F6">
        <v>0</v>
      </c>
      <c r="G6">
        <v>0</v>
      </c>
      <c r="H6">
        <v>0</v>
      </c>
      <c r="I6">
        <v>0</v>
      </c>
      <c r="J6">
        <v>0</v>
      </c>
    </row>
    <row r="7" spans="1:10" x14ac:dyDescent="0.25">
      <c r="A7" t="s">
        <v>15</v>
      </c>
      <c r="B7" t="s">
        <v>2</v>
      </c>
      <c r="C7" t="s">
        <v>2</v>
      </c>
      <c r="D7">
        <v>5</v>
      </c>
      <c r="E7">
        <v>1</v>
      </c>
      <c r="F7">
        <v>1</v>
      </c>
      <c r="G7">
        <v>1</v>
      </c>
      <c r="H7">
        <v>13</v>
      </c>
      <c r="I7">
        <v>13</v>
      </c>
      <c r="J7">
        <v>1</v>
      </c>
    </row>
    <row r="8" spans="1:10" x14ac:dyDescent="0.25">
      <c r="A8" t="s">
        <v>15</v>
      </c>
      <c r="B8" t="s">
        <v>2</v>
      </c>
      <c r="C8" t="s">
        <v>208</v>
      </c>
      <c r="D8">
        <v>4</v>
      </c>
      <c r="E8">
        <v>0</v>
      </c>
      <c r="F8">
        <v>1</v>
      </c>
      <c r="G8">
        <v>1</v>
      </c>
      <c r="H8">
        <v>13</v>
      </c>
      <c r="I8">
        <v>13</v>
      </c>
      <c r="J8">
        <v>1</v>
      </c>
    </row>
    <row r="9" spans="1:10" x14ac:dyDescent="0.25">
      <c r="A9" t="s">
        <v>15</v>
      </c>
      <c r="B9" t="s">
        <v>2</v>
      </c>
      <c r="C9" t="s">
        <v>228</v>
      </c>
      <c r="D9">
        <v>3</v>
      </c>
      <c r="E9">
        <v>0</v>
      </c>
      <c r="F9">
        <v>0</v>
      </c>
      <c r="G9">
        <v>0</v>
      </c>
      <c r="H9">
        <v>18</v>
      </c>
      <c r="I9">
        <v>18</v>
      </c>
      <c r="J9">
        <v>0</v>
      </c>
    </row>
    <row r="10" spans="1:10" x14ac:dyDescent="0.25">
      <c r="A10" t="s">
        <v>15</v>
      </c>
      <c r="B10" t="s">
        <v>2</v>
      </c>
      <c r="C10" t="s">
        <v>200</v>
      </c>
      <c r="D10">
        <v>2</v>
      </c>
      <c r="E10">
        <v>0</v>
      </c>
      <c r="F10">
        <v>0</v>
      </c>
      <c r="G10">
        <v>0</v>
      </c>
      <c r="H10">
        <v>4</v>
      </c>
      <c r="I10">
        <v>4</v>
      </c>
      <c r="J10">
        <v>0</v>
      </c>
    </row>
    <row r="11" spans="1:10" x14ac:dyDescent="0.25">
      <c r="A11" t="s">
        <v>15</v>
      </c>
      <c r="B11" t="s">
        <v>2</v>
      </c>
      <c r="C11" t="s">
        <v>203</v>
      </c>
      <c r="D11">
        <v>1</v>
      </c>
      <c r="E11">
        <v>0</v>
      </c>
      <c r="F11">
        <v>0</v>
      </c>
      <c r="G11">
        <v>0</v>
      </c>
      <c r="H11">
        <v>8</v>
      </c>
      <c r="I11">
        <v>8</v>
      </c>
      <c r="J11">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E61"/>
  <sheetViews>
    <sheetView zoomScale="80" zoomScaleNormal="80" workbookViewId="0">
      <selection activeCell="A2" sqref="A2:E61"/>
    </sheetView>
  </sheetViews>
  <sheetFormatPr defaultRowHeight="15" x14ac:dyDescent="0.25"/>
  <cols>
    <col min="1" max="1" width="17.28515625" bestFit="1" customWidth="1"/>
    <col min="2" max="2" width="68.28515625" bestFit="1" customWidth="1"/>
    <col min="3" max="3" width="7.140625" bestFit="1" customWidth="1"/>
  </cols>
  <sheetData>
    <row r="1" spans="1:5" x14ac:dyDescent="0.25">
      <c r="A1" t="s">
        <v>6</v>
      </c>
      <c r="B1" t="s">
        <v>8</v>
      </c>
      <c r="C1" t="s">
        <v>105</v>
      </c>
      <c r="D1" t="s">
        <v>246</v>
      </c>
      <c r="E1" t="s">
        <v>247</v>
      </c>
    </row>
    <row r="2" spans="1:5" x14ac:dyDescent="0.25">
      <c r="A2" t="s">
        <v>2</v>
      </c>
      <c r="B2" t="s">
        <v>17</v>
      </c>
      <c r="C2">
        <v>1.466</v>
      </c>
      <c r="D2" t="s">
        <v>226</v>
      </c>
      <c r="E2" t="s">
        <v>212</v>
      </c>
    </row>
    <row r="3" spans="1:5" x14ac:dyDescent="0.25">
      <c r="A3" t="s">
        <v>2</v>
      </c>
      <c r="B3" t="s">
        <v>19</v>
      </c>
      <c r="C3">
        <v>1.484</v>
      </c>
      <c r="D3" t="s">
        <v>212</v>
      </c>
      <c r="E3" t="s">
        <v>213</v>
      </c>
    </row>
    <row r="4" spans="1:5" x14ac:dyDescent="0.25">
      <c r="A4" t="s">
        <v>2</v>
      </c>
      <c r="B4" t="s">
        <v>21</v>
      </c>
      <c r="C4">
        <v>0.97199999999999998</v>
      </c>
      <c r="D4" t="s">
        <v>213</v>
      </c>
      <c r="E4" t="s">
        <v>221</v>
      </c>
    </row>
    <row r="5" spans="1:5" x14ac:dyDescent="0.25">
      <c r="A5" t="s">
        <v>2</v>
      </c>
      <c r="B5" t="s">
        <v>36</v>
      </c>
      <c r="C5">
        <v>1.43</v>
      </c>
      <c r="D5" t="s">
        <v>221</v>
      </c>
      <c r="E5" t="s">
        <v>220</v>
      </c>
    </row>
    <row r="6" spans="1:5" x14ac:dyDescent="0.25">
      <c r="A6" t="s">
        <v>2</v>
      </c>
      <c r="B6" t="s">
        <v>316</v>
      </c>
      <c r="C6">
        <v>2.6880000000000002</v>
      </c>
      <c r="D6" t="s">
        <v>220</v>
      </c>
      <c r="E6" t="s">
        <v>300</v>
      </c>
    </row>
    <row r="7" spans="1:5" x14ac:dyDescent="0.25">
      <c r="A7" t="s">
        <v>2</v>
      </c>
      <c r="B7" t="s">
        <v>317</v>
      </c>
      <c r="C7">
        <v>3.5230000000000001</v>
      </c>
      <c r="D7" t="s">
        <v>300</v>
      </c>
      <c r="E7" t="s">
        <v>215</v>
      </c>
    </row>
    <row r="8" spans="1:5" x14ac:dyDescent="0.25">
      <c r="A8" t="s">
        <v>2</v>
      </c>
      <c r="B8" t="s">
        <v>26</v>
      </c>
      <c r="C8">
        <v>3.3769999999999998</v>
      </c>
      <c r="D8" t="s">
        <v>215</v>
      </c>
      <c r="E8" t="s">
        <v>2</v>
      </c>
    </row>
    <row r="9" spans="1:5" x14ac:dyDescent="0.25">
      <c r="A9" t="s">
        <v>2</v>
      </c>
      <c r="B9" t="s">
        <v>28</v>
      </c>
      <c r="C9">
        <v>4.8600000000000003</v>
      </c>
      <c r="D9" t="s">
        <v>2</v>
      </c>
      <c r="E9" t="s">
        <v>208</v>
      </c>
    </row>
    <row r="10" spans="1:5" x14ac:dyDescent="0.25">
      <c r="A10" t="s">
        <v>2</v>
      </c>
      <c r="B10" t="s">
        <v>37</v>
      </c>
      <c r="C10">
        <v>3</v>
      </c>
      <c r="D10" t="s">
        <v>208</v>
      </c>
      <c r="E10" t="s">
        <v>228</v>
      </c>
    </row>
    <row r="11" spans="1:5" x14ac:dyDescent="0.25">
      <c r="A11" t="s">
        <v>2</v>
      </c>
      <c r="B11" t="s">
        <v>38</v>
      </c>
      <c r="C11">
        <v>0.55000000000000004</v>
      </c>
      <c r="D11" t="s">
        <v>228</v>
      </c>
      <c r="E11" t="s">
        <v>200</v>
      </c>
    </row>
    <row r="12" spans="1:5" x14ac:dyDescent="0.25">
      <c r="A12" t="s">
        <v>2</v>
      </c>
      <c r="B12" t="s">
        <v>32</v>
      </c>
      <c r="C12">
        <v>1.65</v>
      </c>
      <c r="D12" t="s">
        <v>200</v>
      </c>
      <c r="E12" t="s">
        <v>203</v>
      </c>
    </row>
    <row r="13" spans="1:5" x14ac:dyDescent="0.25">
      <c r="A13" t="s">
        <v>57</v>
      </c>
      <c r="B13" t="s">
        <v>66</v>
      </c>
      <c r="C13">
        <v>10.428000000000001</v>
      </c>
      <c r="D13" t="s">
        <v>198</v>
      </c>
      <c r="E13" t="s">
        <v>199</v>
      </c>
    </row>
    <row r="14" spans="1:5" x14ac:dyDescent="0.25">
      <c r="A14" t="s">
        <v>57</v>
      </c>
      <c r="B14" t="s">
        <v>58</v>
      </c>
      <c r="C14">
        <v>16.832000000000001</v>
      </c>
      <c r="D14" t="s">
        <v>199</v>
      </c>
      <c r="E14" t="s">
        <v>57</v>
      </c>
    </row>
    <row r="15" spans="1:5" x14ac:dyDescent="0.25">
      <c r="A15" t="s">
        <v>57</v>
      </c>
      <c r="B15" t="s">
        <v>67</v>
      </c>
      <c r="C15">
        <v>9.8000000000000007</v>
      </c>
      <c r="D15" t="s">
        <v>57</v>
      </c>
      <c r="E15" t="s">
        <v>210</v>
      </c>
    </row>
    <row r="16" spans="1:5" x14ac:dyDescent="0.25">
      <c r="A16" t="s">
        <v>57</v>
      </c>
      <c r="B16" t="s">
        <v>74</v>
      </c>
      <c r="C16">
        <v>3.92</v>
      </c>
      <c r="D16" t="s">
        <v>210</v>
      </c>
      <c r="E16" t="s">
        <v>211</v>
      </c>
    </row>
    <row r="17" spans="1:5" x14ac:dyDescent="0.25">
      <c r="A17" t="s">
        <v>57</v>
      </c>
      <c r="B17" t="s">
        <v>69</v>
      </c>
      <c r="C17">
        <v>3.37</v>
      </c>
      <c r="D17" t="s">
        <v>211</v>
      </c>
      <c r="E17" t="s">
        <v>206</v>
      </c>
    </row>
    <row r="18" spans="1:5" x14ac:dyDescent="0.25">
      <c r="A18" t="s">
        <v>57</v>
      </c>
      <c r="B18" t="s">
        <v>75</v>
      </c>
      <c r="C18">
        <v>2.7450000000000001</v>
      </c>
      <c r="D18" t="s">
        <v>206</v>
      </c>
      <c r="E18" t="s">
        <v>207</v>
      </c>
    </row>
    <row r="19" spans="1:5" x14ac:dyDescent="0.25">
      <c r="A19" t="s">
        <v>57</v>
      </c>
      <c r="B19" t="s">
        <v>77</v>
      </c>
      <c r="C19">
        <v>1.839</v>
      </c>
      <c r="D19" t="s">
        <v>207</v>
      </c>
      <c r="E19" t="s">
        <v>216</v>
      </c>
    </row>
    <row r="20" spans="1:5" x14ac:dyDescent="0.25">
      <c r="A20" t="s">
        <v>59</v>
      </c>
      <c r="B20" t="s">
        <v>76</v>
      </c>
      <c r="C20">
        <v>8.3030000000000008</v>
      </c>
      <c r="D20" t="s">
        <v>219</v>
      </c>
      <c r="E20" t="s">
        <v>218</v>
      </c>
    </row>
    <row r="21" spans="1:5" x14ac:dyDescent="0.25">
      <c r="A21" t="s">
        <v>59</v>
      </c>
      <c r="B21" t="s">
        <v>68</v>
      </c>
      <c r="C21">
        <v>11.707000000000001</v>
      </c>
      <c r="D21" t="s">
        <v>218</v>
      </c>
      <c r="E21" t="s">
        <v>59</v>
      </c>
    </row>
    <row r="22" spans="1:5" x14ac:dyDescent="0.25">
      <c r="A22" t="s">
        <v>59</v>
      </c>
      <c r="B22" t="s">
        <v>60</v>
      </c>
      <c r="C22">
        <v>23.632999999999999</v>
      </c>
      <c r="D22" t="s">
        <v>59</v>
      </c>
      <c r="E22" t="s">
        <v>217</v>
      </c>
    </row>
    <row r="23" spans="1:5" x14ac:dyDescent="0.25">
      <c r="A23" t="s">
        <v>59</v>
      </c>
      <c r="B23" t="s">
        <v>63</v>
      </c>
      <c r="C23">
        <v>14.78</v>
      </c>
      <c r="D23" t="s">
        <v>217</v>
      </c>
      <c r="E23" t="s">
        <v>198</v>
      </c>
    </row>
    <row r="24" spans="1:5" x14ac:dyDescent="0.25">
      <c r="A24" t="s">
        <v>0</v>
      </c>
      <c r="B24" t="s">
        <v>65</v>
      </c>
      <c r="C24">
        <v>3.85</v>
      </c>
      <c r="D24" t="s">
        <v>223</v>
      </c>
      <c r="E24" t="s">
        <v>224</v>
      </c>
    </row>
    <row r="25" spans="1:5" x14ac:dyDescent="0.25">
      <c r="A25" t="s">
        <v>0</v>
      </c>
      <c r="B25" t="s">
        <v>72</v>
      </c>
      <c r="C25">
        <v>2.95</v>
      </c>
      <c r="D25" t="s">
        <v>224</v>
      </c>
      <c r="E25" t="s">
        <v>225</v>
      </c>
    </row>
    <row r="26" spans="1:5" x14ac:dyDescent="0.25">
      <c r="A26" t="s">
        <v>0</v>
      </c>
      <c r="B26" t="s">
        <v>62</v>
      </c>
      <c r="C26">
        <v>6.24</v>
      </c>
      <c r="D26" t="s">
        <v>225</v>
      </c>
      <c r="E26" t="s">
        <v>201</v>
      </c>
    </row>
    <row r="27" spans="1:5" x14ac:dyDescent="0.25">
      <c r="A27" t="s">
        <v>0</v>
      </c>
      <c r="B27" t="s">
        <v>61</v>
      </c>
      <c r="C27">
        <v>7.46</v>
      </c>
      <c r="D27" t="s">
        <v>201</v>
      </c>
      <c r="E27" t="s">
        <v>202</v>
      </c>
    </row>
    <row r="28" spans="1:5" x14ac:dyDescent="0.25">
      <c r="A28" t="s">
        <v>0</v>
      </c>
      <c r="B28" t="s">
        <v>73</v>
      </c>
      <c r="C28">
        <v>3.4</v>
      </c>
      <c r="D28" t="s">
        <v>202</v>
      </c>
      <c r="E28" t="s">
        <v>227</v>
      </c>
    </row>
    <row r="29" spans="1:5" x14ac:dyDescent="0.25">
      <c r="A29" t="s">
        <v>0</v>
      </c>
      <c r="B29" t="s">
        <v>71</v>
      </c>
      <c r="C29">
        <v>3.9750000000000001</v>
      </c>
      <c r="D29" t="s">
        <v>227</v>
      </c>
      <c r="E29" t="s">
        <v>222</v>
      </c>
    </row>
    <row r="30" spans="1:5" x14ac:dyDescent="0.25">
      <c r="A30" t="s">
        <v>0</v>
      </c>
      <c r="B30" t="s">
        <v>78</v>
      </c>
      <c r="C30">
        <v>1.2250000000000001</v>
      </c>
      <c r="D30" t="s">
        <v>222</v>
      </c>
      <c r="E30" t="s">
        <v>197</v>
      </c>
    </row>
    <row r="31" spans="1:5" x14ac:dyDescent="0.25">
      <c r="A31" t="s">
        <v>0</v>
      </c>
      <c r="B31" t="s">
        <v>79</v>
      </c>
      <c r="C31">
        <v>0.86799999999999999</v>
      </c>
      <c r="D31" t="s">
        <v>197</v>
      </c>
      <c r="E31" t="s">
        <v>0</v>
      </c>
    </row>
    <row r="32" spans="1:5" x14ac:dyDescent="0.25">
      <c r="A32" t="s">
        <v>0</v>
      </c>
      <c r="B32" t="s">
        <v>56</v>
      </c>
      <c r="C32">
        <v>15.516</v>
      </c>
      <c r="D32" t="s">
        <v>0</v>
      </c>
      <c r="E32" t="s">
        <v>204</v>
      </c>
    </row>
    <row r="33" spans="1:5" x14ac:dyDescent="0.25">
      <c r="A33" t="s">
        <v>0</v>
      </c>
      <c r="B33" t="s">
        <v>64</v>
      </c>
      <c r="C33">
        <v>11.286</v>
      </c>
      <c r="D33" t="s">
        <v>204</v>
      </c>
      <c r="E33" t="s">
        <v>205</v>
      </c>
    </row>
    <row r="34" spans="1:5" x14ac:dyDescent="0.25">
      <c r="A34" t="s">
        <v>0</v>
      </c>
      <c r="B34" t="s">
        <v>70</v>
      </c>
      <c r="C34">
        <v>8.08</v>
      </c>
      <c r="D34" t="s">
        <v>205</v>
      </c>
      <c r="E34" t="s">
        <v>209</v>
      </c>
    </row>
    <row r="35" spans="1:5" x14ac:dyDescent="0.25">
      <c r="A35" t="s">
        <v>231</v>
      </c>
      <c r="B35" t="s">
        <v>190</v>
      </c>
      <c r="C35">
        <v>1.1850000000000001</v>
      </c>
      <c r="D35" t="s">
        <v>209</v>
      </c>
      <c r="E35" t="s">
        <v>232</v>
      </c>
    </row>
    <row r="36" spans="1:5" x14ac:dyDescent="0.25">
      <c r="A36" t="s">
        <v>231</v>
      </c>
      <c r="B36" t="s">
        <v>185</v>
      </c>
      <c r="C36">
        <v>27.015000000000001</v>
      </c>
      <c r="D36" t="s">
        <v>232</v>
      </c>
      <c r="E36" t="s">
        <v>233</v>
      </c>
    </row>
    <row r="37" spans="1:5" x14ac:dyDescent="0.25">
      <c r="A37" t="s">
        <v>231</v>
      </c>
      <c r="B37" t="s">
        <v>183</v>
      </c>
      <c r="C37">
        <v>20.324999999999999</v>
      </c>
      <c r="D37" t="s">
        <v>233</v>
      </c>
      <c r="E37" t="s">
        <v>234</v>
      </c>
    </row>
    <row r="38" spans="1:5" x14ac:dyDescent="0.25">
      <c r="A38" t="s">
        <v>231</v>
      </c>
      <c r="B38" t="s">
        <v>187</v>
      </c>
      <c r="C38">
        <v>15.234999999999999</v>
      </c>
      <c r="D38" t="s">
        <v>234</v>
      </c>
      <c r="E38" t="s">
        <v>231</v>
      </c>
    </row>
    <row r="39" spans="1:5" x14ac:dyDescent="0.25">
      <c r="A39" t="s">
        <v>231</v>
      </c>
      <c r="B39" t="s">
        <v>184</v>
      </c>
      <c r="C39">
        <v>24.065000000000001</v>
      </c>
      <c r="D39" t="s">
        <v>231</v>
      </c>
      <c r="E39" t="s">
        <v>235</v>
      </c>
    </row>
    <row r="40" spans="1:5" x14ac:dyDescent="0.25">
      <c r="A40" t="s">
        <v>231</v>
      </c>
      <c r="B40" t="s">
        <v>189</v>
      </c>
      <c r="C40">
        <v>14.736000000000001</v>
      </c>
      <c r="D40" t="s">
        <v>235</v>
      </c>
      <c r="E40" t="s">
        <v>230</v>
      </c>
    </row>
    <row r="41" spans="1:5" x14ac:dyDescent="0.25">
      <c r="A41" t="s">
        <v>231</v>
      </c>
      <c r="B41" t="s">
        <v>188</v>
      </c>
      <c r="C41">
        <v>13.045</v>
      </c>
      <c r="D41" t="s">
        <v>230</v>
      </c>
      <c r="E41" t="s">
        <v>229</v>
      </c>
    </row>
    <row r="42" spans="1:5" x14ac:dyDescent="0.25">
      <c r="A42" t="s">
        <v>231</v>
      </c>
      <c r="B42" t="s">
        <v>186</v>
      </c>
      <c r="C42">
        <v>7.681</v>
      </c>
      <c r="D42" t="s">
        <v>229</v>
      </c>
      <c r="E42" t="s">
        <v>219</v>
      </c>
    </row>
    <row r="43" spans="1:5" x14ac:dyDescent="0.25">
      <c r="A43" t="s">
        <v>276</v>
      </c>
      <c r="B43" t="s">
        <v>286</v>
      </c>
      <c r="C43">
        <v>3.2</v>
      </c>
      <c r="D43" t="s">
        <v>277</v>
      </c>
      <c r="E43" t="s">
        <v>278</v>
      </c>
    </row>
    <row r="44" spans="1:5" x14ac:dyDescent="0.25">
      <c r="A44" t="s">
        <v>276</v>
      </c>
      <c r="B44" t="s">
        <v>287</v>
      </c>
      <c r="C44">
        <v>1.6</v>
      </c>
      <c r="D44" t="s">
        <v>278</v>
      </c>
      <c r="E44" t="s">
        <v>279</v>
      </c>
    </row>
    <row r="45" spans="1:5" x14ac:dyDescent="0.25">
      <c r="A45" t="s">
        <v>276</v>
      </c>
      <c r="B45" t="s">
        <v>288</v>
      </c>
      <c r="C45">
        <v>7.2</v>
      </c>
      <c r="D45" t="s">
        <v>279</v>
      </c>
      <c r="E45" t="s">
        <v>280</v>
      </c>
    </row>
    <row r="46" spans="1:5" x14ac:dyDescent="0.25">
      <c r="A46" t="s">
        <v>276</v>
      </c>
      <c r="B46" t="s">
        <v>289</v>
      </c>
      <c r="C46">
        <v>4.8</v>
      </c>
      <c r="D46" t="s">
        <v>280</v>
      </c>
      <c r="E46" t="s">
        <v>281</v>
      </c>
    </row>
    <row r="47" spans="1:5" x14ac:dyDescent="0.25">
      <c r="A47" t="s">
        <v>276</v>
      </c>
      <c r="B47" t="s">
        <v>290</v>
      </c>
      <c r="C47">
        <v>8</v>
      </c>
      <c r="D47" t="s">
        <v>281</v>
      </c>
      <c r="E47" t="s">
        <v>282</v>
      </c>
    </row>
    <row r="48" spans="1:5" x14ac:dyDescent="0.25">
      <c r="A48" t="s">
        <v>276</v>
      </c>
      <c r="B48" t="s">
        <v>291</v>
      </c>
      <c r="C48">
        <v>9.6</v>
      </c>
      <c r="D48" t="s">
        <v>282</v>
      </c>
      <c r="E48" t="s">
        <v>283</v>
      </c>
    </row>
    <row r="49" spans="1:5" x14ac:dyDescent="0.25">
      <c r="A49" t="s">
        <v>276</v>
      </c>
      <c r="B49" t="s">
        <v>318</v>
      </c>
      <c r="C49">
        <v>4.4000000000000004</v>
      </c>
      <c r="D49" t="s">
        <v>283</v>
      </c>
      <c r="E49" t="s">
        <v>218</v>
      </c>
    </row>
    <row r="50" spans="1:5" x14ac:dyDescent="0.25">
      <c r="A50" t="s">
        <v>276</v>
      </c>
      <c r="B50" t="s">
        <v>319</v>
      </c>
      <c r="C50">
        <v>1.1000000000000001</v>
      </c>
      <c r="D50" t="s">
        <v>218</v>
      </c>
      <c r="E50" t="s">
        <v>285</v>
      </c>
    </row>
    <row r="51" spans="1:5" x14ac:dyDescent="0.25">
      <c r="A51" t="s">
        <v>292</v>
      </c>
      <c r="B51" t="s">
        <v>296</v>
      </c>
      <c r="C51">
        <v>6.9</v>
      </c>
      <c r="D51" t="s">
        <v>298</v>
      </c>
      <c r="E51" t="s">
        <v>293</v>
      </c>
    </row>
    <row r="52" spans="1:5" x14ac:dyDescent="0.25">
      <c r="A52" t="s">
        <v>292</v>
      </c>
      <c r="B52" t="s">
        <v>320</v>
      </c>
      <c r="C52">
        <v>11</v>
      </c>
      <c r="D52" t="s">
        <v>293</v>
      </c>
      <c r="E52" t="s">
        <v>197</v>
      </c>
    </row>
    <row r="53" spans="1:5" x14ac:dyDescent="0.25">
      <c r="A53" t="s">
        <v>292</v>
      </c>
      <c r="B53" t="s">
        <v>321</v>
      </c>
      <c r="C53">
        <v>14.5</v>
      </c>
      <c r="D53" t="s">
        <v>197</v>
      </c>
      <c r="E53" t="s">
        <v>294</v>
      </c>
    </row>
    <row r="54" spans="1:5" x14ac:dyDescent="0.25">
      <c r="A54" t="s">
        <v>292</v>
      </c>
      <c r="B54" t="s">
        <v>297</v>
      </c>
      <c r="C54">
        <v>7.4</v>
      </c>
      <c r="D54" t="s">
        <v>294</v>
      </c>
      <c r="E54" t="s">
        <v>295</v>
      </c>
    </row>
    <row r="55" spans="1:5" x14ac:dyDescent="0.25">
      <c r="A55" t="s">
        <v>307</v>
      </c>
      <c r="B55" t="s">
        <v>313</v>
      </c>
      <c r="C55">
        <v>3.4</v>
      </c>
      <c r="D55" t="s">
        <v>300</v>
      </c>
      <c r="E55" t="s">
        <v>301</v>
      </c>
    </row>
    <row r="56" spans="1:5" x14ac:dyDescent="0.25">
      <c r="A56" t="s">
        <v>307</v>
      </c>
      <c r="B56" t="s">
        <v>312</v>
      </c>
      <c r="C56">
        <v>6</v>
      </c>
      <c r="D56" t="s">
        <v>301</v>
      </c>
      <c r="E56" t="s">
        <v>302</v>
      </c>
    </row>
    <row r="57" spans="1:5" x14ac:dyDescent="0.25">
      <c r="A57" t="s">
        <v>307</v>
      </c>
      <c r="B57" t="s">
        <v>311</v>
      </c>
      <c r="C57">
        <v>6.8</v>
      </c>
      <c r="D57" t="s">
        <v>302</v>
      </c>
      <c r="E57" t="s">
        <v>303</v>
      </c>
    </row>
    <row r="58" spans="1:5" x14ac:dyDescent="0.25">
      <c r="A58" t="s">
        <v>307</v>
      </c>
      <c r="B58" t="s">
        <v>314</v>
      </c>
      <c r="C58">
        <v>3.5</v>
      </c>
      <c r="D58" t="s">
        <v>303</v>
      </c>
      <c r="E58" t="s">
        <v>304</v>
      </c>
    </row>
    <row r="59" spans="1:5" x14ac:dyDescent="0.25">
      <c r="A59" t="s">
        <v>307</v>
      </c>
      <c r="B59" t="s">
        <v>310</v>
      </c>
      <c r="C59">
        <v>3.4</v>
      </c>
      <c r="D59" t="s">
        <v>304</v>
      </c>
      <c r="E59" t="s">
        <v>305</v>
      </c>
    </row>
    <row r="60" spans="1:5" x14ac:dyDescent="0.25">
      <c r="A60" t="s">
        <v>307</v>
      </c>
      <c r="B60" t="s">
        <v>308</v>
      </c>
      <c r="C60">
        <v>8.3000000000000007</v>
      </c>
      <c r="D60" t="s">
        <v>305</v>
      </c>
      <c r="E60" t="s">
        <v>298</v>
      </c>
    </row>
    <row r="61" spans="1:5" x14ac:dyDescent="0.25">
      <c r="A61" t="s">
        <v>307</v>
      </c>
      <c r="B61" t="s">
        <v>309</v>
      </c>
      <c r="C61">
        <v>3</v>
      </c>
      <c r="D61" t="s">
        <v>298</v>
      </c>
      <c r="E61" t="s">
        <v>306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53</v>
      </c>
      <c r="B1" t="s">
        <v>34</v>
      </c>
      <c r="C1" t="s">
        <v>11</v>
      </c>
      <c r="D1" t="s">
        <v>12</v>
      </c>
      <c r="E1" t="s">
        <v>35</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3</v>
      </c>
      <c r="B1" t="s">
        <v>154</v>
      </c>
      <c r="C1" t="s">
        <v>40</v>
      </c>
      <c r="D1" t="s">
        <v>41</v>
      </c>
      <c r="E1" t="s">
        <v>50</v>
      </c>
      <c r="F1" t="s">
        <v>51</v>
      </c>
    </row>
    <row r="2" spans="1:6" x14ac:dyDescent="0.25">
      <c r="A2" t="s">
        <v>47</v>
      </c>
      <c r="B2">
        <v>15</v>
      </c>
      <c r="C2">
        <v>119.99999999999997</v>
      </c>
      <c r="D2">
        <v>180</v>
      </c>
    </row>
    <row r="3" spans="1:6" x14ac:dyDescent="0.25">
      <c r="A3" t="s">
        <v>48</v>
      </c>
      <c r="B3">
        <v>60</v>
      </c>
      <c r="C3">
        <v>239.99999999999994</v>
      </c>
      <c r="D3">
        <v>420</v>
      </c>
    </row>
    <row r="4" spans="1:6" x14ac:dyDescent="0.25">
      <c r="A4" t="s">
        <v>47</v>
      </c>
      <c r="B4">
        <v>15</v>
      </c>
      <c r="C4">
        <v>539.99999999999989</v>
      </c>
      <c r="D4">
        <v>600</v>
      </c>
    </row>
    <row r="5" spans="1:6" x14ac:dyDescent="0.25">
      <c r="A5" t="s">
        <v>48</v>
      </c>
      <c r="B5">
        <v>60</v>
      </c>
      <c r="C5">
        <v>660</v>
      </c>
      <c r="D5">
        <v>870.00000000000011</v>
      </c>
    </row>
    <row r="6" spans="1:6" x14ac:dyDescent="0.25">
      <c r="A6" t="s">
        <v>47</v>
      </c>
      <c r="B6">
        <v>15</v>
      </c>
      <c r="C6">
        <v>1020</v>
      </c>
      <c r="D6">
        <v>1080</v>
      </c>
    </row>
    <row r="7" spans="1:6" x14ac:dyDescent="0.25">
      <c r="A7" t="s">
        <v>48</v>
      </c>
      <c r="B7">
        <v>60</v>
      </c>
      <c r="C7">
        <v>1140</v>
      </c>
      <c r="D7">
        <v>1260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9"/>
  <sheetViews>
    <sheetView workbookViewId="0">
      <selection activeCell="A2" sqref="A2:J9"/>
    </sheetView>
  </sheetViews>
  <sheetFormatPr defaultRowHeight="15" x14ac:dyDescent="0.25"/>
  <sheetData>
    <row r="1" spans="1:10" x14ac:dyDescent="0.25">
      <c r="A1" t="s">
        <v>5</v>
      </c>
      <c r="B1" t="s">
        <v>3</v>
      </c>
      <c r="C1" t="s">
        <v>106</v>
      </c>
      <c r="D1" t="s">
        <v>50</v>
      </c>
      <c r="E1" t="s">
        <v>51</v>
      </c>
      <c r="F1" t="s">
        <v>11</v>
      </c>
      <c r="G1" t="s">
        <v>12</v>
      </c>
      <c r="H1" t="s">
        <v>13</v>
      </c>
      <c r="I1" t="s">
        <v>14</v>
      </c>
      <c r="J1" t="s">
        <v>52</v>
      </c>
    </row>
    <row r="2" spans="1:10" x14ac:dyDescent="0.25">
      <c r="A2" t="s">
        <v>236</v>
      </c>
      <c r="B2" t="s">
        <v>106</v>
      </c>
      <c r="C2" t="s">
        <v>248</v>
      </c>
      <c r="D2" t="s">
        <v>0</v>
      </c>
      <c r="E2" t="s">
        <v>204</v>
      </c>
      <c r="F2">
        <v>0</v>
      </c>
      <c r="G2">
        <v>0</v>
      </c>
      <c r="H2">
        <v>10</v>
      </c>
      <c r="I2">
        <v>10</v>
      </c>
      <c r="J2">
        <v>0</v>
      </c>
    </row>
    <row r="3" spans="1:10" x14ac:dyDescent="0.25">
      <c r="A3" t="s">
        <v>236</v>
      </c>
      <c r="B3" t="s">
        <v>106</v>
      </c>
      <c r="C3" t="s">
        <v>249</v>
      </c>
      <c r="D3" t="s">
        <v>209</v>
      </c>
      <c r="E3" t="s">
        <v>233</v>
      </c>
      <c r="F3">
        <v>0</v>
      </c>
      <c r="G3">
        <v>0</v>
      </c>
      <c r="H3">
        <v>10</v>
      </c>
      <c r="I3">
        <v>10</v>
      </c>
      <c r="J3">
        <v>0</v>
      </c>
    </row>
    <row r="4" spans="1:10" x14ac:dyDescent="0.25">
      <c r="A4" t="s">
        <v>236</v>
      </c>
      <c r="B4" t="s">
        <v>106</v>
      </c>
      <c r="C4" t="s">
        <v>250</v>
      </c>
      <c r="D4" t="s">
        <v>234</v>
      </c>
      <c r="E4" t="s">
        <v>231</v>
      </c>
      <c r="F4">
        <v>0</v>
      </c>
      <c r="G4">
        <v>0</v>
      </c>
      <c r="H4">
        <v>10</v>
      </c>
      <c r="I4">
        <v>10</v>
      </c>
      <c r="J4">
        <v>0</v>
      </c>
    </row>
    <row r="5" spans="1:10" x14ac:dyDescent="0.25">
      <c r="A5" t="s">
        <v>236</v>
      </c>
      <c r="B5" t="s">
        <v>106</v>
      </c>
      <c r="C5" t="s">
        <v>252</v>
      </c>
      <c r="D5" t="s">
        <v>235</v>
      </c>
      <c r="E5" t="s">
        <v>230</v>
      </c>
      <c r="F5">
        <v>0</v>
      </c>
      <c r="G5">
        <v>0</v>
      </c>
      <c r="H5">
        <v>10</v>
      </c>
      <c r="I5">
        <v>10</v>
      </c>
      <c r="J5">
        <v>0</v>
      </c>
    </row>
    <row r="6" spans="1:10" x14ac:dyDescent="0.25">
      <c r="A6" t="s">
        <v>236</v>
      </c>
      <c r="B6" t="s">
        <v>106</v>
      </c>
      <c r="C6" t="s">
        <v>251</v>
      </c>
      <c r="D6" t="s">
        <v>218</v>
      </c>
      <c r="E6" t="s">
        <v>59</v>
      </c>
      <c r="F6">
        <v>0</v>
      </c>
      <c r="G6">
        <v>0</v>
      </c>
      <c r="H6">
        <v>10</v>
      </c>
      <c r="I6">
        <v>10</v>
      </c>
      <c r="J6">
        <v>0</v>
      </c>
    </row>
    <row r="7" spans="1:10" x14ac:dyDescent="0.25">
      <c r="A7" t="s">
        <v>236</v>
      </c>
      <c r="B7" t="s">
        <v>106</v>
      </c>
      <c r="C7" t="s">
        <v>253</v>
      </c>
      <c r="D7" t="s">
        <v>198</v>
      </c>
      <c r="E7" t="s">
        <v>199</v>
      </c>
      <c r="F7">
        <v>0</v>
      </c>
      <c r="G7">
        <v>0</v>
      </c>
      <c r="H7">
        <v>10</v>
      </c>
      <c r="I7">
        <v>10</v>
      </c>
      <c r="J7">
        <v>0</v>
      </c>
    </row>
    <row r="8" spans="1:10" x14ac:dyDescent="0.25">
      <c r="A8" t="s">
        <v>236</v>
      </c>
      <c r="B8" t="s">
        <v>106</v>
      </c>
      <c r="C8" t="s">
        <v>254</v>
      </c>
      <c r="D8" t="s">
        <v>207</v>
      </c>
      <c r="E8" t="s">
        <v>216</v>
      </c>
      <c r="F8">
        <v>0</v>
      </c>
      <c r="G8">
        <v>0</v>
      </c>
      <c r="H8">
        <v>10</v>
      </c>
      <c r="I8">
        <v>10</v>
      </c>
      <c r="J8">
        <v>0</v>
      </c>
    </row>
    <row r="9" spans="1:10" x14ac:dyDescent="0.25">
      <c r="A9" t="s">
        <v>236</v>
      </c>
      <c r="B9" t="s">
        <v>106</v>
      </c>
      <c r="C9" t="s">
        <v>255</v>
      </c>
      <c r="D9" t="s">
        <v>59</v>
      </c>
      <c r="E9" t="s">
        <v>217</v>
      </c>
      <c r="F9">
        <v>0</v>
      </c>
      <c r="G9">
        <v>0</v>
      </c>
      <c r="H9">
        <v>0</v>
      </c>
      <c r="I9">
        <v>0</v>
      </c>
      <c r="J9">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61"/>
  <sheetViews>
    <sheetView workbookViewId="0">
      <selection activeCell="A2" sqref="A2:C61"/>
    </sheetView>
  </sheetViews>
  <sheetFormatPr defaultRowHeight="15" x14ac:dyDescent="0.25"/>
  <cols>
    <col min="1" max="1" width="15.42578125" bestFit="1" customWidth="1"/>
    <col min="2" max="2" width="68.28515625" bestFit="1" customWidth="1"/>
    <col min="3" max="3" width="16.42578125" bestFit="1" customWidth="1"/>
  </cols>
  <sheetData>
    <row r="1" spans="1:3" x14ac:dyDescent="0.25">
      <c r="A1" t="s">
        <v>6</v>
      </c>
      <c r="B1" t="s">
        <v>194</v>
      </c>
      <c r="C1" t="s">
        <v>192</v>
      </c>
    </row>
    <row r="2" spans="1:3" x14ac:dyDescent="0.25">
      <c r="A2" t="s">
        <v>292</v>
      </c>
      <c r="B2" t="s">
        <v>320</v>
      </c>
      <c r="C2">
        <v>24.631578947368421</v>
      </c>
    </row>
    <row r="3" spans="1:3" x14ac:dyDescent="0.25">
      <c r="A3" t="s">
        <v>292</v>
      </c>
      <c r="B3" t="s">
        <v>296</v>
      </c>
      <c r="C3">
        <v>22.626845637583894</v>
      </c>
    </row>
    <row r="4" spans="1:3" x14ac:dyDescent="0.25">
      <c r="A4" t="s">
        <v>292</v>
      </c>
      <c r="B4" t="s">
        <v>321</v>
      </c>
      <c r="C4">
        <v>27.019148936170215</v>
      </c>
    </row>
    <row r="5" spans="1:3" x14ac:dyDescent="0.25">
      <c r="A5" t="s">
        <v>292</v>
      </c>
      <c r="B5" t="s">
        <v>297</v>
      </c>
      <c r="C5">
        <v>26.313402061855669</v>
      </c>
    </row>
    <row r="6" spans="1:3" x14ac:dyDescent="0.25">
      <c r="A6" t="s">
        <v>276</v>
      </c>
      <c r="B6" t="s">
        <v>287</v>
      </c>
      <c r="C6">
        <v>22.307142857142857</v>
      </c>
    </row>
    <row r="7" spans="1:3" x14ac:dyDescent="0.25">
      <c r="A7" t="s">
        <v>276</v>
      </c>
      <c r="B7" t="s">
        <v>288</v>
      </c>
      <c r="C7">
        <v>27.909747292418771</v>
      </c>
    </row>
    <row r="8" spans="1:3" x14ac:dyDescent="0.25">
      <c r="A8" t="s">
        <v>276</v>
      </c>
      <c r="B8" t="s">
        <v>318</v>
      </c>
      <c r="C8">
        <v>25.2</v>
      </c>
    </row>
    <row r="9" spans="1:3" x14ac:dyDescent="0.25">
      <c r="A9" t="s">
        <v>276</v>
      </c>
      <c r="B9" t="s">
        <v>286</v>
      </c>
      <c r="C9">
        <v>23.44</v>
      </c>
    </row>
    <row r="10" spans="1:3" x14ac:dyDescent="0.25">
      <c r="A10" t="s">
        <v>276</v>
      </c>
      <c r="B10" t="s">
        <v>290</v>
      </c>
      <c r="C10">
        <v>22.607999999999997</v>
      </c>
    </row>
    <row r="11" spans="1:3" x14ac:dyDescent="0.25">
      <c r="A11" t="s">
        <v>276</v>
      </c>
      <c r="B11" t="s">
        <v>291</v>
      </c>
      <c r="C11">
        <v>22.937430167597768</v>
      </c>
    </row>
    <row r="12" spans="1:3" x14ac:dyDescent="0.25">
      <c r="A12" t="s">
        <v>276</v>
      </c>
      <c r="B12" t="s">
        <v>319</v>
      </c>
      <c r="C12">
        <v>30.37808219178082</v>
      </c>
    </row>
    <row r="13" spans="1:3" x14ac:dyDescent="0.25">
      <c r="A13" t="s">
        <v>276</v>
      </c>
      <c r="B13" t="s">
        <v>289</v>
      </c>
      <c r="C13">
        <v>30.544897959183675</v>
      </c>
    </row>
    <row r="14" spans="1:3" x14ac:dyDescent="0.25">
      <c r="A14" t="s">
        <v>307</v>
      </c>
      <c r="B14" t="s">
        <v>308</v>
      </c>
      <c r="C14">
        <v>27.201277955271568</v>
      </c>
    </row>
    <row r="15" spans="1:3" x14ac:dyDescent="0.25">
      <c r="A15" t="s">
        <v>307</v>
      </c>
      <c r="B15" t="s">
        <v>311</v>
      </c>
      <c r="C15">
        <v>25.296428571428571</v>
      </c>
    </row>
    <row r="16" spans="1:3" x14ac:dyDescent="0.25">
      <c r="A16" t="s">
        <v>307</v>
      </c>
      <c r="B16" t="s">
        <v>312</v>
      </c>
      <c r="C16">
        <v>26.884403669724772</v>
      </c>
    </row>
    <row r="17" spans="1:3" x14ac:dyDescent="0.25">
      <c r="A17" t="s">
        <v>307</v>
      </c>
      <c r="B17" t="s">
        <v>313</v>
      </c>
      <c r="C17">
        <v>30.451034482758619</v>
      </c>
    </row>
    <row r="18" spans="1:3" x14ac:dyDescent="0.25">
      <c r="A18" t="s">
        <v>307</v>
      </c>
      <c r="B18" t="s">
        <v>314</v>
      </c>
      <c r="C18">
        <v>26.422641509433962</v>
      </c>
    </row>
    <row r="19" spans="1:3" x14ac:dyDescent="0.25">
      <c r="A19" t="s">
        <v>307</v>
      </c>
      <c r="B19" t="s">
        <v>309</v>
      </c>
      <c r="C19">
        <v>26.56</v>
      </c>
    </row>
    <row r="20" spans="1:3" x14ac:dyDescent="0.25">
      <c r="A20" t="s">
        <v>307</v>
      </c>
      <c r="B20" t="s">
        <v>310</v>
      </c>
      <c r="C20">
        <v>24.961764705882356</v>
      </c>
    </row>
    <row r="21" spans="1:3" x14ac:dyDescent="0.25">
      <c r="A21" t="s">
        <v>2</v>
      </c>
      <c r="B21" t="s">
        <v>36</v>
      </c>
      <c r="C21">
        <v>31.947932618683005</v>
      </c>
    </row>
    <row r="22" spans="1:3" x14ac:dyDescent="0.25">
      <c r="A22" t="s">
        <v>2</v>
      </c>
      <c r="B22" t="s">
        <v>17</v>
      </c>
      <c r="C22">
        <v>32.39192825112108</v>
      </c>
    </row>
    <row r="23" spans="1:3" x14ac:dyDescent="0.25">
      <c r="A23" t="s">
        <v>2</v>
      </c>
      <c r="B23" t="s">
        <v>28</v>
      </c>
      <c r="C23">
        <v>24.35</v>
      </c>
    </row>
    <row r="24" spans="1:3" x14ac:dyDescent="0.25">
      <c r="A24" t="s">
        <v>2</v>
      </c>
      <c r="B24" t="s">
        <v>38</v>
      </c>
      <c r="C24">
        <v>32.459016393442624</v>
      </c>
    </row>
    <row r="25" spans="1:3" x14ac:dyDescent="0.25">
      <c r="A25" t="s">
        <v>2</v>
      </c>
      <c r="B25" t="s">
        <v>316</v>
      </c>
      <c r="C25">
        <v>30.860924369747899</v>
      </c>
    </row>
    <row r="26" spans="1:3" x14ac:dyDescent="0.25">
      <c r="A26" t="s">
        <v>2</v>
      </c>
      <c r="B26" t="s">
        <v>26</v>
      </c>
      <c r="C26">
        <v>30.183279742765272</v>
      </c>
    </row>
    <row r="27" spans="1:3" x14ac:dyDescent="0.25">
      <c r="A27" t="s">
        <v>2</v>
      </c>
      <c r="B27" t="s">
        <v>37</v>
      </c>
      <c r="C27">
        <v>27.252739726027396</v>
      </c>
    </row>
    <row r="28" spans="1:3" x14ac:dyDescent="0.25">
      <c r="A28" t="s">
        <v>2</v>
      </c>
      <c r="B28" t="s">
        <v>21</v>
      </c>
      <c r="C28">
        <v>28.864864864864863</v>
      </c>
    </row>
    <row r="29" spans="1:3" x14ac:dyDescent="0.25">
      <c r="A29" t="s">
        <v>2</v>
      </c>
      <c r="B29" t="s">
        <v>317</v>
      </c>
      <c r="C29">
        <v>32.067192784667412</v>
      </c>
    </row>
    <row r="30" spans="1:3" x14ac:dyDescent="0.25">
      <c r="A30" t="s">
        <v>2</v>
      </c>
      <c r="B30" t="s">
        <v>32</v>
      </c>
      <c r="C30">
        <v>26.76198347107438</v>
      </c>
    </row>
    <row r="31" spans="1:3" x14ac:dyDescent="0.25">
      <c r="A31" t="s">
        <v>2</v>
      </c>
      <c r="B31" t="s">
        <v>19</v>
      </c>
      <c r="C31">
        <v>33.139667458432307</v>
      </c>
    </row>
    <row r="32" spans="1:3" x14ac:dyDescent="0.25">
      <c r="A32" t="s">
        <v>0</v>
      </c>
      <c r="B32" t="s">
        <v>72</v>
      </c>
      <c r="C32">
        <v>27.003130434782605</v>
      </c>
    </row>
    <row r="33" spans="1:3" x14ac:dyDescent="0.25">
      <c r="A33" t="s">
        <v>0</v>
      </c>
      <c r="B33" t="s">
        <v>62</v>
      </c>
      <c r="C33">
        <v>29.631932773109245</v>
      </c>
    </row>
    <row r="34" spans="1:3" x14ac:dyDescent="0.25">
      <c r="A34" t="s">
        <v>0</v>
      </c>
      <c r="B34" t="s">
        <v>56</v>
      </c>
      <c r="C34">
        <v>25.951546391752576</v>
      </c>
    </row>
    <row r="35" spans="1:3" x14ac:dyDescent="0.25">
      <c r="A35" t="s">
        <v>0</v>
      </c>
      <c r="B35" t="s">
        <v>73</v>
      </c>
      <c r="C35">
        <v>26.670106761565833</v>
      </c>
    </row>
    <row r="36" spans="1:3" x14ac:dyDescent="0.25">
      <c r="A36" t="s">
        <v>0</v>
      </c>
      <c r="B36" t="s">
        <v>71</v>
      </c>
      <c r="C36">
        <v>27.4304347826087</v>
      </c>
    </row>
    <row r="37" spans="1:3" x14ac:dyDescent="0.25">
      <c r="A37" t="s">
        <v>0</v>
      </c>
      <c r="B37" t="s">
        <v>65</v>
      </c>
      <c r="C37">
        <v>31.644444444444446</v>
      </c>
    </row>
    <row r="38" spans="1:3" x14ac:dyDescent="0.25">
      <c r="A38" t="s">
        <v>0</v>
      </c>
      <c r="B38" t="s">
        <v>64</v>
      </c>
      <c r="C38">
        <v>25.447374301675978</v>
      </c>
    </row>
    <row r="39" spans="1:3" x14ac:dyDescent="0.25">
      <c r="A39" t="s">
        <v>0</v>
      </c>
      <c r="B39" t="s">
        <v>79</v>
      </c>
      <c r="C39">
        <v>32.926829268292686</v>
      </c>
    </row>
    <row r="40" spans="1:3" x14ac:dyDescent="0.25">
      <c r="A40" t="s">
        <v>0</v>
      </c>
      <c r="B40" t="s">
        <v>61</v>
      </c>
      <c r="C40">
        <v>24.287671232876715</v>
      </c>
    </row>
    <row r="41" spans="1:3" x14ac:dyDescent="0.25">
      <c r="A41" t="s">
        <v>0</v>
      </c>
      <c r="B41" t="s">
        <v>70</v>
      </c>
      <c r="C41">
        <v>25.240238450074514</v>
      </c>
    </row>
    <row r="42" spans="1:3" x14ac:dyDescent="0.25">
      <c r="A42" t="s">
        <v>0</v>
      </c>
      <c r="B42" t="s">
        <v>78</v>
      </c>
      <c r="C42">
        <v>23.310000000000002</v>
      </c>
    </row>
    <row r="43" spans="1:3" x14ac:dyDescent="0.25">
      <c r="A43" t="s">
        <v>57</v>
      </c>
      <c r="B43" t="s">
        <v>67</v>
      </c>
      <c r="C43">
        <v>23.857431192660552</v>
      </c>
    </row>
    <row r="44" spans="1:3" x14ac:dyDescent="0.25">
      <c r="A44" t="s">
        <v>57</v>
      </c>
      <c r="B44" t="s">
        <v>58</v>
      </c>
      <c r="C44">
        <v>23.47058823529412</v>
      </c>
    </row>
    <row r="45" spans="1:3" x14ac:dyDescent="0.25">
      <c r="A45" t="s">
        <v>57</v>
      </c>
      <c r="B45" t="s">
        <v>69</v>
      </c>
      <c r="C45">
        <v>24.612518628912071</v>
      </c>
    </row>
    <row r="46" spans="1:3" x14ac:dyDescent="0.25">
      <c r="A46" t="s">
        <v>57</v>
      </c>
      <c r="B46" t="s">
        <v>74</v>
      </c>
      <c r="C46">
        <v>28.846982055464927</v>
      </c>
    </row>
    <row r="47" spans="1:3" x14ac:dyDescent="0.25">
      <c r="A47" t="s">
        <v>57</v>
      </c>
      <c r="B47" t="s">
        <v>66</v>
      </c>
      <c r="C47">
        <v>29.723908918406071</v>
      </c>
    </row>
    <row r="48" spans="1:3" x14ac:dyDescent="0.25">
      <c r="A48" t="s">
        <v>57</v>
      </c>
      <c r="B48" t="s">
        <v>75</v>
      </c>
      <c r="C48">
        <v>37.564897959183668</v>
      </c>
    </row>
    <row r="49" spans="1:3" x14ac:dyDescent="0.25">
      <c r="A49" t="s">
        <v>57</v>
      </c>
      <c r="B49" t="s">
        <v>77</v>
      </c>
      <c r="C49">
        <v>27.478125000000002</v>
      </c>
    </row>
    <row r="50" spans="1:3" x14ac:dyDescent="0.25">
      <c r="A50" t="s">
        <v>231</v>
      </c>
      <c r="B50" t="s">
        <v>183</v>
      </c>
      <c r="C50">
        <v>24.655462184873951</v>
      </c>
    </row>
    <row r="51" spans="1:3" x14ac:dyDescent="0.25">
      <c r="A51" t="s">
        <v>231</v>
      </c>
      <c r="B51" t="s">
        <v>184</v>
      </c>
      <c r="C51">
        <v>24.302482758620695</v>
      </c>
    </row>
    <row r="52" spans="1:3" x14ac:dyDescent="0.25">
      <c r="A52" t="s">
        <v>231</v>
      </c>
      <c r="B52" t="s">
        <v>185</v>
      </c>
      <c r="C52">
        <v>23.270338983050848</v>
      </c>
    </row>
    <row r="53" spans="1:3" x14ac:dyDescent="0.25">
      <c r="A53" t="s">
        <v>231</v>
      </c>
      <c r="B53" t="s">
        <v>186</v>
      </c>
      <c r="C53">
        <v>26.195031055900625</v>
      </c>
    </row>
    <row r="54" spans="1:3" x14ac:dyDescent="0.25">
      <c r="A54" t="s">
        <v>231</v>
      </c>
      <c r="B54" t="s">
        <v>187</v>
      </c>
      <c r="C54">
        <v>25.017121354656634</v>
      </c>
    </row>
    <row r="55" spans="1:3" x14ac:dyDescent="0.25">
      <c r="A55" t="s">
        <v>231</v>
      </c>
      <c r="B55" t="s">
        <v>188</v>
      </c>
      <c r="C55">
        <v>24.262325581395352</v>
      </c>
    </row>
    <row r="56" spans="1:3" x14ac:dyDescent="0.25">
      <c r="A56" t="s">
        <v>231</v>
      </c>
      <c r="B56" t="s">
        <v>189</v>
      </c>
      <c r="C56">
        <v>25.856136087484813</v>
      </c>
    </row>
    <row r="57" spans="1:3" x14ac:dyDescent="0.25">
      <c r="A57" t="s">
        <v>231</v>
      </c>
      <c r="B57" t="s">
        <v>190</v>
      </c>
      <c r="C57">
        <v>33.092307692307692</v>
      </c>
    </row>
    <row r="58" spans="1:3" x14ac:dyDescent="0.25">
      <c r="A58" t="s">
        <v>59</v>
      </c>
      <c r="B58" t="s">
        <v>60</v>
      </c>
      <c r="C58">
        <v>23.834981458590853</v>
      </c>
    </row>
    <row r="59" spans="1:3" x14ac:dyDescent="0.25">
      <c r="A59" t="s">
        <v>59</v>
      </c>
      <c r="B59" t="s">
        <v>68</v>
      </c>
      <c r="C59">
        <v>24.1875</v>
      </c>
    </row>
    <row r="60" spans="1:3" x14ac:dyDescent="0.25">
      <c r="A60" t="s">
        <v>59</v>
      </c>
      <c r="B60" t="s">
        <v>63</v>
      </c>
      <c r="C60">
        <v>23.992105263157896</v>
      </c>
    </row>
    <row r="61" spans="1:3" x14ac:dyDescent="0.25">
      <c r="A61" t="s">
        <v>59</v>
      </c>
      <c r="B61" t="s">
        <v>76</v>
      </c>
      <c r="C61">
        <v>25.950000000000003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1466F-57CE-4D34-A938-3BA97F54EDCF}">
  <sheetPr codeName="Sheet24">
    <tabColor theme="0" tint="-0.14999847407452621"/>
  </sheetPr>
  <dimension ref="A1:D72"/>
  <sheetViews>
    <sheetView zoomScale="80" zoomScaleNormal="80" workbookViewId="0">
      <selection activeCell="A2" sqref="A2:D72"/>
    </sheetView>
  </sheetViews>
  <sheetFormatPr defaultRowHeight="15" x14ac:dyDescent="0.25"/>
  <cols>
    <col min="1" max="1" width="11.85546875" bestFit="1" customWidth="1"/>
    <col min="2" max="2" width="37.85546875" bestFit="1" customWidth="1"/>
    <col min="3" max="3" width="7.140625" bestFit="1" customWidth="1"/>
    <col min="4" max="4" width="22" bestFit="1" customWidth="1"/>
  </cols>
  <sheetData>
    <row r="1" spans="1:4" x14ac:dyDescent="0.25">
      <c r="A1" t="s">
        <v>5</v>
      </c>
      <c r="B1" t="s">
        <v>6</v>
      </c>
      <c r="C1" t="s">
        <v>7</v>
      </c>
      <c r="D1" t="s">
        <v>9</v>
      </c>
    </row>
    <row r="2" spans="1:4" x14ac:dyDescent="0.25">
      <c r="A2" t="s">
        <v>15</v>
      </c>
      <c r="B2" t="s">
        <v>2</v>
      </c>
      <c r="C2" t="s">
        <v>226</v>
      </c>
      <c r="D2">
        <v>0</v>
      </c>
    </row>
    <row r="3" spans="1:4" x14ac:dyDescent="0.25">
      <c r="A3" t="s">
        <v>15</v>
      </c>
      <c r="B3" t="s">
        <v>2</v>
      </c>
      <c r="C3" t="s">
        <v>212</v>
      </c>
      <c r="D3">
        <v>1</v>
      </c>
    </row>
    <row r="4" spans="1:4" x14ac:dyDescent="0.25">
      <c r="A4" t="s">
        <v>15</v>
      </c>
      <c r="B4" t="s">
        <v>2</v>
      </c>
      <c r="C4" t="s">
        <v>213</v>
      </c>
      <c r="D4">
        <v>2</v>
      </c>
    </row>
    <row r="5" spans="1:4" x14ac:dyDescent="0.25">
      <c r="A5" t="s">
        <v>15</v>
      </c>
      <c r="B5" t="s">
        <v>2</v>
      </c>
      <c r="C5" t="s">
        <v>221</v>
      </c>
      <c r="D5">
        <v>3</v>
      </c>
    </row>
    <row r="6" spans="1:4" x14ac:dyDescent="0.25">
      <c r="A6" t="s">
        <v>15</v>
      </c>
      <c r="B6" t="s">
        <v>2</v>
      </c>
      <c r="C6" t="s">
        <v>220</v>
      </c>
      <c r="D6">
        <v>4</v>
      </c>
    </row>
    <row r="7" spans="1:4" x14ac:dyDescent="0.25">
      <c r="A7" t="s">
        <v>15</v>
      </c>
      <c r="B7" t="s">
        <v>2</v>
      </c>
      <c r="C7" t="s">
        <v>300</v>
      </c>
      <c r="D7">
        <v>5</v>
      </c>
    </row>
    <row r="8" spans="1:4" x14ac:dyDescent="0.25">
      <c r="A8" t="s">
        <v>307</v>
      </c>
      <c r="B8" t="s">
        <v>307</v>
      </c>
      <c r="C8" t="s">
        <v>301</v>
      </c>
      <c r="D8">
        <v>6</v>
      </c>
    </row>
    <row r="9" spans="1:4" x14ac:dyDescent="0.25">
      <c r="A9" t="s">
        <v>307</v>
      </c>
      <c r="B9" t="s">
        <v>307</v>
      </c>
      <c r="C9" t="s">
        <v>302</v>
      </c>
      <c r="D9">
        <v>7</v>
      </c>
    </row>
    <row r="10" spans="1:4" x14ac:dyDescent="0.25">
      <c r="A10" t="s">
        <v>307</v>
      </c>
      <c r="B10" t="s">
        <v>307</v>
      </c>
      <c r="C10" t="s">
        <v>303</v>
      </c>
      <c r="D10">
        <v>8</v>
      </c>
    </row>
    <row r="11" spans="1:4" x14ac:dyDescent="0.25">
      <c r="A11" t="s">
        <v>307</v>
      </c>
      <c r="B11" t="s">
        <v>307</v>
      </c>
      <c r="C11" t="s">
        <v>302</v>
      </c>
      <c r="D11">
        <v>9</v>
      </c>
    </row>
    <row r="12" spans="1:4" x14ac:dyDescent="0.25">
      <c r="A12" t="s">
        <v>307</v>
      </c>
      <c r="B12" t="s">
        <v>307</v>
      </c>
      <c r="C12" t="s">
        <v>301</v>
      </c>
      <c r="D12">
        <v>10</v>
      </c>
    </row>
    <row r="13" spans="1:4" x14ac:dyDescent="0.25">
      <c r="A13" t="s">
        <v>307</v>
      </c>
      <c r="B13" t="s">
        <v>307</v>
      </c>
      <c r="C13" t="s">
        <v>300</v>
      </c>
      <c r="D13">
        <v>11</v>
      </c>
    </row>
    <row r="14" spans="1:4" x14ac:dyDescent="0.25">
      <c r="A14" t="s">
        <v>15</v>
      </c>
      <c r="B14" t="s">
        <v>2</v>
      </c>
      <c r="C14" t="s">
        <v>215</v>
      </c>
      <c r="D14">
        <v>12</v>
      </c>
    </row>
    <row r="15" spans="1:4" x14ac:dyDescent="0.25">
      <c r="A15" t="s">
        <v>15</v>
      </c>
      <c r="B15" t="s">
        <v>2</v>
      </c>
      <c r="C15" t="s">
        <v>2</v>
      </c>
      <c r="D15">
        <v>13</v>
      </c>
    </row>
    <row r="16" spans="1:4" x14ac:dyDescent="0.25">
      <c r="A16" t="s">
        <v>15</v>
      </c>
      <c r="B16" t="s">
        <v>2</v>
      </c>
      <c r="C16" t="s">
        <v>208</v>
      </c>
      <c r="D16">
        <v>14</v>
      </c>
    </row>
    <row r="17" spans="1:4" x14ac:dyDescent="0.25">
      <c r="A17" t="s">
        <v>15</v>
      </c>
      <c r="B17" t="s">
        <v>2</v>
      </c>
      <c r="C17" t="s">
        <v>228</v>
      </c>
      <c r="D17">
        <v>15</v>
      </c>
    </row>
    <row r="18" spans="1:4" x14ac:dyDescent="0.25">
      <c r="A18" t="s">
        <v>15</v>
      </c>
      <c r="B18" t="s">
        <v>2</v>
      </c>
      <c r="C18" t="s">
        <v>200</v>
      </c>
      <c r="D18">
        <v>16</v>
      </c>
    </row>
    <row r="19" spans="1:4" x14ac:dyDescent="0.25">
      <c r="A19" t="s">
        <v>15</v>
      </c>
      <c r="B19" t="s">
        <v>2</v>
      </c>
      <c r="C19" t="s">
        <v>203</v>
      </c>
      <c r="D19">
        <v>17</v>
      </c>
    </row>
    <row r="20" spans="1:4" x14ac:dyDescent="0.25">
      <c r="A20" t="s">
        <v>236</v>
      </c>
      <c r="B20" t="s">
        <v>0</v>
      </c>
      <c r="C20" t="s">
        <v>223</v>
      </c>
      <c r="D20">
        <v>1</v>
      </c>
    </row>
    <row r="21" spans="1:4" x14ac:dyDescent="0.25">
      <c r="A21" t="s">
        <v>236</v>
      </c>
      <c r="B21" t="s">
        <v>0</v>
      </c>
      <c r="C21" t="s">
        <v>224</v>
      </c>
      <c r="D21">
        <v>2</v>
      </c>
    </row>
    <row r="22" spans="1:4" x14ac:dyDescent="0.25">
      <c r="A22" t="s">
        <v>236</v>
      </c>
      <c r="B22" t="s">
        <v>0</v>
      </c>
      <c r="C22" t="s">
        <v>225</v>
      </c>
      <c r="D22">
        <v>3</v>
      </c>
    </row>
    <row r="23" spans="1:4" x14ac:dyDescent="0.25">
      <c r="A23" t="s">
        <v>236</v>
      </c>
      <c r="B23" t="s">
        <v>0</v>
      </c>
      <c r="C23" t="s">
        <v>201</v>
      </c>
      <c r="D23">
        <v>4</v>
      </c>
    </row>
    <row r="24" spans="1:4" x14ac:dyDescent="0.25">
      <c r="A24" t="s">
        <v>236</v>
      </c>
      <c r="B24" t="s">
        <v>0</v>
      </c>
      <c r="C24" t="s">
        <v>202</v>
      </c>
      <c r="D24">
        <v>5</v>
      </c>
    </row>
    <row r="25" spans="1:4" x14ac:dyDescent="0.25">
      <c r="A25" t="s">
        <v>236</v>
      </c>
      <c r="B25" t="s">
        <v>0</v>
      </c>
      <c r="C25" t="s">
        <v>227</v>
      </c>
      <c r="D25">
        <v>6</v>
      </c>
    </row>
    <row r="26" spans="1:4" x14ac:dyDescent="0.25">
      <c r="A26" t="s">
        <v>236</v>
      </c>
      <c r="B26" t="s">
        <v>0</v>
      </c>
      <c r="C26" t="s">
        <v>222</v>
      </c>
      <c r="D26">
        <v>7</v>
      </c>
    </row>
    <row r="27" spans="1:4" x14ac:dyDescent="0.25">
      <c r="A27" t="s">
        <v>236</v>
      </c>
      <c r="B27" t="s">
        <v>0</v>
      </c>
      <c r="C27" t="s">
        <v>197</v>
      </c>
      <c r="D27">
        <v>8</v>
      </c>
    </row>
    <row r="28" spans="1:4" x14ac:dyDescent="0.25">
      <c r="A28" t="s">
        <v>292</v>
      </c>
      <c r="B28" t="s">
        <v>292</v>
      </c>
      <c r="C28" t="s">
        <v>293</v>
      </c>
      <c r="D28">
        <v>9</v>
      </c>
    </row>
    <row r="29" spans="1:4" x14ac:dyDescent="0.25">
      <c r="A29" t="s">
        <v>292</v>
      </c>
      <c r="B29" t="s">
        <v>292</v>
      </c>
      <c r="C29" t="s">
        <v>298</v>
      </c>
      <c r="D29">
        <v>10</v>
      </c>
    </row>
    <row r="30" spans="1:4" x14ac:dyDescent="0.25">
      <c r="A30" t="s">
        <v>292</v>
      </c>
      <c r="B30" t="s">
        <v>292</v>
      </c>
      <c r="C30" t="s">
        <v>293</v>
      </c>
      <c r="D30">
        <v>11</v>
      </c>
    </row>
    <row r="31" spans="1:4" x14ac:dyDescent="0.25">
      <c r="A31" t="s">
        <v>292</v>
      </c>
      <c r="B31" t="s">
        <v>292</v>
      </c>
      <c r="C31" t="s">
        <v>197</v>
      </c>
      <c r="D31">
        <v>12</v>
      </c>
    </row>
    <row r="32" spans="1:4" x14ac:dyDescent="0.25">
      <c r="A32" t="s">
        <v>292</v>
      </c>
      <c r="B32" t="s">
        <v>292</v>
      </c>
      <c r="C32" t="s">
        <v>294</v>
      </c>
      <c r="D32">
        <v>13</v>
      </c>
    </row>
    <row r="33" spans="1:4" x14ac:dyDescent="0.25">
      <c r="A33" t="s">
        <v>292</v>
      </c>
      <c r="B33" t="s">
        <v>292</v>
      </c>
      <c r="C33" t="s">
        <v>197</v>
      </c>
      <c r="D33">
        <v>14</v>
      </c>
    </row>
    <row r="34" spans="1:4" x14ac:dyDescent="0.25">
      <c r="A34" t="s">
        <v>236</v>
      </c>
      <c r="B34" t="s">
        <v>0</v>
      </c>
      <c r="C34" t="s">
        <v>0</v>
      </c>
      <c r="D34">
        <v>15</v>
      </c>
    </row>
    <row r="35" spans="1:4" x14ac:dyDescent="0.25">
      <c r="A35" t="s">
        <v>236</v>
      </c>
      <c r="B35" t="s">
        <v>0</v>
      </c>
      <c r="C35" t="s">
        <v>204</v>
      </c>
      <c r="D35">
        <v>16</v>
      </c>
    </row>
    <row r="36" spans="1:4" x14ac:dyDescent="0.25">
      <c r="A36" t="s">
        <v>236</v>
      </c>
      <c r="B36" t="s">
        <v>231</v>
      </c>
      <c r="C36" t="s">
        <v>205</v>
      </c>
      <c r="D36">
        <v>17</v>
      </c>
    </row>
    <row r="37" spans="1:4" x14ac:dyDescent="0.25">
      <c r="A37" t="s">
        <v>236</v>
      </c>
      <c r="B37" t="s">
        <v>231</v>
      </c>
      <c r="C37" t="s">
        <v>209</v>
      </c>
      <c r="D37">
        <v>18</v>
      </c>
    </row>
    <row r="38" spans="1:4" x14ac:dyDescent="0.25">
      <c r="A38" t="s">
        <v>236</v>
      </c>
      <c r="B38" t="s">
        <v>231</v>
      </c>
      <c r="C38" t="s">
        <v>232</v>
      </c>
      <c r="D38">
        <v>19</v>
      </c>
    </row>
    <row r="39" spans="1:4" x14ac:dyDescent="0.25">
      <c r="A39" t="s">
        <v>236</v>
      </c>
      <c r="B39" t="s">
        <v>231</v>
      </c>
      <c r="C39" t="s">
        <v>233</v>
      </c>
      <c r="D39">
        <v>20</v>
      </c>
    </row>
    <row r="40" spans="1:4" x14ac:dyDescent="0.25">
      <c r="A40" t="s">
        <v>236</v>
      </c>
      <c r="B40" t="s">
        <v>231</v>
      </c>
      <c r="C40" t="s">
        <v>234</v>
      </c>
      <c r="D40">
        <v>21</v>
      </c>
    </row>
    <row r="41" spans="1:4" x14ac:dyDescent="0.25">
      <c r="A41" t="s">
        <v>236</v>
      </c>
      <c r="B41" t="s">
        <v>231</v>
      </c>
      <c r="C41" t="s">
        <v>231</v>
      </c>
      <c r="D41">
        <v>22</v>
      </c>
    </row>
    <row r="42" spans="1:4" x14ac:dyDescent="0.25">
      <c r="A42" t="s">
        <v>236</v>
      </c>
      <c r="B42" t="s">
        <v>231</v>
      </c>
      <c r="C42" t="s">
        <v>235</v>
      </c>
      <c r="D42">
        <v>23</v>
      </c>
    </row>
    <row r="43" spans="1:4" x14ac:dyDescent="0.25">
      <c r="A43" t="s">
        <v>236</v>
      </c>
      <c r="B43" t="s">
        <v>231</v>
      </c>
      <c r="C43" t="s">
        <v>230</v>
      </c>
      <c r="D43">
        <v>24</v>
      </c>
    </row>
    <row r="44" spans="1:4" x14ac:dyDescent="0.25">
      <c r="A44" t="s">
        <v>236</v>
      </c>
      <c r="B44" t="s">
        <v>231</v>
      </c>
      <c r="C44" t="s">
        <v>229</v>
      </c>
      <c r="D44">
        <v>25</v>
      </c>
    </row>
    <row r="45" spans="1:4" x14ac:dyDescent="0.25">
      <c r="A45" t="s">
        <v>236</v>
      </c>
      <c r="B45" t="s">
        <v>59</v>
      </c>
      <c r="C45" t="s">
        <v>219</v>
      </c>
      <c r="D45">
        <v>26</v>
      </c>
    </row>
    <row r="46" spans="1:4" x14ac:dyDescent="0.25">
      <c r="A46" t="s">
        <v>236</v>
      </c>
      <c r="B46" t="s">
        <v>59</v>
      </c>
      <c r="C46" t="s">
        <v>218</v>
      </c>
      <c r="D46">
        <v>27</v>
      </c>
    </row>
    <row r="47" spans="1:4" x14ac:dyDescent="0.25">
      <c r="A47" t="s">
        <v>276</v>
      </c>
      <c r="B47" t="s">
        <v>276</v>
      </c>
      <c r="C47" t="s">
        <v>285</v>
      </c>
      <c r="D47">
        <v>28</v>
      </c>
    </row>
    <row r="48" spans="1:4" x14ac:dyDescent="0.25">
      <c r="A48" t="s">
        <v>276</v>
      </c>
      <c r="B48" t="s">
        <v>276</v>
      </c>
      <c r="C48" t="s">
        <v>218</v>
      </c>
      <c r="D48">
        <v>29</v>
      </c>
    </row>
    <row r="49" spans="1:4" x14ac:dyDescent="0.25">
      <c r="A49" t="s">
        <v>276</v>
      </c>
      <c r="B49" t="s">
        <v>276</v>
      </c>
      <c r="C49" t="s">
        <v>283</v>
      </c>
      <c r="D49">
        <v>30</v>
      </c>
    </row>
    <row r="50" spans="1:4" x14ac:dyDescent="0.25">
      <c r="A50" t="s">
        <v>276</v>
      </c>
      <c r="B50" t="s">
        <v>276</v>
      </c>
      <c r="C50" t="s">
        <v>282</v>
      </c>
      <c r="D50">
        <v>31</v>
      </c>
    </row>
    <row r="51" spans="1:4" x14ac:dyDescent="0.25">
      <c r="A51" t="s">
        <v>276</v>
      </c>
      <c r="B51" t="s">
        <v>276</v>
      </c>
      <c r="C51" t="s">
        <v>281</v>
      </c>
      <c r="D51">
        <v>32</v>
      </c>
    </row>
    <row r="52" spans="1:4" x14ac:dyDescent="0.25">
      <c r="A52" t="s">
        <v>276</v>
      </c>
      <c r="B52" t="s">
        <v>276</v>
      </c>
      <c r="C52" t="s">
        <v>280</v>
      </c>
      <c r="D52">
        <v>33</v>
      </c>
    </row>
    <row r="53" spans="1:4" x14ac:dyDescent="0.25">
      <c r="A53" t="s">
        <v>276</v>
      </c>
      <c r="B53" t="s">
        <v>276</v>
      </c>
      <c r="C53" t="s">
        <v>279</v>
      </c>
      <c r="D53">
        <v>34</v>
      </c>
    </row>
    <row r="54" spans="1:4" x14ac:dyDescent="0.25">
      <c r="A54" t="s">
        <v>276</v>
      </c>
      <c r="B54" t="s">
        <v>276</v>
      </c>
      <c r="C54" t="s">
        <v>278</v>
      </c>
      <c r="D54">
        <v>35</v>
      </c>
    </row>
    <row r="55" spans="1:4" x14ac:dyDescent="0.25">
      <c r="A55" t="s">
        <v>276</v>
      </c>
      <c r="B55" t="s">
        <v>276</v>
      </c>
      <c r="C55" t="s">
        <v>277</v>
      </c>
      <c r="D55">
        <v>36</v>
      </c>
    </row>
    <row r="56" spans="1:4" x14ac:dyDescent="0.25">
      <c r="A56" t="s">
        <v>276</v>
      </c>
      <c r="B56" t="s">
        <v>276</v>
      </c>
      <c r="C56" t="s">
        <v>278</v>
      </c>
      <c r="D56">
        <v>37</v>
      </c>
    </row>
    <row r="57" spans="1:4" x14ac:dyDescent="0.25">
      <c r="A57" t="s">
        <v>276</v>
      </c>
      <c r="B57" t="s">
        <v>276</v>
      </c>
      <c r="C57" t="s">
        <v>279</v>
      </c>
      <c r="D57">
        <v>38</v>
      </c>
    </row>
    <row r="58" spans="1:4" x14ac:dyDescent="0.25">
      <c r="A58" t="s">
        <v>276</v>
      </c>
      <c r="B58" t="s">
        <v>276</v>
      </c>
      <c r="C58" t="s">
        <v>280</v>
      </c>
      <c r="D58">
        <v>39</v>
      </c>
    </row>
    <row r="59" spans="1:4" x14ac:dyDescent="0.25">
      <c r="A59" t="s">
        <v>276</v>
      </c>
      <c r="B59" t="s">
        <v>276</v>
      </c>
      <c r="C59" t="s">
        <v>281</v>
      </c>
      <c r="D59">
        <v>40</v>
      </c>
    </row>
    <row r="60" spans="1:4" x14ac:dyDescent="0.25">
      <c r="A60" t="s">
        <v>276</v>
      </c>
      <c r="B60" t="s">
        <v>276</v>
      </c>
      <c r="C60" t="s">
        <v>282</v>
      </c>
      <c r="D60">
        <v>41</v>
      </c>
    </row>
    <row r="61" spans="1:4" x14ac:dyDescent="0.25">
      <c r="A61" t="s">
        <v>276</v>
      </c>
      <c r="B61" t="s">
        <v>276</v>
      </c>
      <c r="C61" t="s">
        <v>283</v>
      </c>
      <c r="D61">
        <v>42</v>
      </c>
    </row>
    <row r="62" spans="1:4" x14ac:dyDescent="0.25">
      <c r="A62" t="s">
        <v>276</v>
      </c>
      <c r="B62" t="s">
        <v>276</v>
      </c>
      <c r="C62" t="s">
        <v>218</v>
      </c>
      <c r="D62">
        <v>43</v>
      </c>
    </row>
    <row r="63" spans="1:4" x14ac:dyDescent="0.25">
      <c r="A63" t="s">
        <v>236</v>
      </c>
      <c r="B63" t="s">
        <v>59</v>
      </c>
      <c r="C63" t="s">
        <v>59</v>
      </c>
      <c r="D63">
        <v>44</v>
      </c>
    </row>
    <row r="64" spans="1:4" x14ac:dyDescent="0.25">
      <c r="A64" t="s">
        <v>236</v>
      </c>
      <c r="B64" t="s">
        <v>59</v>
      </c>
      <c r="C64" t="s">
        <v>217</v>
      </c>
      <c r="D64">
        <v>45</v>
      </c>
    </row>
    <row r="65" spans="1:4" x14ac:dyDescent="0.25">
      <c r="A65" t="s">
        <v>236</v>
      </c>
      <c r="B65" t="s">
        <v>59</v>
      </c>
      <c r="C65" t="s">
        <v>198</v>
      </c>
      <c r="D65">
        <v>46</v>
      </c>
    </row>
    <row r="66" spans="1:4" x14ac:dyDescent="0.25">
      <c r="A66" t="s">
        <v>236</v>
      </c>
      <c r="B66" t="s">
        <v>57</v>
      </c>
      <c r="C66" t="s">
        <v>199</v>
      </c>
      <c r="D66">
        <v>47</v>
      </c>
    </row>
    <row r="67" spans="1:4" x14ac:dyDescent="0.25">
      <c r="A67" t="s">
        <v>236</v>
      </c>
      <c r="B67" t="s">
        <v>57</v>
      </c>
      <c r="C67" t="s">
        <v>57</v>
      </c>
      <c r="D67">
        <v>48</v>
      </c>
    </row>
    <row r="68" spans="1:4" x14ac:dyDescent="0.25">
      <c r="A68" t="s">
        <v>236</v>
      </c>
      <c r="B68" t="s">
        <v>57</v>
      </c>
      <c r="C68" t="s">
        <v>210</v>
      </c>
      <c r="D68">
        <v>49</v>
      </c>
    </row>
    <row r="69" spans="1:4" x14ac:dyDescent="0.25">
      <c r="A69" t="s">
        <v>236</v>
      </c>
      <c r="B69" t="s">
        <v>57</v>
      </c>
      <c r="C69" t="s">
        <v>211</v>
      </c>
      <c r="D69">
        <v>50</v>
      </c>
    </row>
    <row r="70" spans="1:4" x14ac:dyDescent="0.25">
      <c r="A70" t="s">
        <v>236</v>
      </c>
      <c r="B70" t="s">
        <v>57</v>
      </c>
      <c r="C70" t="s">
        <v>206</v>
      </c>
      <c r="D70">
        <v>51</v>
      </c>
    </row>
    <row r="71" spans="1:4" x14ac:dyDescent="0.25">
      <c r="A71" t="s">
        <v>236</v>
      </c>
      <c r="B71" t="s">
        <v>57</v>
      </c>
      <c r="C71" t="s">
        <v>207</v>
      </c>
      <c r="D71">
        <v>52</v>
      </c>
    </row>
    <row r="72" spans="1:4" x14ac:dyDescent="0.25">
      <c r="A72" t="s">
        <v>236</v>
      </c>
      <c r="B72" t="s">
        <v>57</v>
      </c>
      <c r="C72" t="s">
        <v>216</v>
      </c>
      <c r="D72">
        <v>53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1379"/>
  <sheetViews>
    <sheetView workbookViewId="0">
      <selection activeCell="A2" sqref="A2:C1379"/>
    </sheetView>
  </sheetViews>
  <sheetFormatPr defaultRowHeight="15" x14ac:dyDescent="0.25"/>
  <cols>
    <col min="1" max="1" width="37.5703125" bestFit="1" customWidth="1"/>
    <col min="2" max="2" width="4.85546875" bestFit="1" customWidth="1"/>
    <col min="3" max="3" width="12.42578125" bestFit="1" customWidth="1"/>
  </cols>
  <sheetData>
    <row r="1" spans="1:3" x14ac:dyDescent="0.25">
      <c r="A1" t="s">
        <v>8</v>
      </c>
      <c r="B1" t="s">
        <v>1</v>
      </c>
      <c r="C1" t="s">
        <v>98</v>
      </c>
    </row>
    <row r="2" spans="1:3" x14ac:dyDescent="0.25">
      <c r="A2" t="s">
        <v>36</v>
      </c>
      <c r="B2">
        <v>2</v>
      </c>
      <c r="C2">
        <v>1.3698630136986301E-2</v>
      </c>
    </row>
    <row r="3" spans="1:3" x14ac:dyDescent="0.25">
      <c r="A3" t="s">
        <v>287</v>
      </c>
      <c r="B3">
        <v>2</v>
      </c>
      <c r="C3">
        <v>2.7397260273972599E-3</v>
      </c>
    </row>
    <row r="4" spans="1:3" x14ac:dyDescent="0.25">
      <c r="A4" t="s">
        <v>72</v>
      </c>
      <c r="B4">
        <v>3</v>
      </c>
      <c r="C4">
        <v>5.4794520547945197E-3</v>
      </c>
    </row>
    <row r="5" spans="1:3" x14ac:dyDescent="0.25">
      <c r="A5" t="s">
        <v>287</v>
      </c>
      <c r="B5">
        <v>3</v>
      </c>
      <c r="C5">
        <v>5.4794520547945197E-3</v>
      </c>
    </row>
    <row r="6" spans="1:3" x14ac:dyDescent="0.25">
      <c r="A6" t="s">
        <v>288</v>
      </c>
      <c r="B6">
        <v>5</v>
      </c>
      <c r="C6">
        <v>2.7397260273972599E-3</v>
      </c>
    </row>
    <row r="7" spans="1:3" x14ac:dyDescent="0.25">
      <c r="A7" t="s">
        <v>67</v>
      </c>
      <c r="B7">
        <v>7</v>
      </c>
      <c r="C7">
        <v>2.7397260273972601E-2</v>
      </c>
    </row>
    <row r="8" spans="1:3" x14ac:dyDescent="0.25">
      <c r="A8" t="s">
        <v>60</v>
      </c>
      <c r="B8">
        <v>7</v>
      </c>
      <c r="C8">
        <v>4.1095890410958902E-2</v>
      </c>
    </row>
    <row r="9" spans="1:3" x14ac:dyDescent="0.25">
      <c r="A9" t="s">
        <v>62</v>
      </c>
      <c r="B9">
        <v>7</v>
      </c>
      <c r="C9">
        <v>8.4931506849315094E-2</v>
      </c>
    </row>
    <row r="10" spans="1:3" x14ac:dyDescent="0.25">
      <c r="A10" t="s">
        <v>72</v>
      </c>
      <c r="B10">
        <v>7</v>
      </c>
      <c r="C10">
        <v>5.2054794520547898E-2</v>
      </c>
    </row>
    <row r="11" spans="1:3" x14ac:dyDescent="0.25">
      <c r="A11" t="s">
        <v>58</v>
      </c>
      <c r="B11">
        <v>9</v>
      </c>
      <c r="C11">
        <v>7.9452054794520596E-2</v>
      </c>
    </row>
    <row r="12" spans="1:3" x14ac:dyDescent="0.25">
      <c r="A12" t="s">
        <v>183</v>
      </c>
      <c r="B12">
        <v>9</v>
      </c>
      <c r="C12">
        <v>0.112328767123288</v>
      </c>
    </row>
    <row r="13" spans="1:3" x14ac:dyDescent="0.25">
      <c r="A13" t="s">
        <v>184</v>
      </c>
      <c r="B13">
        <v>11</v>
      </c>
      <c r="C13">
        <v>8.4931506849315094E-2</v>
      </c>
    </row>
    <row r="14" spans="1:3" x14ac:dyDescent="0.25">
      <c r="A14" t="s">
        <v>320</v>
      </c>
      <c r="B14">
        <v>11</v>
      </c>
      <c r="C14">
        <v>6.02739726027397E-2</v>
      </c>
    </row>
    <row r="15" spans="1:3" x14ac:dyDescent="0.25">
      <c r="A15" t="s">
        <v>62</v>
      </c>
      <c r="B15">
        <v>13</v>
      </c>
      <c r="C15">
        <v>9.3150684931506897E-2</v>
      </c>
    </row>
    <row r="16" spans="1:3" x14ac:dyDescent="0.25">
      <c r="A16" t="s">
        <v>56</v>
      </c>
      <c r="B16">
        <v>13</v>
      </c>
      <c r="C16">
        <v>0.13698630136986301</v>
      </c>
    </row>
    <row r="17" spans="1:3" x14ac:dyDescent="0.25">
      <c r="A17" t="s">
        <v>320</v>
      </c>
      <c r="B17">
        <v>13</v>
      </c>
      <c r="C17">
        <v>4.1095890410958902E-2</v>
      </c>
    </row>
    <row r="18" spans="1:3" x14ac:dyDescent="0.25">
      <c r="A18" t="s">
        <v>185</v>
      </c>
      <c r="B18">
        <v>13</v>
      </c>
      <c r="C18">
        <v>0.156164383561644</v>
      </c>
    </row>
    <row r="19" spans="1:3" x14ac:dyDescent="0.25">
      <c r="A19" t="s">
        <v>186</v>
      </c>
      <c r="B19">
        <v>14</v>
      </c>
      <c r="C19">
        <v>8.21917808219178E-3</v>
      </c>
    </row>
    <row r="20" spans="1:3" x14ac:dyDescent="0.25">
      <c r="A20" t="s">
        <v>187</v>
      </c>
      <c r="B20">
        <v>14</v>
      </c>
      <c r="C20">
        <v>6.3013698630137005E-2</v>
      </c>
    </row>
    <row r="21" spans="1:3" x14ac:dyDescent="0.25">
      <c r="A21" t="s">
        <v>185</v>
      </c>
      <c r="B21">
        <v>14</v>
      </c>
      <c r="C21">
        <v>0.12876712328767101</v>
      </c>
    </row>
    <row r="22" spans="1:3" x14ac:dyDescent="0.25">
      <c r="A22" t="s">
        <v>184</v>
      </c>
      <c r="B22">
        <v>15</v>
      </c>
      <c r="C22">
        <v>0.115068493150685</v>
      </c>
    </row>
    <row r="23" spans="1:3" x14ac:dyDescent="0.25">
      <c r="A23" t="s">
        <v>183</v>
      </c>
      <c r="B23">
        <v>15</v>
      </c>
      <c r="C23">
        <v>8.2191780821917804E-2</v>
      </c>
    </row>
    <row r="24" spans="1:3" x14ac:dyDescent="0.25">
      <c r="A24" t="s">
        <v>73</v>
      </c>
      <c r="B24">
        <v>15</v>
      </c>
      <c r="C24">
        <v>5.75342465753425E-2</v>
      </c>
    </row>
    <row r="25" spans="1:3" x14ac:dyDescent="0.25">
      <c r="A25" t="s">
        <v>188</v>
      </c>
      <c r="B25">
        <v>15</v>
      </c>
      <c r="C25">
        <v>3.8356164383561597E-2</v>
      </c>
    </row>
    <row r="26" spans="1:3" x14ac:dyDescent="0.25">
      <c r="A26" t="s">
        <v>60</v>
      </c>
      <c r="B26">
        <v>15</v>
      </c>
      <c r="C26">
        <v>7.9452054794520596E-2</v>
      </c>
    </row>
    <row r="27" spans="1:3" x14ac:dyDescent="0.25">
      <c r="A27" t="s">
        <v>36</v>
      </c>
      <c r="B27">
        <v>15</v>
      </c>
      <c r="C27">
        <v>6.3013698630137005E-2</v>
      </c>
    </row>
    <row r="28" spans="1:3" x14ac:dyDescent="0.25">
      <c r="A28" t="s">
        <v>183</v>
      </c>
      <c r="B28">
        <v>16</v>
      </c>
      <c r="C28">
        <v>0.147945205479452</v>
      </c>
    </row>
    <row r="29" spans="1:3" x14ac:dyDescent="0.25">
      <c r="A29" t="s">
        <v>69</v>
      </c>
      <c r="B29">
        <v>16</v>
      </c>
      <c r="C29">
        <v>4.9315068493150697E-2</v>
      </c>
    </row>
    <row r="30" spans="1:3" x14ac:dyDescent="0.25">
      <c r="A30" t="s">
        <v>308</v>
      </c>
      <c r="B30">
        <v>16</v>
      </c>
      <c r="C30">
        <v>2.19178082191781E-2</v>
      </c>
    </row>
    <row r="31" spans="1:3" x14ac:dyDescent="0.25">
      <c r="A31" t="s">
        <v>17</v>
      </c>
      <c r="B31">
        <v>16</v>
      </c>
      <c r="C31">
        <v>0.106849315068493</v>
      </c>
    </row>
    <row r="32" spans="1:3" x14ac:dyDescent="0.25">
      <c r="A32" t="s">
        <v>74</v>
      </c>
      <c r="B32">
        <v>16</v>
      </c>
      <c r="C32">
        <v>5.2054794520547898E-2</v>
      </c>
    </row>
    <row r="33" spans="1:3" x14ac:dyDescent="0.25">
      <c r="A33" t="s">
        <v>189</v>
      </c>
      <c r="B33">
        <v>16</v>
      </c>
      <c r="C33">
        <v>7.9452054794520596E-2</v>
      </c>
    </row>
    <row r="34" spans="1:3" x14ac:dyDescent="0.25">
      <c r="A34" t="s">
        <v>186</v>
      </c>
      <c r="B34">
        <v>16</v>
      </c>
      <c r="C34">
        <v>6.3013698630137005E-2</v>
      </c>
    </row>
    <row r="35" spans="1:3" x14ac:dyDescent="0.25">
      <c r="A35" t="s">
        <v>60</v>
      </c>
      <c r="B35">
        <v>17</v>
      </c>
      <c r="C35">
        <v>0.101369863013699</v>
      </c>
    </row>
    <row r="36" spans="1:3" x14ac:dyDescent="0.25">
      <c r="A36" t="s">
        <v>188</v>
      </c>
      <c r="B36">
        <v>17</v>
      </c>
      <c r="C36">
        <v>5.75342465753425E-2</v>
      </c>
    </row>
    <row r="37" spans="1:3" x14ac:dyDescent="0.25">
      <c r="A37" t="s">
        <v>66</v>
      </c>
      <c r="B37">
        <v>17</v>
      </c>
      <c r="C37">
        <v>7.9452054794520596E-2</v>
      </c>
    </row>
    <row r="38" spans="1:3" x14ac:dyDescent="0.25">
      <c r="A38" t="s">
        <v>288</v>
      </c>
      <c r="B38">
        <v>17</v>
      </c>
      <c r="C38">
        <v>0.115068493150685</v>
      </c>
    </row>
    <row r="39" spans="1:3" x14ac:dyDescent="0.25">
      <c r="A39" t="s">
        <v>28</v>
      </c>
      <c r="B39">
        <v>17</v>
      </c>
      <c r="C39">
        <v>6.8493150684931503E-2</v>
      </c>
    </row>
    <row r="40" spans="1:3" x14ac:dyDescent="0.25">
      <c r="A40" t="s">
        <v>56</v>
      </c>
      <c r="B40">
        <v>18</v>
      </c>
      <c r="C40">
        <v>0.147945205479452</v>
      </c>
    </row>
    <row r="41" spans="1:3" x14ac:dyDescent="0.25">
      <c r="A41" t="s">
        <v>68</v>
      </c>
      <c r="B41">
        <v>18</v>
      </c>
      <c r="C41">
        <v>7.9452054794520596E-2</v>
      </c>
    </row>
    <row r="42" spans="1:3" x14ac:dyDescent="0.25">
      <c r="A42" t="s">
        <v>71</v>
      </c>
      <c r="B42">
        <v>18</v>
      </c>
      <c r="C42">
        <v>3.8356164383561597E-2</v>
      </c>
    </row>
    <row r="43" spans="1:3" x14ac:dyDescent="0.25">
      <c r="A43" t="s">
        <v>65</v>
      </c>
      <c r="B43">
        <v>18</v>
      </c>
      <c r="C43">
        <v>0.150684931506849</v>
      </c>
    </row>
    <row r="44" spans="1:3" x14ac:dyDescent="0.25">
      <c r="A44" t="s">
        <v>308</v>
      </c>
      <c r="B44">
        <v>18</v>
      </c>
      <c r="C44">
        <v>0.10958904109589</v>
      </c>
    </row>
    <row r="45" spans="1:3" x14ac:dyDescent="0.25">
      <c r="A45" t="s">
        <v>183</v>
      </c>
      <c r="B45">
        <v>18</v>
      </c>
      <c r="C45">
        <v>0.17534246575342499</v>
      </c>
    </row>
    <row r="46" spans="1:3" x14ac:dyDescent="0.25">
      <c r="A46" t="s">
        <v>64</v>
      </c>
      <c r="B46">
        <v>18</v>
      </c>
      <c r="C46">
        <v>9.0410958904109606E-2</v>
      </c>
    </row>
    <row r="47" spans="1:3" x14ac:dyDescent="0.25">
      <c r="A47" t="s">
        <v>58</v>
      </c>
      <c r="B47">
        <v>18</v>
      </c>
      <c r="C47">
        <v>0.115068493150685</v>
      </c>
    </row>
    <row r="48" spans="1:3" x14ac:dyDescent="0.25">
      <c r="A48" t="s">
        <v>64</v>
      </c>
      <c r="B48">
        <v>19</v>
      </c>
      <c r="C48">
        <v>8.4931506849315094E-2</v>
      </c>
    </row>
    <row r="49" spans="1:3" x14ac:dyDescent="0.25">
      <c r="A49" t="s">
        <v>185</v>
      </c>
      <c r="B49">
        <v>19</v>
      </c>
      <c r="C49">
        <v>0.18082191780821899</v>
      </c>
    </row>
    <row r="50" spans="1:3" x14ac:dyDescent="0.25">
      <c r="A50" t="s">
        <v>288</v>
      </c>
      <c r="B50">
        <v>19</v>
      </c>
      <c r="C50">
        <v>7.3972602739726001E-2</v>
      </c>
    </row>
    <row r="51" spans="1:3" x14ac:dyDescent="0.25">
      <c r="A51" t="s">
        <v>183</v>
      </c>
      <c r="B51">
        <v>19</v>
      </c>
      <c r="C51">
        <v>0.150684931506849</v>
      </c>
    </row>
    <row r="52" spans="1:3" x14ac:dyDescent="0.25">
      <c r="A52" t="s">
        <v>67</v>
      </c>
      <c r="B52">
        <v>20</v>
      </c>
      <c r="C52">
        <v>7.1232876712328794E-2</v>
      </c>
    </row>
    <row r="53" spans="1:3" x14ac:dyDescent="0.25">
      <c r="A53" t="s">
        <v>63</v>
      </c>
      <c r="B53">
        <v>20</v>
      </c>
      <c r="C53">
        <v>5.75342465753425E-2</v>
      </c>
    </row>
    <row r="54" spans="1:3" x14ac:dyDescent="0.25">
      <c r="A54" t="s">
        <v>393</v>
      </c>
      <c r="B54">
        <v>20</v>
      </c>
      <c r="C54">
        <v>6.02739726027397E-2</v>
      </c>
    </row>
    <row r="55" spans="1:3" x14ac:dyDescent="0.25">
      <c r="A55" t="s">
        <v>62</v>
      </c>
      <c r="B55">
        <v>20</v>
      </c>
      <c r="C55">
        <v>7.9452054794520596E-2</v>
      </c>
    </row>
    <row r="56" spans="1:3" x14ac:dyDescent="0.25">
      <c r="A56" t="s">
        <v>62</v>
      </c>
      <c r="B56">
        <v>21</v>
      </c>
      <c r="C56">
        <v>5.2054794520547898E-2</v>
      </c>
    </row>
    <row r="57" spans="1:3" x14ac:dyDescent="0.25">
      <c r="A57" t="s">
        <v>184</v>
      </c>
      <c r="B57">
        <v>22</v>
      </c>
      <c r="C57">
        <v>5.4794520547945202E-2</v>
      </c>
    </row>
    <row r="58" spans="1:3" x14ac:dyDescent="0.25">
      <c r="A58" t="s">
        <v>189</v>
      </c>
      <c r="B58">
        <v>22</v>
      </c>
      <c r="C58">
        <v>4.1095890410958902E-2</v>
      </c>
    </row>
    <row r="59" spans="1:3" x14ac:dyDescent="0.25">
      <c r="A59" t="s">
        <v>62</v>
      </c>
      <c r="B59">
        <v>22</v>
      </c>
      <c r="C59">
        <v>2.19178082191781E-2</v>
      </c>
    </row>
    <row r="60" spans="1:3" x14ac:dyDescent="0.25">
      <c r="A60" t="s">
        <v>188</v>
      </c>
      <c r="B60">
        <v>22</v>
      </c>
      <c r="C60">
        <v>4.9315068493150697E-2</v>
      </c>
    </row>
    <row r="61" spans="1:3" x14ac:dyDescent="0.25">
      <c r="A61" t="s">
        <v>312</v>
      </c>
      <c r="B61">
        <v>22</v>
      </c>
      <c r="C61">
        <v>5.4794520547945202E-2</v>
      </c>
    </row>
    <row r="62" spans="1:3" x14ac:dyDescent="0.25">
      <c r="A62" t="s">
        <v>66</v>
      </c>
      <c r="B62">
        <v>22</v>
      </c>
      <c r="C62">
        <v>2.7397260273972601E-2</v>
      </c>
    </row>
    <row r="63" spans="1:3" x14ac:dyDescent="0.25">
      <c r="A63" t="s">
        <v>79</v>
      </c>
      <c r="B63">
        <v>23</v>
      </c>
      <c r="C63">
        <v>2.7397260273972599E-3</v>
      </c>
    </row>
    <row r="64" spans="1:3" x14ac:dyDescent="0.25">
      <c r="A64" t="s">
        <v>61</v>
      </c>
      <c r="B64">
        <v>23</v>
      </c>
      <c r="C64">
        <v>4.1095890410958902E-2</v>
      </c>
    </row>
    <row r="65" spans="1:3" x14ac:dyDescent="0.25">
      <c r="A65" t="s">
        <v>38</v>
      </c>
      <c r="B65">
        <v>23</v>
      </c>
      <c r="C65">
        <v>0</v>
      </c>
    </row>
    <row r="66" spans="1:3" x14ac:dyDescent="0.25">
      <c r="A66" t="s">
        <v>67</v>
      </c>
      <c r="B66">
        <v>0</v>
      </c>
      <c r="C66">
        <v>3.0136986301369899E-2</v>
      </c>
    </row>
    <row r="67" spans="1:3" x14ac:dyDescent="0.25">
      <c r="A67" t="s">
        <v>183</v>
      </c>
      <c r="B67">
        <v>0</v>
      </c>
      <c r="C67">
        <v>2.19178082191781E-2</v>
      </c>
    </row>
    <row r="68" spans="1:3" x14ac:dyDescent="0.25">
      <c r="A68" t="s">
        <v>68</v>
      </c>
      <c r="B68">
        <v>3</v>
      </c>
      <c r="C68">
        <v>5.4794520547945197E-3</v>
      </c>
    </row>
    <row r="69" spans="1:3" x14ac:dyDescent="0.25">
      <c r="A69" t="s">
        <v>296</v>
      </c>
      <c r="B69">
        <v>4</v>
      </c>
      <c r="C69">
        <v>1.0958904109589E-2</v>
      </c>
    </row>
    <row r="70" spans="1:3" x14ac:dyDescent="0.25">
      <c r="A70" t="s">
        <v>60</v>
      </c>
      <c r="B70">
        <v>5</v>
      </c>
      <c r="C70">
        <v>2.19178082191781E-2</v>
      </c>
    </row>
    <row r="71" spans="1:3" x14ac:dyDescent="0.25">
      <c r="A71" t="s">
        <v>183</v>
      </c>
      <c r="B71">
        <v>7</v>
      </c>
      <c r="C71">
        <v>7.1232876712328794E-2</v>
      </c>
    </row>
    <row r="72" spans="1:3" x14ac:dyDescent="0.25">
      <c r="A72" t="s">
        <v>63</v>
      </c>
      <c r="B72">
        <v>7</v>
      </c>
      <c r="C72">
        <v>3.8356164383561597E-2</v>
      </c>
    </row>
    <row r="73" spans="1:3" x14ac:dyDescent="0.25">
      <c r="A73" t="s">
        <v>65</v>
      </c>
      <c r="B73">
        <v>7</v>
      </c>
      <c r="C73">
        <v>9.5890410958904104E-2</v>
      </c>
    </row>
    <row r="74" spans="1:3" x14ac:dyDescent="0.25">
      <c r="A74" t="s">
        <v>68</v>
      </c>
      <c r="B74">
        <v>7</v>
      </c>
      <c r="C74">
        <v>4.65753424657534E-2</v>
      </c>
    </row>
    <row r="75" spans="1:3" x14ac:dyDescent="0.25">
      <c r="A75" t="s">
        <v>316</v>
      </c>
      <c r="B75">
        <v>8</v>
      </c>
      <c r="C75">
        <v>0.123287671232877</v>
      </c>
    </row>
    <row r="76" spans="1:3" x14ac:dyDescent="0.25">
      <c r="A76" t="s">
        <v>65</v>
      </c>
      <c r="B76">
        <v>8</v>
      </c>
      <c r="C76">
        <v>9.0410958904109606E-2</v>
      </c>
    </row>
    <row r="77" spans="1:3" x14ac:dyDescent="0.25">
      <c r="A77" t="s">
        <v>184</v>
      </c>
      <c r="B77">
        <v>8</v>
      </c>
      <c r="C77">
        <v>8.4931506849315094E-2</v>
      </c>
    </row>
    <row r="78" spans="1:3" x14ac:dyDescent="0.25">
      <c r="A78" t="s">
        <v>26</v>
      </c>
      <c r="B78">
        <v>8</v>
      </c>
      <c r="C78">
        <v>6.5753424657534199E-2</v>
      </c>
    </row>
    <row r="79" spans="1:3" x14ac:dyDescent="0.25">
      <c r="A79" t="s">
        <v>183</v>
      </c>
      <c r="B79">
        <v>8</v>
      </c>
      <c r="C79">
        <v>0.12876712328767101</v>
      </c>
    </row>
    <row r="80" spans="1:3" x14ac:dyDescent="0.25">
      <c r="A80" t="s">
        <v>26</v>
      </c>
      <c r="B80">
        <v>9</v>
      </c>
      <c r="C80">
        <v>9.5890410958904104E-2</v>
      </c>
    </row>
    <row r="81" spans="1:3" x14ac:dyDescent="0.25">
      <c r="A81" t="s">
        <v>187</v>
      </c>
      <c r="B81">
        <v>9</v>
      </c>
      <c r="C81">
        <v>0.106849315068493</v>
      </c>
    </row>
    <row r="82" spans="1:3" x14ac:dyDescent="0.25">
      <c r="A82" t="s">
        <v>56</v>
      </c>
      <c r="B82">
        <v>9</v>
      </c>
      <c r="C82">
        <v>0.101369863013699</v>
      </c>
    </row>
    <row r="83" spans="1:3" x14ac:dyDescent="0.25">
      <c r="A83" t="s">
        <v>73</v>
      </c>
      <c r="B83">
        <v>9</v>
      </c>
      <c r="C83">
        <v>4.1095890410958902E-2</v>
      </c>
    </row>
    <row r="84" spans="1:3" x14ac:dyDescent="0.25">
      <c r="A84" t="s">
        <v>313</v>
      </c>
      <c r="B84">
        <v>9</v>
      </c>
      <c r="C84">
        <v>0.115068493150685</v>
      </c>
    </row>
    <row r="85" spans="1:3" x14ac:dyDescent="0.25">
      <c r="A85" t="s">
        <v>60</v>
      </c>
      <c r="B85">
        <v>9</v>
      </c>
      <c r="C85">
        <v>0.106849315068493</v>
      </c>
    </row>
    <row r="86" spans="1:3" x14ac:dyDescent="0.25">
      <c r="A86" t="s">
        <v>188</v>
      </c>
      <c r="B86">
        <v>9</v>
      </c>
      <c r="C86">
        <v>4.65753424657534E-2</v>
      </c>
    </row>
    <row r="87" spans="1:3" x14ac:dyDescent="0.25">
      <c r="A87" t="s">
        <v>74</v>
      </c>
      <c r="B87">
        <v>9</v>
      </c>
      <c r="C87">
        <v>3.8356164383561597E-2</v>
      </c>
    </row>
    <row r="88" spans="1:3" x14ac:dyDescent="0.25">
      <c r="A88" t="s">
        <v>312</v>
      </c>
      <c r="B88">
        <v>10</v>
      </c>
      <c r="C88">
        <v>0.13150684931506801</v>
      </c>
    </row>
    <row r="89" spans="1:3" x14ac:dyDescent="0.25">
      <c r="A89" t="s">
        <v>28</v>
      </c>
      <c r="B89">
        <v>10</v>
      </c>
      <c r="C89">
        <v>7.3972602739726001E-2</v>
      </c>
    </row>
    <row r="90" spans="1:3" x14ac:dyDescent="0.25">
      <c r="A90" t="s">
        <v>60</v>
      </c>
      <c r="B90">
        <v>10</v>
      </c>
      <c r="C90">
        <v>0.115068493150685</v>
      </c>
    </row>
    <row r="91" spans="1:3" x14ac:dyDescent="0.25">
      <c r="A91" t="s">
        <v>184</v>
      </c>
      <c r="B91">
        <v>10</v>
      </c>
      <c r="C91">
        <v>0.10958904109589</v>
      </c>
    </row>
    <row r="92" spans="1:3" x14ac:dyDescent="0.25">
      <c r="A92" t="s">
        <v>66</v>
      </c>
      <c r="B92">
        <v>10</v>
      </c>
      <c r="C92">
        <v>0.106849315068493</v>
      </c>
    </row>
    <row r="93" spans="1:3" x14ac:dyDescent="0.25">
      <c r="A93" t="s">
        <v>37</v>
      </c>
      <c r="B93">
        <v>10</v>
      </c>
      <c r="C93">
        <v>2.19178082191781E-2</v>
      </c>
    </row>
    <row r="94" spans="1:3" x14ac:dyDescent="0.25">
      <c r="A94" t="s">
        <v>189</v>
      </c>
      <c r="B94">
        <v>11</v>
      </c>
      <c r="C94">
        <v>5.2054794520547898E-2</v>
      </c>
    </row>
    <row r="95" spans="1:3" x14ac:dyDescent="0.25">
      <c r="A95" t="s">
        <v>68</v>
      </c>
      <c r="B95">
        <v>11</v>
      </c>
      <c r="C95">
        <v>9.8630136986301395E-2</v>
      </c>
    </row>
    <row r="96" spans="1:3" x14ac:dyDescent="0.25">
      <c r="A96" t="s">
        <v>17</v>
      </c>
      <c r="B96">
        <v>11</v>
      </c>
      <c r="C96">
        <v>0.104109589041096</v>
      </c>
    </row>
    <row r="97" spans="1:3" x14ac:dyDescent="0.25">
      <c r="A97" t="s">
        <v>185</v>
      </c>
      <c r="B97">
        <v>11</v>
      </c>
      <c r="C97">
        <v>0.17534246575342499</v>
      </c>
    </row>
    <row r="98" spans="1:3" x14ac:dyDescent="0.25">
      <c r="A98" t="s">
        <v>67</v>
      </c>
      <c r="B98">
        <v>11</v>
      </c>
      <c r="C98">
        <v>7.1232876712328794E-2</v>
      </c>
    </row>
    <row r="99" spans="1:3" x14ac:dyDescent="0.25">
      <c r="A99" t="s">
        <v>185</v>
      </c>
      <c r="B99">
        <v>12</v>
      </c>
      <c r="C99">
        <v>0.112328767123288</v>
      </c>
    </row>
    <row r="100" spans="1:3" x14ac:dyDescent="0.25">
      <c r="A100" t="s">
        <v>58</v>
      </c>
      <c r="B100">
        <v>12</v>
      </c>
      <c r="C100">
        <v>0.101369863013699</v>
      </c>
    </row>
    <row r="101" spans="1:3" x14ac:dyDescent="0.25">
      <c r="A101" t="s">
        <v>183</v>
      </c>
      <c r="B101">
        <v>12</v>
      </c>
      <c r="C101">
        <v>8.4931506849315094E-2</v>
      </c>
    </row>
    <row r="102" spans="1:3" x14ac:dyDescent="0.25">
      <c r="A102" t="s">
        <v>60</v>
      </c>
      <c r="B102">
        <v>12</v>
      </c>
      <c r="C102">
        <v>0.142465753424658</v>
      </c>
    </row>
    <row r="103" spans="1:3" x14ac:dyDescent="0.25">
      <c r="A103" t="s">
        <v>63</v>
      </c>
      <c r="B103">
        <v>13</v>
      </c>
      <c r="C103">
        <v>5.4794520547945202E-2</v>
      </c>
    </row>
    <row r="104" spans="1:3" x14ac:dyDescent="0.25">
      <c r="A104" t="s">
        <v>184</v>
      </c>
      <c r="B104">
        <v>14</v>
      </c>
      <c r="C104">
        <v>6.5753424657534199E-2</v>
      </c>
    </row>
    <row r="105" spans="1:3" x14ac:dyDescent="0.25">
      <c r="A105" t="s">
        <v>75</v>
      </c>
      <c r="B105">
        <v>14</v>
      </c>
      <c r="C105">
        <v>2.7397260273972601E-2</v>
      </c>
    </row>
    <row r="106" spans="1:3" x14ac:dyDescent="0.25">
      <c r="A106" t="s">
        <v>60</v>
      </c>
      <c r="B106">
        <v>14</v>
      </c>
      <c r="C106">
        <v>9.8630136986301395E-2</v>
      </c>
    </row>
    <row r="107" spans="1:3" x14ac:dyDescent="0.25">
      <c r="A107" t="s">
        <v>73</v>
      </c>
      <c r="B107">
        <v>14</v>
      </c>
      <c r="C107">
        <v>4.9315068493150697E-2</v>
      </c>
    </row>
    <row r="108" spans="1:3" x14ac:dyDescent="0.25">
      <c r="A108" t="s">
        <v>316</v>
      </c>
      <c r="B108">
        <v>14</v>
      </c>
      <c r="C108">
        <v>9.0410958904109606E-2</v>
      </c>
    </row>
    <row r="109" spans="1:3" x14ac:dyDescent="0.25">
      <c r="A109" t="s">
        <v>68</v>
      </c>
      <c r="B109">
        <v>14</v>
      </c>
      <c r="C109">
        <v>6.3013698630137005E-2</v>
      </c>
    </row>
    <row r="110" spans="1:3" x14ac:dyDescent="0.25">
      <c r="A110" t="s">
        <v>26</v>
      </c>
      <c r="B110">
        <v>15</v>
      </c>
      <c r="C110">
        <v>7.9452054794520596E-2</v>
      </c>
    </row>
    <row r="111" spans="1:3" x14ac:dyDescent="0.25">
      <c r="A111" t="s">
        <v>320</v>
      </c>
      <c r="B111">
        <v>15</v>
      </c>
      <c r="C111">
        <v>7.6712328767123306E-2</v>
      </c>
    </row>
    <row r="112" spans="1:3" x14ac:dyDescent="0.25">
      <c r="A112" t="s">
        <v>58</v>
      </c>
      <c r="B112">
        <v>15</v>
      </c>
      <c r="C112">
        <v>0.145205479452055</v>
      </c>
    </row>
    <row r="113" spans="1:3" x14ac:dyDescent="0.25">
      <c r="A113" t="s">
        <v>66</v>
      </c>
      <c r="B113">
        <v>16</v>
      </c>
      <c r="C113">
        <v>7.1232876712328794E-2</v>
      </c>
    </row>
    <row r="114" spans="1:3" x14ac:dyDescent="0.25">
      <c r="A114" t="s">
        <v>58</v>
      </c>
      <c r="B114">
        <v>16</v>
      </c>
      <c r="C114">
        <v>0.164383561643836</v>
      </c>
    </row>
    <row r="115" spans="1:3" x14ac:dyDescent="0.25">
      <c r="A115" t="s">
        <v>187</v>
      </c>
      <c r="B115">
        <v>16</v>
      </c>
      <c r="C115">
        <v>8.2191780821917804E-2</v>
      </c>
    </row>
    <row r="116" spans="1:3" x14ac:dyDescent="0.25">
      <c r="A116" t="s">
        <v>71</v>
      </c>
      <c r="B116">
        <v>16</v>
      </c>
      <c r="C116">
        <v>2.46575342465753E-2</v>
      </c>
    </row>
    <row r="117" spans="1:3" x14ac:dyDescent="0.25">
      <c r="A117" t="s">
        <v>36</v>
      </c>
      <c r="B117">
        <v>16</v>
      </c>
      <c r="C117">
        <v>8.4931506849315094E-2</v>
      </c>
    </row>
    <row r="118" spans="1:3" x14ac:dyDescent="0.25">
      <c r="A118" t="s">
        <v>38</v>
      </c>
      <c r="B118">
        <v>16</v>
      </c>
      <c r="C118">
        <v>8.21917808219178E-3</v>
      </c>
    </row>
    <row r="119" spans="1:3" x14ac:dyDescent="0.25">
      <c r="A119" t="s">
        <v>61</v>
      </c>
      <c r="B119">
        <v>16</v>
      </c>
      <c r="C119">
        <v>0.150684931506849</v>
      </c>
    </row>
    <row r="120" spans="1:3" x14ac:dyDescent="0.25">
      <c r="A120" t="s">
        <v>288</v>
      </c>
      <c r="B120">
        <v>16</v>
      </c>
      <c r="C120">
        <v>3.0136986301369899E-2</v>
      </c>
    </row>
    <row r="121" spans="1:3" x14ac:dyDescent="0.25">
      <c r="A121" t="s">
        <v>185</v>
      </c>
      <c r="B121">
        <v>17</v>
      </c>
      <c r="C121">
        <v>0.16986301369862999</v>
      </c>
    </row>
    <row r="122" spans="1:3" x14ac:dyDescent="0.25">
      <c r="A122" t="s">
        <v>187</v>
      </c>
      <c r="B122">
        <v>17</v>
      </c>
      <c r="C122">
        <v>0.117808219178082</v>
      </c>
    </row>
    <row r="123" spans="1:3" x14ac:dyDescent="0.25">
      <c r="A123" t="s">
        <v>65</v>
      </c>
      <c r="B123">
        <v>17</v>
      </c>
      <c r="C123">
        <v>9.8630136986301395E-2</v>
      </c>
    </row>
    <row r="124" spans="1:3" x14ac:dyDescent="0.25">
      <c r="A124" t="s">
        <v>183</v>
      </c>
      <c r="B124">
        <v>17</v>
      </c>
      <c r="C124">
        <v>0.17260273972602699</v>
      </c>
    </row>
    <row r="125" spans="1:3" x14ac:dyDescent="0.25">
      <c r="A125" t="s">
        <v>58</v>
      </c>
      <c r="B125">
        <v>17</v>
      </c>
      <c r="C125">
        <v>0.13150684931506801</v>
      </c>
    </row>
    <row r="126" spans="1:3" x14ac:dyDescent="0.25">
      <c r="A126" t="s">
        <v>296</v>
      </c>
      <c r="B126">
        <v>17</v>
      </c>
      <c r="C126">
        <v>4.65753424657534E-2</v>
      </c>
    </row>
    <row r="127" spans="1:3" x14ac:dyDescent="0.25">
      <c r="A127" t="s">
        <v>26</v>
      </c>
      <c r="B127">
        <v>18</v>
      </c>
      <c r="C127">
        <v>0.17260273972602699</v>
      </c>
    </row>
    <row r="128" spans="1:3" x14ac:dyDescent="0.25">
      <c r="A128" t="s">
        <v>17</v>
      </c>
      <c r="B128">
        <v>18</v>
      </c>
      <c r="C128">
        <v>0.17534246575342499</v>
      </c>
    </row>
    <row r="129" spans="1:3" x14ac:dyDescent="0.25">
      <c r="A129" t="s">
        <v>66</v>
      </c>
      <c r="B129">
        <v>18</v>
      </c>
      <c r="C129">
        <v>9.5890410958904104E-2</v>
      </c>
    </row>
    <row r="130" spans="1:3" x14ac:dyDescent="0.25">
      <c r="A130" t="s">
        <v>187</v>
      </c>
      <c r="B130">
        <v>18</v>
      </c>
      <c r="C130">
        <v>9.0410958904109606E-2</v>
      </c>
    </row>
    <row r="131" spans="1:3" x14ac:dyDescent="0.25">
      <c r="A131" t="s">
        <v>61</v>
      </c>
      <c r="B131">
        <v>18</v>
      </c>
      <c r="C131">
        <v>0.101369863013699</v>
      </c>
    </row>
    <row r="132" spans="1:3" x14ac:dyDescent="0.25">
      <c r="A132" t="s">
        <v>62</v>
      </c>
      <c r="B132">
        <v>18</v>
      </c>
      <c r="C132">
        <v>0.13150684931506801</v>
      </c>
    </row>
    <row r="133" spans="1:3" x14ac:dyDescent="0.25">
      <c r="A133" t="s">
        <v>21</v>
      </c>
      <c r="B133">
        <v>18</v>
      </c>
      <c r="C133">
        <v>5.4794520547945202E-2</v>
      </c>
    </row>
    <row r="134" spans="1:3" x14ac:dyDescent="0.25">
      <c r="A134" t="s">
        <v>394</v>
      </c>
      <c r="B134">
        <v>18</v>
      </c>
      <c r="C134">
        <v>7.3972602739726001E-2</v>
      </c>
    </row>
    <row r="135" spans="1:3" x14ac:dyDescent="0.25">
      <c r="A135" t="s">
        <v>60</v>
      </c>
      <c r="B135">
        <v>18</v>
      </c>
      <c r="C135">
        <v>0.13972602739726001</v>
      </c>
    </row>
    <row r="136" spans="1:3" x14ac:dyDescent="0.25">
      <c r="A136" t="s">
        <v>21</v>
      </c>
      <c r="B136">
        <v>19</v>
      </c>
      <c r="C136">
        <v>4.65753424657534E-2</v>
      </c>
    </row>
    <row r="137" spans="1:3" x14ac:dyDescent="0.25">
      <c r="A137" t="s">
        <v>68</v>
      </c>
      <c r="B137">
        <v>19</v>
      </c>
      <c r="C137">
        <v>7.6712328767123306E-2</v>
      </c>
    </row>
    <row r="138" spans="1:3" x14ac:dyDescent="0.25">
      <c r="A138" t="s">
        <v>318</v>
      </c>
      <c r="B138">
        <v>19</v>
      </c>
      <c r="C138">
        <v>3.5616438356164397E-2</v>
      </c>
    </row>
    <row r="139" spans="1:3" x14ac:dyDescent="0.25">
      <c r="A139" t="s">
        <v>62</v>
      </c>
      <c r="B139">
        <v>19</v>
      </c>
      <c r="C139">
        <v>0.117808219178082</v>
      </c>
    </row>
    <row r="140" spans="1:3" x14ac:dyDescent="0.25">
      <c r="A140" t="s">
        <v>60</v>
      </c>
      <c r="B140">
        <v>19</v>
      </c>
      <c r="C140">
        <v>0.115068493150685</v>
      </c>
    </row>
    <row r="141" spans="1:3" x14ac:dyDescent="0.25">
      <c r="A141" t="s">
        <v>67</v>
      </c>
      <c r="B141">
        <v>19</v>
      </c>
      <c r="C141">
        <v>5.4794520547945202E-2</v>
      </c>
    </row>
    <row r="142" spans="1:3" x14ac:dyDescent="0.25">
      <c r="A142" t="s">
        <v>394</v>
      </c>
      <c r="B142">
        <v>19</v>
      </c>
      <c r="C142">
        <v>6.8493150684931503E-2</v>
      </c>
    </row>
    <row r="143" spans="1:3" x14ac:dyDescent="0.25">
      <c r="A143" t="s">
        <v>317</v>
      </c>
      <c r="B143">
        <v>20</v>
      </c>
      <c r="C143">
        <v>0.101369863013699</v>
      </c>
    </row>
    <row r="144" spans="1:3" x14ac:dyDescent="0.25">
      <c r="A144" t="s">
        <v>58</v>
      </c>
      <c r="B144">
        <v>20</v>
      </c>
      <c r="C144">
        <v>8.7671232876712302E-2</v>
      </c>
    </row>
    <row r="145" spans="1:3" x14ac:dyDescent="0.25">
      <c r="A145" t="s">
        <v>66</v>
      </c>
      <c r="B145">
        <v>20</v>
      </c>
      <c r="C145">
        <v>5.75342465753425E-2</v>
      </c>
    </row>
    <row r="146" spans="1:3" x14ac:dyDescent="0.25">
      <c r="A146" t="s">
        <v>69</v>
      </c>
      <c r="B146">
        <v>21</v>
      </c>
      <c r="C146">
        <v>2.19178082191781E-2</v>
      </c>
    </row>
    <row r="147" spans="1:3" x14ac:dyDescent="0.25">
      <c r="A147" t="s">
        <v>70</v>
      </c>
      <c r="B147">
        <v>21</v>
      </c>
      <c r="C147">
        <v>1.6438356164383602E-2</v>
      </c>
    </row>
    <row r="148" spans="1:3" x14ac:dyDescent="0.25">
      <c r="A148" t="s">
        <v>60</v>
      </c>
      <c r="B148">
        <v>22</v>
      </c>
      <c r="C148">
        <v>5.2054794520547898E-2</v>
      </c>
    </row>
    <row r="149" spans="1:3" x14ac:dyDescent="0.25">
      <c r="A149" t="s">
        <v>393</v>
      </c>
      <c r="B149">
        <v>23</v>
      </c>
      <c r="C149">
        <v>4.3835616438356199E-2</v>
      </c>
    </row>
    <row r="150" spans="1:3" x14ac:dyDescent="0.25">
      <c r="A150" t="s">
        <v>74</v>
      </c>
      <c r="B150">
        <v>0</v>
      </c>
      <c r="C150">
        <v>1.9178082191780799E-2</v>
      </c>
    </row>
    <row r="151" spans="1:3" x14ac:dyDescent="0.25">
      <c r="A151" t="s">
        <v>66</v>
      </c>
      <c r="B151">
        <v>0</v>
      </c>
      <c r="C151">
        <v>3.0136986301369899E-2</v>
      </c>
    </row>
    <row r="152" spans="1:3" x14ac:dyDescent="0.25">
      <c r="A152" t="s">
        <v>185</v>
      </c>
      <c r="B152">
        <v>1</v>
      </c>
      <c r="C152">
        <v>5.2054794520547898E-2</v>
      </c>
    </row>
    <row r="153" spans="1:3" x14ac:dyDescent="0.25">
      <c r="A153" t="s">
        <v>66</v>
      </c>
      <c r="B153">
        <v>1</v>
      </c>
      <c r="C153">
        <v>1.6438356164383602E-2</v>
      </c>
    </row>
    <row r="154" spans="1:3" x14ac:dyDescent="0.25">
      <c r="A154" t="s">
        <v>71</v>
      </c>
      <c r="B154">
        <v>4</v>
      </c>
      <c r="C154">
        <v>1.0958904109589E-2</v>
      </c>
    </row>
    <row r="155" spans="1:3" x14ac:dyDescent="0.25">
      <c r="A155" t="s">
        <v>61</v>
      </c>
      <c r="B155">
        <v>7</v>
      </c>
      <c r="C155">
        <v>8.2191780821917804E-2</v>
      </c>
    </row>
    <row r="156" spans="1:3" x14ac:dyDescent="0.25">
      <c r="A156" t="s">
        <v>26</v>
      </c>
      <c r="B156">
        <v>7</v>
      </c>
      <c r="C156">
        <v>6.02739726027397E-2</v>
      </c>
    </row>
    <row r="157" spans="1:3" x14ac:dyDescent="0.25">
      <c r="A157" t="s">
        <v>70</v>
      </c>
      <c r="B157">
        <v>7</v>
      </c>
      <c r="C157">
        <v>3.8356164383561597E-2</v>
      </c>
    </row>
    <row r="158" spans="1:3" x14ac:dyDescent="0.25">
      <c r="A158" t="s">
        <v>78</v>
      </c>
      <c r="B158">
        <v>7</v>
      </c>
      <c r="C158">
        <v>8.21917808219178E-3</v>
      </c>
    </row>
    <row r="159" spans="1:3" x14ac:dyDescent="0.25">
      <c r="A159" t="s">
        <v>312</v>
      </c>
      <c r="B159">
        <v>8</v>
      </c>
      <c r="C159">
        <v>0.161643835616438</v>
      </c>
    </row>
    <row r="160" spans="1:3" x14ac:dyDescent="0.25">
      <c r="A160" t="s">
        <v>308</v>
      </c>
      <c r="B160">
        <v>8</v>
      </c>
      <c r="C160">
        <v>3.8356164383561597E-2</v>
      </c>
    </row>
    <row r="161" spans="1:3" x14ac:dyDescent="0.25">
      <c r="A161" t="s">
        <v>188</v>
      </c>
      <c r="B161">
        <v>8</v>
      </c>
      <c r="C161">
        <v>4.3835616438356199E-2</v>
      </c>
    </row>
    <row r="162" spans="1:3" x14ac:dyDescent="0.25">
      <c r="A162" t="s">
        <v>58</v>
      </c>
      <c r="B162">
        <v>8</v>
      </c>
      <c r="C162">
        <v>6.5753424657534199E-2</v>
      </c>
    </row>
    <row r="163" spans="1:3" x14ac:dyDescent="0.25">
      <c r="A163" t="s">
        <v>60</v>
      </c>
      <c r="B163">
        <v>8</v>
      </c>
      <c r="C163">
        <v>0.115068493150685</v>
      </c>
    </row>
    <row r="164" spans="1:3" x14ac:dyDescent="0.25">
      <c r="A164" t="s">
        <v>71</v>
      </c>
      <c r="B164">
        <v>8</v>
      </c>
      <c r="C164">
        <v>3.5616438356164397E-2</v>
      </c>
    </row>
    <row r="165" spans="1:3" x14ac:dyDescent="0.25">
      <c r="A165" t="s">
        <v>56</v>
      </c>
      <c r="B165">
        <v>8</v>
      </c>
      <c r="C165">
        <v>8.2191780821917804E-2</v>
      </c>
    </row>
    <row r="166" spans="1:3" x14ac:dyDescent="0.25">
      <c r="A166" t="s">
        <v>185</v>
      </c>
      <c r="B166">
        <v>8</v>
      </c>
      <c r="C166">
        <v>0.156164383561644</v>
      </c>
    </row>
    <row r="167" spans="1:3" x14ac:dyDescent="0.25">
      <c r="A167" t="s">
        <v>17</v>
      </c>
      <c r="B167">
        <v>9</v>
      </c>
      <c r="C167">
        <v>9.3150684931506897E-2</v>
      </c>
    </row>
    <row r="168" spans="1:3" x14ac:dyDescent="0.25">
      <c r="A168" t="s">
        <v>36</v>
      </c>
      <c r="B168">
        <v>9</v>
      </c>
      <c r="C168">
        <v>7.3972602739726001E-2</v>
      </c>
    </row>
    <row r="169" spans="1:3" x14ac:dyDescent="0.25">
      <c r="A169" t="s">
        <v>66</v>
      </c>
      <c r="B169">
        <v>9</v>
      </c>
      <c r="C169">
        <v>9.3150684931506897E-2</v>
      </c>
    </row>
    <row r="170" spans="1:3" x14ac:dyDescent="0.25">
      <c r="A170" t="s">
        <v>316</v>
      </c>
      <c r="B170">
        <v>9</v>
      </c>
      <c r="C170">
        <v>0.26575342465753399</v>
      </c>
    </row>
    <row r="171" spans="1:3" x14ac:dyDescent="0.25">
      <c r="A171" t="s">
        <v>67</v>
      </c>
      <c r="B171">
        <v>9</v>
      </c>
      <c r="C171">
        <v>6.8493150684931503E-2</v>
      </c>
    </row>
    <row r="172" spans="1:3" x14ac:dyDescent="0.25">
      <c r="A172" t="s">
        <v>185</v>
      </c>
      <c r="B172">
        <v>9</v>
      </c>
      <c r="C172">
        <v>0.142465753424658</v>
      </c>
    </row>
    <row r="173" spans="1:3" x14ac:dyDescent="0.25">
      <c r="A173" t="s">
        <v>64</v>
      </c>
      <c r="B173">
        <v>10</v>
      </c>
      <c r="C173">
        <v>5.75342465753425E-2</v>
      </c>
    </row>
    <row r="174" spans="1:3" x14ac:dyDescent="0.25">
      <c r="A174" t="s">
        <v>56</v>
      </c>
      <c r="B174">
        <v>10</v>
      </c>
      <c r="C174">
        <v>0.115068493150685</v>
      </c>
    </row>
    <row r="175" spans="1:3" x14ac:dyDescent="0.25">
      <c r="A175" t="s">
        <v>316</v>
      </c>
      <c r="B175">
        <v>10</v>
      </c>
      <c r="C175">
        <v>0.216438356164384</v>
      </c>
    </row>
    <row r="176" spans="1:3" x14ac:dyDescent="0.25">
      <c r="A176" t="s">
        <v>78</v>
      </c>
      <c r="B176">
        <v>11</v>
      </c>
      <c r="C176">
        <v>3.2876712328767099E-2</v>
      </c>
    </row>
    <row r="177" spans="1:3" x14ac:dyDescent="0.25">
      <c r="A177" t="s">
        <v>73</v>
      </c>
      <c r="B177">
        <v>11</v>
      </c>
      <c r="C177">
        <v>5.2054794520547898E-2</v>
      </c>
    </row>
    <row r="178" spans="1:3" x14ac:dyDescent="0.25">
      <c r="A178" t="s">
        <v>70</v>
      </c>
      <c r="B178">
        <v>12</v>
      </c>
      <c r="C178">
        <v>6.02739726027397E-2</v>
      </c>
    </row>
    <row r="179" spans="1:3" x14ac:dyDescent="0.25">
      <c r="A179" t="s">
        <v>316</v>
      </c>
      <c r="B179">
        <v>12</v>
      </c>
      <c r="C179">
        <v>0.112328767123288</v>
      </c>
    </row>
    <row r="180" spans="1:3" x14ac:dyDescent="0.25">
      <c r="A180" t="s">
        <v>71</v>
      </c>
      <c r="B180">
        <v>12</v>
      </c>
      <c r="C180">
        <v>3.8356164383561597E-2</v>
      </c>
    </row>
    <row r="181" spans="1:3" x14ac:dyDescent="0.25">
      <c r="A181" t="s">
        <v>26</v>
      </c>
      <c r="B181">
        <v>12</v>
      </c>
      <c r="C181">
        <v>7.9452054794520596E-2</v>
      </c>
    </row>
    <row r="182" spans="1:3" x14ac:dyDescent="0.25">
      <c r="A182" t="s">
        <v>70</v>
      </c>
      <c r="B182">
        <v>13</v>
      </c>
      <c r="C182">
        <v>3.8356164383561597E-2</v>
      </c>
    </row>
    <row r="183" spans="1:3" x14ac:dyDescent="0.25">
      <c r="A183" t="s">
        <v>64</v>
      </c>
      <c r="B183">
        <v>13</v>
      </c>
      <c r="C183">
        <v>7.6712328767123306E-2</v>
      </c>
    </row>
    <row r="184" spans="1:3" x14ac:dyDescent="0.25">
      <c r="A184" t="s">
        <v>69</v>
      </c>
      <c r="B184">
        <v>13</v>
      </c>
      <c r="C184">
        <v>4.3835616438356199E-2</v>
      </c>
    </row>
    <row r="185" spans="1:3" x14ac:dyDescent="0.25">
      <c r="A185" t="s">
        <v>65</v>
      </c>
      <c r="B185">
        <v>13</v>
      </c>
      <c r="C185">
        <v>7.6712328767123306E-2</v>
      </c>
    </row>
    <row r="186" spans="1:3" x14ac:dyDescent="0.25">
      <c r="A186" t="s">
        <v>317</v>
      </c>
      <c r="B186">
        <v>14</v>
      </c>
      <c r="C186">
        <v>0.150684931506849</v>
      </c>
    </row>
    <row r="187" spans="1:3" x14ac:dyDescent="0.25">
      <c r="A187" t="s">
        <v>69</v>
      </c>
      <c r="B187">
        <v>14</v>
      </c>
      <c r="C187">
        <v>2.19178082191781E-2</v>
      </c>
    </row>
    <row r="188" spans="1:3" x14ac:dyDescent="0.25">
      <c r="A188" t="s">
        <v>188</v>
      </c>
      <c r="B188">
        <v>14</v>
      </c>
      <c r="C188">
        <v>5.4794520547945202E-2</v>
      </c>
    </row>
    <row r="189" spans="1:3" x14ac:dyDescent="0.25">
      <c r="A189" t="s">
        <v>32</v>
      </c>
      <c r="B189">
        <v>14</v>
      </c>
      <c r="C189">
        <v>8.21917808219178E-3</v>
      </c>
    </row>
    <row r="190" spans="1:3" x14ac:dyDescent="0.25">
      <c r="A190" t="s">
        <v>317</v>
      </c>
      <c r="B190">
        <v>16</v>
      </c>
      <c r="C190">
        <v>0.142465753424658</v>
      </c>
    </row>
    <row r="191" spans="1:3" x14ac:dyDescent="0.25">
      <c r="A191" t="s">
        <v>67</v>
      </c>
      <c r="B191">
        <v>16</v>
      </c>
      <c r="C191">
        <v>8.2191780821917804E-2</v>
      </c>
    </row>
    <row r="192" spans="1:3" x14ac:dyDescent="0.25">
      <c r="A192" t="s">
        <v>72</v>
      </c>
      <c r="B192">
        <v>16</v>
      </c>
      <c r="C192">
        <v>6.8493150684931503E-2</v>
      </c>
    </row>
    <row r="193" spans="1:3" x14ac:dyDescent="0.25">
      <c r="A193" t="s">
        <v>189</v>
      </c>
      <c r="B193">
        <v>17</v>
      </c>
      <c r="C193">
        <v>9.0410958904109606E-2</v>
      </c>
    </row>
    <row r="194" spans="1:3" x14ac:dyDescent="0.25">
      <c r="A194" t="s">
        <v>67</v>
      </c>
      <c r="B194">
        <v>17</v>
      </c>
      <c r="C194">
        <v>8.4931506849315094E-2</v>
      </c>
    </row>
    <row r="195" spans="1:3" x14ac:dyDescent="0.25">
      <c r="A195" t="s">
        <v>316</v>
      </c>
      <c r="B195">
        <v>17</v>
      </c>
      <c r="C195">
        <v>0.27397260273972601</v>
      </c>
    </row>
    <row r="196" spans="1:3" x14ac:dyDescent="0.25">
      <c r="A196" t="s">
        <v>393</v>
      </c>
      <c r="B196">
        <v>17</v>
      </c>
      <c r="C196">
        <v>0.17534246575342499</v>
      </c>
    </row>
    <row r="197" spans="1:3" x14ac:dyDescent="0.25">
      <c r="A197" t="s">
        <v>312</v>
      </c>
      <c r="B197">
        <v>18</v>
      </c>
      <c r="C197">
        <v>0.117808219178082</v>
      </c>
    </row>
    <row r="198" spans="1:3" x14ac:dyDescent="0.25">
      <c r="A198" t="s">
        <v>36</v>
      </c>
      <c r="B198">
        <v>18</v>
      </c>
      <c r="C198">
        <v>0.12876712328767101</v>
      </c>
    </row>
    <row r="199" spans="1:3" x14ac:dyDescent="0.25">
      <c r="A199" t="s">
        <v>56</v>
      </c>
      <c r="B199">
        <v>19</v>
      </c>
      <c r="C199">
        <v>0.10958904109589</v>
      </c>
    </row>
    <row r="200" spans="1:3" x14ac:dyDescent="0.25">
      <c r="A200" t="s">
        <v>189</v>
      </c>
      <c r="B200">
        <v>19</v>
      </c>
      <c r="C200">
        <v>7.9452054794520596E-2</v>
      </c>
    </row>
    <row r="201" spans="1:3" x14ac:dyDescent="0.25">
      <c r="A201" t="s">
        <v>19</v>
      </c>
      <c r="B201">
        <v>19</v>
      </c>
      <c r="C201">
        <v>0.13424657534246601</v>
      </c>
    </row>
    <row r="202" spans="1:3" x14ac:dyDescent="0.25">
      <c r="A202" t="s">
        <v>321</v>
      </c>
      <c r="B202">
        <v>19</v>
      </c>
      <c r="C202">
        <v>6.3013698630137005E-2</v>
      </c>
    </row>
    <row r="203" spans="1:3" x14ac:dyDescent="0.25">
      <c r="A203" t="s">
        <v>71</v>
      </c>
      <c r="B203">
        <v>20</v>
      </c>
      <c r="C203">
        <v>4.3835616438356199E-2</v>
      </c>
    </row>
    <row r="204" spans="1:3" x14ac:dyDescent="0.25">
      <c r="A204" t="s">
        <v>186</v>
      </c>
      <c r="B204">
        <v>20</v>
      </c>
      <c r="C204">
        <v>3.0136986301369899E-2</v>
      </c>
    </row>
    <row r="205" spans="1:3" x14ac:dyDescent="0.25">
      <c r="A205" t="s">
        <v>73</v>
      </c>
      <c r="B205">
        <v>20</v>
      </c>
      <c r="C205">
        <v>3.8356164383561597E-2</v>
      </c>
    </row>
    <row r="206" spans="1:3" x14ac:dyDescent="0.25">
      <c r="A206" t="s">
        <v>73</v>
      </c>
      <c r="B206">
        <v>21</v>
      </c>
      <c r="C206">
        <v>3.5616438356164397E-2</v>
      </c>
    </row>
    <row r="207" spans="1:3" x14ac:dyDescent="0.25">
      <c r="A207" t="s">
        <v>186</v>
      </c>
      <c r="B207">
        <v>21</v>
      </c>
      <c r="C207">
        <v>2.46575342465753E-2</v>
      </c>
    </row>
    <row r="208" spans="1:3" x14ac:dyDescent="0.25">
      <c r="A208" t="s">
        <v>58</v>
      </c>
      <c r="B208">
        <v>21</v>
      </c>
      <c r="C208">
        <v>6.3013698630137005E-2</v>
      </c>
    </row>
    <row r="209" spans="1:3" x14ac:dyDescent="0.25">
      <c r="A209" t="s">
        <v>71</v>
      </c>
      <c r="B209">
        <v>21</v>
      </c>
      <c r="C209">
        <v>1.6438356164383602E-2</v>
      </c>
    </row>
    <row r="210" spans="1:3" x14ac:dyDescent="0.25">
      <c r="A210" t="s">
        <v>19</v>
      </c>
      <c r="B210">
        <v>21</v>
      </c>
      <c r="C210">
        <v>4.9315068493150697E-2</v>
      </c>
    </row>
    <row r="211" spans="1:3" x14ac:dyDescent="0.25">
      <c r="A211" t="s">
        <v>185</v>
      </c>
      <c r="B211">
        <v>21</v>
      </c>
      <c r="C211">
        <v>8.4931506849315094E-2</v>
      </c>
    </row>
    <row r="212" spans="1:3" x14ac:dyDescent="0.25">
      <c r="A212" t="s">
        <v>316</v>
      </c>
      <c r="B212">
        <v>21</v>
      </c>
      <c r="C212">
        <v>9.0410958904109606E-2</v>
      </c>
    </row>
    <row r="213" spans="1:3" x14ac:dyDescent="0.25">
      <c r="A213" t="s">
        <v>63</v>
      </c>
      <c r="B213">
        <v>22</v>
      </c>
      <c r="C213">
        <v>1.3698630136986301E-2</v>
      </c>
    </row>
    <row r="214" spans="1:3" x14ac:dyDescent="0.25">
      <c r="A214" t="s">
        <v>189</v>
      </c>
      <c r="B214">
        <v>23</v>
      </c>
      <c r="C214">
        <v>2.19178082191781E-2</v>
      </c>
    </row>
    <row r="215" spans="1:3" x14ac:dyDescent="0.25">
      <c r="A215" t="s">
        <v>75</v>
      </c>
      <c r="B215">
        <v>23</v>
      </c>
      <c r="C215">
        <v>5.4794520547945197E-3</v>
      </c>
    </row>
    <row r="216" spans="1:3" x14ac:dyDescent="0.25">
      <c r="A216" t="s">
        <v>73</v>
      </c>
      <c r="B216">
        <v>23</v>
      </c>
      <c r="C216">
        <v>1.6438356164383602E-2</v>
      </c>
    </row>
    <row r="217" spans="1:3" x14ac:dyDescent="0.25">
      <c r="A217" t="s">
        <v>286</v>
      </c>
      <c r="B217">
        <v>23</v>
      </c>
      <c r="C217">
        <v>5.4794520547945197E-3</v>
      </c>
    </row>
    <row r="218" spans="1:3" x14ac:dyDescent="0.25">
      <c r="A218" t="s">
        <v>68</v>
      </c>
      <c r="B218">
        <v>0</v>
      </c>
      <c r="C218">
        <v>2.46575342465753E-2</v>
      </c>
    </row>
    <row r="219" spans="1:3" x14ac:dyDescent="0.25">
      <c r="A219" t="s">
        <v>28</v>
      </c>
      <c r="B219">
        <v>0</v>
      </c>
      <c r="C219">
        <v>3.5616438356164397E-2</v>
      </c>
    </row>
    <row r="220" spans="1:3" x14ac:dyDescent="0.25">
      <c r="A220" t="s">
        <v>58</v>
      </c>
      <c r="B220">
        <v>1</v>
      </c>
      <c r="C220">
        <v>3.8356164383561597E-2</v>
      </c>
    </row>
    <row r="221" spans="1:3" x14ac:dyDescent="0.25">
      <c r="A221" t="s">
        <v>58</v>
      </c>
      <c r="B221">
        <v>2</v>
      </c>
      <c r="C221">
        <v>1.3698630136986301E-2</v>
      </c>
    </row>
    <row r="222" spans="1:3" x14ac:dyDescent="0.25">
      <c r="A222" t="s">
        <v>183</v>
      </c>
      <c r="B222">
        <v>5</v>
      </c>
      <c r="C222">
        <v>1.0958904109589E-2</v>
      </c>
    </row>
    <row r="223" spans="1:3" x14ac:dyDescent="0.25">
      <c r="A223" t="s">
        <v>185</v>
      </c>
      <c r="B223">
        <v>5</v>
      </c>
      <c r="C223">
        <v>3.0136986301369899E-2</v>
      </c>
    </row>
    <row r="224" spans="1:3" x14ac:dyDescent="0.25">
      <c r="A224" t="s">
        <v>189</v>
      </c>
      <c r="B224">
        <v>7</v>
      </c>
      <c r="C224">
        <v>3.0136986301369899E-2</v>
      </c>
    </row>
    <row r="225" spans="1:3" x14ac:dyDescent="0.25">
      <c r="A225" t="s">
        <v>56</v>
      </c>
      <c r="B225">
        <v>7</v>
      </c>
      <c r="C225">
        <v>7.6712328767123306E-2</v>
      </c>
    </row>
    <row r="226" spans="1:3" x14ac:dyDescent="0.25">
      <c r="A226" t="s">
        <v>72</v>
      </c>
      <c r="B226">
        <v>8</v>
      </c>
      <c r="C226">
        <v>3.2876712328767099E-2</v>
      </c>
    </row>
    <row r="227" spans="1:3" x14ac:dyDescent="0.25">
      <c r="A227" t="s">
        <v>67</v>
      </c>
      <c r="B227">
        <v>8</v>
      </c>
      <c r="C227">
        <v>5.4794520547945202E-2</v>
      </c>
    </row>
    <row r="228" spans="1:3" x14ac:dyDescent="0.25">
      <c r="A228" t="s">
        <v>63</v>
      </c>
      <c r="B228">
        <v>9</v>
      </c>
      <c r="C228">
        <v>6.3013698630137005E-2</v>
      </c>
    </row>
    <row r="229" spans="1:3" x14ac:dyDescent="0.25">
      <c r="A229" t="s">
        <v>77</v>
      </c>
      <c r="B229">
        <v>9</v>
      </c>
      <c r="C229">
        <v>1.0958904109589E-2</v>
      </c>
    </row>
    <row r="230" spans="1:3" x14ac:dyDescent="0.25">
      <c r="A230" t="s">
        <v>17</v>
      </c>
      <c r="B230">
        <v>10</v>
      </c>
      <c r="C230">
        <v>0.12876712328767101</v>
      </c>
    </row>
    <row r="231" spans="1:3" x14ac:dyDescent="0.25">
      <c r="A231" t="s">
        <v>26</v>
      </c>
      <c r="B231">
        <v>10</v>
      </c>
      <c r="C231">
        <v>5.75342465753425E-2</v>
      </c>
    </row>
    <row r="232" spans="1:3" x14ac:dyDescent="0.25">
      <c r="A232" t="s">
        <v>74</v>
      </c>
      <c r="B232">
        <v>10</v>
      </c>
      <c r="C232">
        <v>4.9315068493150697E-2</v>
      </c>
    </row>
    <row r="233" spans="1:3" x14ac:dyDescent="0.25">
      <c r="A233" t="s">
        <v>75</v>
      </c>
      <c r="B233">
        <v>11</v>
      </c>
      <c r="C233">
        <v>3.0136986301369899E-2</v>
      </c>
    </row>
    <row r="234" spans="1:3" x14ac:dyDescent="0.25">
      <c r="A234" t="s">
        <v>70</v>
      </c>
      <c r="B234">
        <v>11</v>
      </c>
      <c r="C234">
        <v>5.4794520547945202E-2</v>
      </c>
    </row>
    <row r="235" spans="1:3" x14ac:dyDescent="0.25">
      <c r="A235" t="s">
        <v>183</v>
      </c>
      <c r="B235">
        <v>11</v>
      </c>
      <c r="C235">
        <v>0.150684931506849</v>
      </c>
    </row>
    <row r="236" spans="1:3" x14ac:dyDescent="0.25">
      <c r="A236" t="s">
        <v>290</v>
      </c>
      <c r="B236">
        <v>11</v>
      </c>
      <c r="C236">
        <v>3.5616438356164397E-2</v>
      </c>
    </row>
    <row r="237" spans="1:3" x14ac:dyDescent="0.25">
      <c r="A237" t="s">
        <v>63</v>
      </c>
      <c r="B237">
        <v>12</v>
      </c>
      <c r="C237">
        <v>6.3013698630137005E-2</v>
      </c>
    </row>
    <row r="238" spans="1:3" x14ac:dyDescent="0.25">
      <c r="A238" t="s">
        <v>394</v>
      </c>
      <c r="B238">
        <v>12</v>
      </c>
      <c r="C238">
        <v>3.0136986301369899E-2</v>
      </c>
    </row>
    <row r="239" spans="1:3" x14ac:dyDescent="0.25">
      <c r="A239" t="s">
        <v>66</v>
      </c>
      <c r="B239">
        <v>12</v>
      </c>
      <c r="C239">
        <v>8.4931506849315094E-2</v>
      </c>
    </row>
    <row r="240" spans="1:3" x14ac:dyDescent="0.25">
      <c r="A240" t="s">
        <v>38</v>
      </c>
      <c r="B240">
        <v>14</v>
      </c>
      <c r="C240">
        <v>5.4794520547945197E-3</v>
      </c>
    </row>
    <row r="241" spans="1:3" x14ac:dyDescent="0.25">
      <c r="A241" t="s">
        <v>19</v>
      </c>
      <c r="B241">
        <v>14</v>
      </c>
      <c r="C241">
        <v>3.2876712328767099E-2</v>
      </c>
    </row>
    <row r="242" spans="1:3" x14ac:dyDescent="0.25">
      <c r="A242" t="s">
        <v>70</v>
      </c>
      <c r="B242">
        <v>14</v>
      </c>
      <c r="C242">
        <v>2.7397260273972601E-2</v>
      </c>
    </row>
    <row r="243" spans="1:3" x14ac:dyDescent="0.25">
      <c r="A243" t="s">
        <v>38</v>
      </c>
      <c r="B243">
        <v>15</v>
      </c>
      <c r="C243">
        <v>2.7397260273972599E-3</v>
      </c>
    </row>
    <row r="244" spans="1:3" x14ac:dyDescent="0.25">
      <c r="A244" t="s">
        <v>316</v>
      </c>
      <c r="B244">
        <v>15</v>
      </c>
      <c r="C244">
        <v>0.147945205479452</v>
      </c>
    </row>
    <row r="245" spans="1:3" x14ac:dyDescent="0.25">
      <c r="A245" t="s">
        <v>61</v>
      </c>
      <c r="B245">
        <v>15</v>
      </c>
      <c r="C245">
        <v>0.104109589041096</v>
      </c>
    </row>
    <row r="246" spans="1:3" x14ac:dyDescent="0.25">
      <c r="A246" t="s">
        <v>73</v>
      </c>
      <c r="B246">
        <v>16</v>
      </c>
      <c r="C246">
        <v>5.2054794520547898E-2</v>
      </c>
    </row>
    <row r="247" spans="1:3" x14ac:dyDescent="0.25">
      <c r="A247" t="s">
        <v>63</v>
      </c>
      <c r="B247">
        <v>16</v>
      </c>
      <c r="C247">
        <v>8.2191780821917804E-2</v>
      </c>
    </row>
    <row r="248" spans="1:3" x14ac:dyDescent="0.25">
      <c r="A248" t="s">
        <v>185</v>
      </c>
      <c r="B248">
        <v>16</v>
      </c>
      <c r="C248">
        <v>0.20821917808219201</v>
      </c>
    </row>
    <row r="249" spans="1:3" x14ac:dyDescent="0.25">
      <c r="A249" t="s">
        <v>37</v>
      </c>
      <c r="B249">
        <v>17</v>
      </c>
      <c r="C249">
        <v>5.2054794520547898E-2</v>
      </c>
    </row>
    <row r="250" spans="1:3" x14ac:dyDescent="0.25">
      <c r="A250" t="s">
        <v>62</v>
      </c>
      <c r="B250">
        <v>17</v>
      </c>
      <c r="C250">
        <v>0.12876712328767101</v>
      </c>
    </row>
    <row r="251" spans="1:3" x14ac:dyDescent="0.25">
      <c r="A251" t="s">
        <v>74</v>
      </c>
      <c r="B251">
        <v>17</v>
      </c>
      <c r="C251">
        <v>4.1095890410958902E-2</v>
      </c>
    </row>
    <row r="252" spans="1:3" x14ac:dyDescent="0.25">
      <c r="A252" t="s">
        <v>17</v>
      </c>
      <c r="B252">
        <v>17</v>
      </c>
      <c r="C252">
        <v>0.18630136986301399</v>
      </c>
    </row>
    <row r="253" spans="1:3" x14ac:dyDescent="0.25">
      <c r="A253" t="s">
        <v>61</v>
      </c>
      <c r="B253">
        <v>17</v>
      </c>
      <c r="C253">
        <v>0.12876712328767101</v>
      </c>
    </row>
    <row r="254" spans="1:3" x14ac:dyDescent="0.25">
      <c r="A254" t="s">
        <v>185</v>
      </c>
      <c r="B254">
        <v>18</v>
      </c>
      <c r="C254">
        <v>0.17260273972602699</v>
      </c>
    </row>
    <row r="255" spans="1:3" x14ac:dyDescent="0.25">
      <c r="A255" t="s">
        <v>184</v>
      </c>
      <c r="B255">
        <v>18</v>
      </c>
      <c r="C255">
        <v>0.161643835616438</v>
      </c>
    </row>
    <row r="256" spans="1:3" x14ac:dyDescent="0.25">
      <c r="A256" t="s">
        <v>76</v>
      </c>
      <c r="B256">
        <v>18</v>
      </c>
      <c r="C256">
        <v>2.19178082191781E-2</v>
      </c>
    </row>
    <row r="257" spans="1:3" x14ac:dyDescent="0.25">
      <c r="A257" t="s">
        <v>32</v>
      </c>
      <c r="B257">
        <v>19</v>
      </c>
      <c r="C257">
        <v>8.21917808219178E-3</v>
      </c>
    </row>
    <row r="258" spans="1:3" x14ac:dyDescent="0.25">
      <c r="A258" t="s">
        <v>312</v>
      </c>
      <c r="B258">
        <v>19</v>
      </c>
      <c r="C258">
        <v>0.13698630136986301</v>
      </c>
    </row>
    <row r="259" spans="1:3" x14ac:dyDescent="0.25">
      <c r="A259" t="s">
        <v>313</v>
      </c>
      <c r="B259">
        <v>19</v>
      </c>
      <c r="C259">
        <v>5.75342465753425E-2</v>
      </c>
    </row>
    <row r="260" spans="1:3" x14ac:dyDescent="0.25">
      <c r="A260" t="s">
        <v>184</v>
      </c>
      <c r="B260">
        <v>19</v>
      </c>
      <c r="C260">
        <v>0.104109589041096</v>
      </c>
    </row>
    <row r="261" spans="1:3" x14ac:dyDescent="0.25">
      <c r="A261" t="s">
        <v>75</v>
      </c>
      <c r="B261">
        <v>19</v>
      </c>
      <c r="C261">
        <v>1.0958904109589E-2</v>
      </c>
    </row>
    <row r="262" spans="1:3" x14ac:dyDescent="0.25">
      <c r="A262" t="s">
        <v>74</v>
      </c>
      <c r="B262">
        <v>19</v>
      </c>
      <c r="C262">
        <v>4.9315068493150697E-2</v>
      </c>
    </row>
    <row r="263" spans="1:3" x14ac:dyDescent="0.25">
      <c r="A263" t="s">
        <v>26</v>
      </c>
      <c r="B263">
        <v>19</v>
      </c>
      <c r="C263">
        <v>8.7671232876712302E-2</v>
      </c>
    </row>
    <row r="264" spans="1:3" x14ac:dyDescent="0.25">
      <c r="A264" t="s">
        <v>320</v>
      </c>
      <c r="B264">
        <v>20</v>
      </c>
      <c r="C264">
        <v>3.0136986301369899E-2</v>
      </c>
    </row>
    <row r="265" spans="1:3" x14ac:dyDescent="0.25">
      <c r="A265" t="s">
        <v>76</v>
      </c>
      <c r="B265">
        <v>20</v>
      </c>
      <c r="C265">
        <v>3.8356164383561597E-2</v>
      </c>
    </row>
    <row r="266" spans="1:3" x14ac:dyDescent="0.25">
      <c r="A266" t="s">
        <v>184</v>
      </c>
      <c r="B266">
        <v>20</v>
      </c>
      <c r="C266">
        <v>8.7671232876712302E-2</v>
      </c>
    </row>
    <row r="267" spans="1:3" x14ac:dyDescent="0.25">
      <c r="A267" t="s">
        <v>66</v>
      </c>
      <c r="B267">
        <v>21</v>
      </c>
      <c r="C267">
        <v>4.3835616438356199E-2</v>
      </c>
    </row>
    <row r="268" spans="1:3" x14ac:dyDescent="0.25">
      <c r="A268" t="s">
        <v>64</v>
      </c>
      <c r="B268">
        <v>22</v>
      </c>
      <c r="C268">
        <v>1.6438356164383602E-2</v>
      </c>
    </row>
    <row r="269" spans="1:3" x14ac:dyDescent="0.25">
      <c r="A269" t="s">
        <v>77</v>
      </c>
      <c r="B269">
        <v>22</v>
      </c>
      <c r="C269">
        <v>2.7397260273972599E-3</v>
      </c>
    </row>
    <row r="270" spans="1:3" x14ac:dyDescent="0.25">
      <c r="A270" t="s">
        <v>287</v>
      </c>
      <c r="B270">
        <v>22</v>
      </c>
      <c r="C270">
        <v>8.21917808219178E-3</v>
      </c>
    </row>
    <row r="271" spans="1:3" x14ac:dyDescent="0.25">
      <c r="A271" t="s">
        <v>185</v>
      </c>
      <c r="B271">
        <v>22</v>
      </c>
      <c r="C271">
        <v>5.75342465753425E-2</v>
      </c>
    </row>
    <row r="272" spans="1:3" x14ac:dyDescent="0.25">
      <c r="A272" t="s">
        <v>37</v>
      </c>
      <c r="B272">
        <v>23</v>
      </c>
      <c r="C272">
        <v>8.21917808219178E-3</v>
      </c>
    </row>
    <row r="273" spans="1:3" x14ac:dyDescent="0.25">
      <c r="A273" t="s">
        <v>19</v>
      </c>
      <c r="B273">
        <v>23</v>
      </c>
      <c r="C273">
        <v>2.19178082191781E-2</v>
      </c>
    </row>
    <row r="274" spans="1:3" x14ac:dyDescent="0.25">
      <c r="A274" t="s">
        <v>185</v>
      </c>
      <c r="B274">
        <v>23</v>
      </c>
      <c r="C274">
        <v>6.3013698630137005E-2</v>
      </c>
    </row>
    <row r="275" spans="1:3" x14ac:dyDescent="0.25">
      <c r="A275" t="s">
        <v>71</v>
      </c>
      <c r="B275">
        <v>0</v>
      </c>
      <c r="C275">
        <v>3.0136986301369899E-2</v>
      </c>
    </row>
    <row r="276" spans="1:3" x14ac:dyDescent="0.25">
      <c r="A276" t="s">
        <v>60</v>
      </c>
      <c r="B276">
        <v>1</v>
      </c>
      <c r="C276">
        <v>4.65753424657534E-2</v>
      </c>
    </row>
    <row r="277" spans="1:3" x14ac:dyDescent="0.25">
      <c r="A277" t="s">
        <v>62</v>
      </c>
      <c r="B277">
        <v>3</v>
      </c>
      <c r="C277">
        <v>1.9178082191780799E-2</v>
      </c>
    </row>
    <row r="278" spans="1:3" x14ac:dyDescent="0.25">
      <c r="A278" t="s">
        <v>65</v>
      </c>
      <c r="B278">
        <v>3</v>
      </c>
      <c r="C278">
        <v>1.0958904109589E-2</v>
      </c>
    </row>
    <row r="279" spans="1:3" x14ac:dyDescent="0.25">
      <c r="A279" t="s">
        <v>316</v>
      </c>
      <c r="B279">
        <v>5</v>
      </c>
      <c r="C279">
        <v>1.9178082191780799E-2</v>
      </c>
    </row>
    <row r="280" spans="1:3" x14ac:dyDescent="0.25">
      <c r="A280" t="s">
        <v>185</v>
      </c>
      <c r="B280">
        <v>6</v>
      </c>
      <c r="C280">
        <v>3.0136986301369899E-2</v>
      </c>
    </row>
    <row r="281" spans="1:3" x14ac:dyDescent="0.25">
      <c r="A281" t="s">
        <v>183</v>
      </c>
      <c r="B281">
        <v>6</v>
      </c>
      <c r="C281">
        <v>3.0136986301369899E-2</v>
      </c>
    </row>
    <row r="282" spans="1:3" x14ac:dyDescent="0.25">
      <c r="A282" t="s">
        <v>58</v>
      </c>
      <c r="B282">
        <v>7</v>
      </c>
      <c r="C282">
        <v>5.4794520547945202E-2</v>
      </c>
    </row>
    <row r="283" spans="1:3" x14ac:dyDescent="0.25">
      <c r="A283" t="s">
        <v>73</v>
      </c>
      <c r="B283">
        <v>8</v>
      </c>
      <c r="C283">
        <v>3.8356164383561597E-2</v>
      </c>
    </row>
    <row r="284" spans="1:3" x14ac:dyDescent="0.25">
      <c r="A284" t="s">
        <v>69</v>
      </c>
      <c r="B284">
        <v>8</v>
      </c>
      <c r="C284">
        <v>3.2876712328767099E-2</v>
      </c>
    </row>
    <row r="285" spans="1:3" x14ac:dyDescent="0.25">
      <c r="A285" t="s">
        <v>61</v>
      </c>
      <c r="B285">
        <v>9</v>
      </c>
      <c r="C285">
        <v>9.5890410958904104E-2</v>
      </c>
    </row>
    <row r="286" spans="1:3" x14ac:dyDescent="0.25">
      <c r="A286" t="s">
        <v>183</v>
      </c>
      <c r="B286">
        <v>10</v>
      </c>
      <c r="C286">
        <v>0.13424657534246601</v>
      </c>
    </row>
    <row r="287" spans="1:3" x14ac:dyDescent="0.25">
      <c r="A287" t="s">
        <v>190</v>
      </c>
      <c r="B287">
        <v>10</v>
      </c>
      <c r="C287">
        <v>1.3698630136986301E-2</v>
      </c>
    </row>
    <row r="288" spans="1:3" x14ac:dyDescent="0.25">
      <c r="A288" t="s">
        <v>58</v>
      </c>
      <c r="B288">
        <v>10</v>
      </c>
      <c r="C288">
        <v>0.120547945205479</v>
      </c>
    </row>
    <row r="289" spans="1:3" x14ac:dyDescent="0.25">
      <c r="A289" t="s">
        <v>189</v>
      </c>
      <c r="B289">
        <v>10</v>
      </c>
      <c r="C289">
        <v>4.3835616438356199E-2</v>
      </c>
    </row>
    <row r="290" spans="1:3" x14ac:dyDescent="0.25">
      <c r="A290" t="s">
        <v>72</v>
      </c>
      <c r="B290">
        <v>11</v>
      </c>
      <c r="C290">
        <v>3.0136986301369899E-2</v>
      </c>
    </row>
    <row r="291" spans="1:3" x14ac:dyDescent="0.25">
      <c r="A291" t="s">
        <v>187</v>
      </c>
      <c r="B291">
        <v>11</v>
      </c>
      <c r="C291">
        <v>9.3150684931506897E-2</v>
      </c>
    </row>
    <row r="292" spans="1:3" x14ac:dyDescent="0.25">
      <c r="A292" t="s">
        <v>69</v>
      </c>
      <c r="B292">
        <v>12</v>
      </c>
      <c r="C292">
        <v>4.65753424657534E-2</v>
      </c>
    </row>
    <row r="293" spans="1:3" x14ac:dyDescent="0.25">
      <c r="A293" t="s">
        <v>188</v>
      </c>
      <c r="B293">
        <v>13</v>
      </c>
      <c r="C293">
        <v>4.65753424657534E-2</v>
      </c>
    </row>
    <row r="294" spans="1:3" x14ac:dyDescent="0.25">
      <c r="A294" t="s">
        <v>187</v>
      </c>
      <c r="B294">
        <v>13</v>
      </c>
      <c r="C294">
        <v>0.104109589041096</v>
      </c>
    </row>
    <row r="295" spans="1:3" x14ac:dyDescent="0.25">
      <c r="A295" t="s">
        <v>72</v>
      </c>
      <c r="B295">
        <v>13</v>
      </c>
      <c r="C295">
        <v>3.0136986301369899E-2</v>
      </c>
    </row>
    <row r="296" spans="1:3" x14ac:dyDescent="0.25">
      <c r="A296" t="s">
        <v>17</v>
      </c>
      <c r="B296">
        <v>13</v>
      </c>
      <c r="C296">
        <v>0.112328767123288</v>
      </c>
    </row>
    <row r="297" spans="1:3" x14ac:dyDescent="0.25">
      <c r="A297" t="s">
        <v>290</v>
      </c>
      <c r="B297">
        <v>13</v>
      </c>
      <c r="C297">
        <v>1.6438356164383602E-2</v>
      </c>
    </row>
    <row r="298" spans="1:3" x14ac:dyDescent="0.25">
      <c r="A298" t="s">
        <v>73</v>
      </c>
      <c r="B298">
        <v>13</v>
      </c>
      <c r="C298">
        <v>3.2876712328767099E-2</v>
      </c>
    </row>
    <row r="299" spans="1:3" x14ac:dyDescent="0.25">
      <c r="A299" t="s">
        <v>21</v>
      </c>
      <c r="B299">
        <v>14</v>
      </c>
      <c r="C299">
        <v>1.3698630136986301E-2</v>
      </c>
    </row>
    <row r="300" spans="1:3" x14ac:dyDescent="0.25">
      <c r="A300" t="s">
        <v>66</v>
      </c>
      <c r="B300">
        <v>14</v>
      </c>
      <c r="C300">
        <v>6.02739726027397E-2</v>
      </c>
    </row>
    <row r="301" spans="1:3" x14ac:dyDescent="0.25">
      <c r="A301" t="s">
        <v>58</v>
      </c>
      <c r="B301">
        <v>14</v>
      </c>
      <c r="C301">
        <v>7.3972602739726001E-2</v>
      </c>
    </row>
    <row r="302" spans="1:3" x14ac:dyDescent="0.25">
      <c r="A302" t="s">
        <v>288</v>
      </c>
      <c r="B302">
        <v>15</v>
      </c>
      <c r="C302">
        <v>4.3835616438356199E-2</v>
      </c>
    </row>
    <row r="303" spans="1:3" x14ac:dyDescent="0.25">
      <c r="A303" t="s">
        <v>37</v>
      </c>
      <c r="B303">
        <v>15</v>
      </c>
      <c r="C303">
        <v>2.46575342465753E-2</v>
      </c>
    </row>
    <row r="304" spans="1:3" x14ac:dyDescent="0.25">
      <c r="A304" t="s">
        <v>309</v>
      </c>
      <c r="B304">
        <v>15</v>
      </c>
      <c r="C304">
        <v>3.8356164383561597E-2</v>
      </c>
    </row>
    <row r="305" spans="1:3" x14ac:dyDescent="0.25">
      <c r="A305" t="s">
        <v>21</v>
      </c>
      <c r="B305">
        <v>15</v>
      </c>
      <c r="C305">
        <v>3.2876712328767099E-2</v>
      </c>
    </row>
    <row r="306" spans="1:3" x14ac:dyDescent="0.25">
      <c r="A306" t="s">
        <v>21</v>
      </c>
      <c r="B306">
        <v>16</v>
      </c>
      <c r="C306">
        <v>4.65753424657534E-2</v>
      </c>
    </row>
    <row r="307" spans="1:3" x14ac:dyDescent="0.25">
      <c r="A307" t="s">
        <v>291</v>
      </c>
      <c r="B307">
        <v>16</v>
      </c>
      <c r="C307">
        <v>3.2876712328767099E-2</v>
      </c>
    </row>
    <row r="308" spans="1:3" x14ac:dyDescent="0.25">
      <c r="A308" t="s">
        <v>60</v>
      </c>
      <c r="B308">
        <v>16</v>
      </c>
      <c r="C308">
        <v>0.10958904109589</v>
      </c>
    </row>
    <row r="309" spans="1:3" x14ac:dyDescent="0.25">
      <c r="A309" t="s">
        <v>312</v>
      </c>
      <c r="B309">
        <v>16</v>
      </c>
      <c r="C309">
        <v>0.112328767123288</v>
      </c>
    </row>
    <row r="310" spans="1:3" x14ac:dyDescent="0.25">
      <c r="A310" t="s">
        <v>63</v>
      </c>
      <c r="B310">
        <v>17</v>
      </c>
      <c r="C310">
        <v>0.10958904109589</v>
      </c>
    </row>
    <row r="311" spans="1:3" x14ac:dyDescent="0.25">
      <c r="A311" t="s">
        <v>19</v>
      </c>
      <c r="B311">
        <v>17</v>
      </c>
      <c r="C311">
        <v>0.120547945205479</v>
      </c>
    </row>
    <row r="312" spans="1:3" x14ac:dyDescent="0.25">
      <c r="A312" t="s">
        <v>321</v>
      </c>
      <c r="B312">
        <v>18</v>
      </c>
      <c r="C312">
        <v>3.5616438356164397E-2</v>
      </c>
    </row>
    <row r="313" spans="1:3" x14ac:dyDescent="0.25">
      <c r="A313" t="s">
        <v>28</v>
      </c>
      <c r="B313">
        <v>18</v>
      </c>
      <c r="C313">
        <v>3.2876712328767099E-2</v>
      </c>
    </row>
    <row r="314" spans="1:3" x14ac:dyDescent="0.25">
      <c r="A314" t="s">
        <v>17</v>
      </c>
      <c r="B314">
        <v>19</v>
      </c>
      <c r="C314">
        <v>0.158904109589041</v>
      </c>
    </row>
    <row r="315" spans="1:3" x14ac:dyDescent="0.25">
      <c r="A315" t="s">
        <v>70</v>
      </c>
      <c r="B315">
        <v>19</v>
      </c>
      <c r="C315">
        <v>4.65753424657534E-2</v>
      </c>
    </row>
    <row r="316" spans="1:3" x14ac:dyDescent="0.25">
      <c r="A316" t="s">
        <v>60</v>
      </c>
      <c r="B316">
        <v>20</v>
      </c>
      <c r="C316">
        <v>0.104109589041096</v>
      </c>
    </row>
    <row r="317" spans="1:3" x14ac:dyDescent="0.25">
      <c r="A317" t="s">
        <v>70</v>
      </c>
      <c r="B317">
        <v>20</v>
      </c>
      <c r="C317">
        <v>2.7397260273972601E-2</v>
      </c>
    </row>
    <row r="318" spans="1:3" x14ac:dyDescent="0.25">
      <c r="A318" t="s">
        <v>184</v>
      </c>
      <c r="B318">
        <v>21</v>
      </c>
      <c r="C318">
        <v>5.75342465753425E-2</v>
      </c>
    </row>
    <row r="319" spans="1:3" x14ac:dyDescent="0.25">
      <c r="A319" t="s">
        <v>68</v>
      </c>
      <c r="B319">
        <v>21</v>
      </c>
      <c r="C319">
        <v>4.65753424657534E-2</v>
      </c>
    </row>
    <row r="320" spans="1:3" x14ac:dyDescent="0.25">
      <c r="A320" t="s">
        <v>393</v>
      </c>
      <c r="B320">
        <v>21</v>
      </c>
      <c r="C320">
        <v>4.3835616438356199E-2</v>
      </c>
    </row>
    <row r="321" spans="1:3" x14ac:dyDescent="0.25">
      <c r="A321" t="s">
        <v>316</v>
      </c>
      <c r="B321">
        <v>22</v>
      </c>
      <c r="C321">
        <v>4.65753424657534E-2</v>
      </c>
    </row>
    <row r="322" spans="1:3" x14ac:dyDescent="0.25">
      <c r="A322" t="s">
        <v>313</v>
      </c>
      <c r="B322">
        <v>23</v>
      </c>
      <c r="C322">
        <v>8.21917808219178E-3</v>
      </c>
    </row>
    <row r="323" spans="1:3" x14ac:dyDescent="0.25">
      <c r="A323" t="s">
        <v>17</v>
      </c>
      <c r="B323">
        <v>0</v>
      </c>
      <c r="C323">
        <v>2.7397260273972601E-2</v>
      </c>
    </row>
    <row r="324" spans="1:3" x14ac:dyDescent="0.25">
      <c r="A324" t="s">
        <v>317</v>
      </c>
      <c r="B324">
        <v>3</v>
      </c>
      <c r="C324">
        <v>2.19178082191781E-2</v>
      </c>
    </row>
    <row r="325" spans="1:3" x14ac:dyDescent="0.25">
      <c r="A325" t="s">
        <v>73</v>
      </c>
      <c r="B325">
        <v>7</v>
      </c>
      <c r="C325">
        <v>3.0136986301369899E-2</v>
      </c>
    </row>
    <row r="326" spans="1:3" x14ac:dyDescent="0.25">
      <c r="A326" t="s">
        <v>74</v>
      </c>
      <c r="B326">
        <v>8</v>
      </c>
      <c r="C326">
        <v>5.2054794520547898E-2</v>
      </c>
    </row>
    <row r="327" spans="1:3" x14ac:dyDescent="0.25">
      <c r="A327" t="s">
        <v>320</v>
      </c>
      <c r="B327">
        <v>9</v>
      </c>
      <c r="C327">
        <v>1.9178082191780799E-2</v>
      </c>
    </row>
    <row r="328" spans="1:3" x14ac:dyDescent="0.25">
      <c r="A328" t="s">
        <v>317</v>
      </c>
      <c r="B328">
        <v>11</v>
      </c>
      <c r="C328">
        <v>0.123287671232877</v>
      </c>
    </row>
    <row r="329" spans="1:3" x14ac:dyDescent="0.25">
      <c r="A329" t="s">
        <v>291</v>
      </c>
      <c r="B329">
        <v>12</v>
      </c>
      <c r="C329">
        <v>2.46575342465753E-2</v>
      </c>
    </row>
    <row r="330" spans="1:3" x14ac:dyDescent="0.25">
      <c r="A330" t="s">
        <v>290</v>
      </c>
      <c r="B330">
        <v>12</v>
      </c>
      <c r="C330">
        <v>4.3835616438356199E-2</v>
      </c>
    </row>
    <row r="331" spans="1:3" x14ac:dyDescent="0.25">
      <c r="A331" t="s">
        <v>61</v>
      </c>
      <c r="B331">
        <v>13</v>
      </c>
      <c r="C331">
        <v>7.1232876712328794E-2</v>
      </c>
    </row>
    <row r="332" spans="1:3" x14ac:dyDescent="0.25">
      <c r="A332" t="s">
        <v>296</v>
      </c>
      <c r="B332">
        <v>13</v>
      </c>
      <c r="C332">
        <v>8.7671232876712302E-2</v>
      </c>
    </row>
    <row r="333" spans="1:3" x14ac:dyDescent="0.25">
      <c r="A333" t="s">
        <v>60</v>
      </c>
      <c r="B333">
        <v>13</v>
      </c>
      <c r="C333">
        <v>0.101369863013699</v>
      </c>
    </row>
    <row r="334" spans="1:3" x14ac:dyDescent="0.25">
      <c r="A334" t="s">
        <v>309</v>
      </c>
      <c r="B334">
        <v>14</v>
      </c>
      <c r="C334">
        <v>3.0136986301369899E-2</v>
      </c>
    </row>
    <row r="335" spans="1:3" x14ac:dyDescent="0.25">
      <c r="A335" t="s">
        <v>56</v>
      </c>
      <c r="B335">
        <v>15</v>
      </c>
      <c r="C335">
        <v>0.142465753424658</v>
      </c>
    </row>
    <row r="336" spans="1:3" x14ac:dyDescent="0.25">
      <c r="A336" t="s">
        <v>70</v>
      </c>
      <c r="B336">
        <v>15</v>
      </c>
      <c r="C336">
        <v>6.3013698630137005E-2</v>
      </c>
    </row>
    <row r="337" spans="1:3" x14ac:dyDescent="0.25">
      <c r="A337" t="s">
        <v>28</v>
      </c>
      <c r="B337">
        <v>15</v>
      </c>
      <c r="C337">
        <v>4.9315068493150697E-2</v>
      </c>
    </row>
    <row r="338" spans="1:3" x14ac:dyDescent="0.25">
      <c r="A338" t="s">
        <v>62</v>
      </c>
      <c r="B338">
        <v>15</v>
      </c>
      <c r="C338">
        <v>0.10958904109589</v>
      </c>
    </row>
    <row r="339" spans="1:3" x14ac:dyDescent="0.25">
      <c r="A339" t="s">
        <v>68</v>
      </c>
      <c r="B339">
        <v>15</v>
      </c>
      <c r="C339">
        <v>7.1232876712328794E-2</v>
      </c>
    </row>
    <row r="340" spans="1:3" x14ac:dyDescent="0.25">
      <c r="A340" t="s">
        <v>320</v>
      </c>
      <c r="B340">
        <v>16</v>
      </c>
      <c r="C340">
        <v>2.7397260273972601E-2</v>
      </c>
    </row>
    <row r="341" spans="1:3" x14ac:dyDescent="0.25">
      <c r="A341" t="s">
        <v>78</v>
      </c>
      <c r="B341">
        <v>17</v>
      </c>
      <c r="C341">
        <v>1.3698630136986301E-2</v>
      </c>
    </row>
    <row r="342" spans="1:3" x14ac:dyDescent="0.25">
      <c r="A342" t="s">
        <v>36</v>
      </c>
      <c r="B342">
        <v>17</v>
      </c>
      <c r="C342">
        <v>9.0410958904109606E-2</v>
      </c>
    </row>
    <row r="343" spans="1:3" x14ac:dyDescent="0.25">
      <c r="A343" t="s">
        <v>297</v>
      </c>
      <c r="B343">
        <v>17</v>
      </c>
      <c r="C343">
        <v>3.5616438356164397E-2</v>
      </c>
    </row>
    <row r="344" spans="1:3" x14ac:dyDescent="0.25">
      <c r="A344" t="s">
        <v>286</v>
      </c>
      <c r="B344">
        <v>17</v>
      </c>
      <c r="C344">
        <v>6.02739726027397E-2</v>
      </c>
    </row>
    <row r="345" spans="1:3" x14ac:dyDescent="0.25">
      <c r="A345" t="s">
        <v>70</v>
      </c>
      <c r="B345">
        <v>18</v>
      </c>
      <c r="C345">
        <v>7.1232876712328794E-2</v>
      </c>
    </row>
    <row r="346" spans="1:3" x14ac:dyDescent="0.25">
      <c r="A346" t="s">
        <v>190</v>
      </c>
      <c r="B346">
        <v>18</v>
      </c>
      <c r="C346">
        <v>2.46575342465753E-2</v>
      </c>
    </row>
    <row r="347" spans="1:3" x14ac:dyDescent="0.25">
      <c r="A347" t="s">
        <v>19</v>
      </c>
      <c r="B347">
        <v>18</v>
      </c>
      <c r="C347">
        <v>0.120547945205479</v>
      </c>
    </row>
    <row r="348" spans="1:3" x14ac:dyDescent="0.25">
      <c r="A348" t="s">
        <v>73</v>
      </c>
      <c r="B348">
        <v>18</v>
      </c>
      <c r="C348">
        <v>3.0136986301369899E-2</v>
      </c>
    </row>
    <row r="349" spans="1:3" x14ac:dyDescent="0.25">
      <c r="A349" t="s">
        <v>58</v>
      </c>
      <c r="B349">
        <v>19</v>
      </c>
      <c r="C349">
        <v>7.9452054794520596E-2</v>
      </c>
    </row>
    <row r="350" spans="1:3" x14ac:dyDescent="0.25">
      <c r="A350" t="s">
        <v>187</v>
      </c>
      <c r="B350">
        <v>22</v>
      </c>
      <c r="C350">
        <v>1.9178082191780799E-2</v>
      </c>
    </row>
    <row r="351" spans="1:3" x14ac:dyDescent="0.25">
      <c r="A351" t="s">
        <v>68</v>
      </c>
      <c r="B351">
        <v>22</v>
      </c>
      <c r="C351">
        <v>3.2876712328767099E-2</v>
      </c>
    </row>
    <row r="352" spans="1:3" x14ac:dyDescent="0.25">
      <c r="A352" t="s">
        <v>183</v>
      </c>
      <c r="B352">
        <v>22</v>
      </c>
      <c r="C352">
        <v>6.02739726027397E-2</v>
      </c>
    </row>
    <row r="353" spans="1:3" x14ac:dyDescent="0.25">
      <c r="A353" t="s">
        <v>296</v>
      </c>
      <c r="B353">
        <v>23</v>
      </c>
      <c r="C353">
        <v>2.19178082191781E-2</v>
      </c>
    </row>
    <row r="354" spans="1:3" x14ac:dyDescent="0.25">
      <c r="A354" t="s">
        <v>183</v>
      </c>
      <c r="B354">
        <v>23</v>
      </c>
      <c r="C354">
        <v>2.46575342465753E-2</v>
      </c>
    </row>
    <row r="355" spans="1:3" x14ac:dyDescent="0.25">
      <c r="A355" t="s">
        <v>58</v>
      </c>
      <c r="B355">
        <v>23</v>
      </c>
      <c r="C355">
        <v>4.65753424657534E-2</v>
      </c>
    </row>
    <row r="356" spans="1:3" x14ac:dyDescent="0.25">
      <c r="A356" t="s">
        <v>185</v>
      </c>
      <c r="B356">
        <v>0</v>
      </c>
      <c r="C356">
        <v>6.02739726027397E-2</v>
      </c>
    </row>
    <row r="357" spans="1:3" x14ac:dyDescent="0.25">
      <c r="A357" t="s">
        <v>26</v>
      </c>
      <c r="B357">
        <v>1</v>
      </c>
      <c r="C357">
        <v>1.3698630136986301E-2</v>
      </c>
    </row>
    <row r="358" spans="1:3" x14ac:dyDescent="0.25">
      <c r="A358" t="s">
        <v>76</v>
      </c>
      <c r="B358">
        <v>1</v>
      </c>
      <c r="C358">
        <v>5.4794520547945197E-3</v>
      </c>
    </row>
    <row r="359" spans="1:3" x14ac:dyDescent="0.25">
      <c r="A359" t="s">
        <v>56</v>
      </c>
      <c r="B359">
        <v>4</v>
      </c>
      <c r="C359">
        <v>1.3698630136986301E-2</v>
      </c>
    </row>
    <row r="360" spans="1:3" x14ac:dyDescent="0.25">
      <c r="A360" t="s">
        <v>296</v>
      </c>
      <c r="B360">
        <v>5</v>
      </c>
      <c r="C360">
        <v>2.7397260273972599E-3</v>
      </c>
    </row>
    <row r="361" spans="1:3" x14ac:dyDescent="0.25">
      <c r="A361" t="s">
        <v>65</v>
      </c>
      <c r="B361">
        <v>5</v>
      </c>
      <c r="C361">
        <v>8.21917808219178E-3</v>
      </c>
    </row>
    <row r="362" spans="1:3" x14ac:dyDescent="0.25">
      <c r="A362" t="s">
        <v>69</v>
      </c>
      <c r="B362">
        <v>6</v>
      </c>
      <c r="C362">
        <v>8.21917808219178E-3</v>
      </c>
    </row>
    <row r="363" spans="1:3" x14ac:dyDescent="0.25">
      <c r="A363" t="s">
        <v>316</v>
      </c>
      <c r="B363">
        <v>7</v>
      </c>
      <c r="C363">
        <v>7.3972602739726001E-2</v>
      </c>
    </row>
    <row r="364" spans="1:3" x14ac:dyDescent="0.25">
      <c r="A364" t="s">
        <v>290</v>
      </c>
      <c r="B364">
        <v>8</v>
      </c>
      <c r="C364">
        <v>3.0136986301369899E-2</v>
      </c>
    </row>
    <row r="365" spans="1:3" x14ac:dyDescent="0.25">
      <c r="A365" t="s">
        <v>313</v>
      </c>
      <c r="B365">
        <v>8</v>
      </c>
      <c r="C365">
        <v>0.13150684931506801</v>
      </c>
    </row>
    <row r="366" spans="1:3" x14ac:dyDescent="0.25">
      <c r="A366" t="s">
        <v>62</v>
      </c>
      <c r="B366">
        <v>8</v>
      </c>
      <c r="C366">
        <v>0.106849315068493</v>
      </c>
    </row>
    <row r="367" spans="1:3" x14ac:dyDescent="0.25">
      <c r="A367" t="s">
        <v>187</v>
      </c>
      <c r="B367">
        <v>8</v>
      </c>
      <c r="C367">
        <v>7.1232876712328794E-2</v>
      </c>
    </row>
    <row r="368" spans="1:3" x14ac:dyDescent="0.25">
      <c r="A368" t="s">
        <v>68</v>
      </c>
      <c r="B368">
        <v>9</v>
      </c>
      <c r="C368">
        <v>8.2191780821917804E-2</v>
      </c>
    </row>
    <row r="369" spans="1:3" x14ac:dyDescent="0.25">
      <c r="A369" t="s">
        <v>286</v>
      </c>
      <c r="B369">
        <v>9</v>
      </c>
      <c r="C369">
        <v>4.1095890410958902E-2</v>
      </c>
    </row>
    <row r="370" spans="1:3" x14ac:dyDescent="0.25">
      <c r="A370" t="s">
        <v>312</v>
      </c>
      <c r="B370">
        <v>9</v>
      </c>
      <c r="C370">
        <v>0.13698630136986301</v>
      </c>
    </row>
    <row r="371" spans="1:3" x14ac:dyDescent="0.25">
      <c r="A371" t="s">
        <v>393</v>
      </c>
      <c r="B371">
        <v>9</v>
      </c>
      <c r="C371">
        <v>0.18904109589041099</v>
      </c>
    </row>
    <row r="372" spans="1:3" x14ac:dyDescent="0.25">
      <c r="A372" t="s">
        <v>317</v>
      </c>
      <c r="B372">
        <v>9</v>
      </c>
      <c r="C372">
        <v>0.312328767123288</v>
      </c>
    </row>
    <row r="373" spans="1:3" x14ac:dyDescent="0.25">
      <c r="A373" t="s">
        <v>65</v>
      </c>
      <c r="B373">
        <v>9</v>
      </c>
      <c r="C373">
        <v>0.145205479452055</v>
      </c>
    </row>
    <row r="374" spans="1:3" x14ac:dyDescent="0.25">
      <c r="A374" t="s">
        <v>61</v>
      </c>
      <c r="B374">
        <v>10</v>
      </c>
      <c r="C374">
        <v>7.3972602739726001E-2</v>
      </c>
    </row>
    <row r="375" spans="1:3" x14ac:dyDescent="0.25">
      <c r="A375" t="s">
        <v>317</v>
      </c>
      <c r="B375">
        <v>10</v>
      </c>
      <c r="C375">
        <v>0.120547945205479</v>
      </c>
    </row>
    <row r="376" spans="1:3" x14ac:dyDescent="0.25">
      <c r="A376" t="s">
        <v>76</v>
      </c>
      <c r="B376">
        <v>10</v>
      </c>
      <c r="C376">
        <v>3.2876712328767099E-2</v>
      </c>
    </row>
    <row r="377" spans="1:3" x14ac:dyDescent="0.25">
      <c r="A377" t="s">
        <v>73</v>
      </c>
      <c r="B377">
        <v>10</v>
      </c>
      <c r="C377">
        <v>2.7397260273972601E-2</v>
      </c>
    </row>
    <row r="378" spans="1:3" x14ac:dyDescent="0.25">
      <c r="A378" t="s">
        <v>187</v>
      </c>
      <c r="B378">
        <v>10</v>
      </c>
      <c r="C378">
        <v>0.120547945205479</v>
      </c>
    </row>
    <row r="379" spans="1:3" x14ac:dyDescent="0.25">
      <c r="A379" t="s">
        <v>62</v>
      </c>
      <c r="B379">
        <v>10</v>
      </c>
      <c r="C379">
        <v>9.5890410958904104E-2</v>
      </c>
    </row>
    <row r="380" spans="1:3" x14ac:dyDescent="0.25">
      <c r="A380" t="s">
        <v>26</v>
      </c>
      <c r="B380">
        <v>11</v>
      </c>
      <c r="C380">
        <v>8.4931506849315094E-2</v>
      </c>
    </row>
    <row r="381" spans="1:3" x14ac:dyDescent="0.25">
      <c r="A381" t="s">
        <v>308</v>
      </c>
      <c r="B381">
        <v>11</v>
      </c>
      <c r="C381">
        <v>3.8356164383561597E-2</v>
      </c>
    </row>
    <row r="382" spans="1:3" x14ac:dyDescent="0.25">
      <c r="A382" t="s">
        <v>316</v>
      </c>
      <c r="B382">
        <v>11</v>
      </c>
      <c r="C382">
        <v>0.164383561643836</v>
      </c>
    </row>
    <row r="383" spans="1:3" x14ac:dyDescent="0.25">
      <c r="A383" t="s">
        <v>76</v>
      </c>
      <c r="B383">
        <v>12</v>
      </c>
      <c r="C383">
        <v>3.5616438356164397E-2</v>
      </c>
    </row>
    <row r="384" spans="1:3" x14ac:dyDescent="0.25">
      <c r="A384" t="s">
        <v>189</v>
      </c>
      <c r="B384">
        <v>12</v>
      </c>
      <c r="C384">
        <v>7.3972602739726001E-2</v>
      </c>
    </row>
    <row r="385" spans="1:3" x14ac:dyDescent="0.25">
      <c r="A385" t="s">
        <v>67</v>
      </c>
      <c r="B385">
        <v>12</v>
      </c>
      <c r="C385">
        <v>5.2054794520547898E-2</v>
      </c>
    </row>
    <row r="386" spans="1:3" x14ac:dyDescent="0.25">
      <c r="A386" t="s">
        <v>186</v>
      </c>
      <c r="B386">
        <v>13</v>
      </c>
      <c r="C386">
        <v>3.2876712328767099E-2</v>
      </c>
    </row>
    <row r="387" spans="1:3" x14ac:dyDescent="0.25">
      <c r="A387" t="s">
        <v>394</v>
      </c>
      <c r="B387">
        <v>14</v>
      </c>
      <c r="C387">
        <v>6.5753424657534199E-2</v>
      </c>
    </row>
    <row r="388" spans="1:3" x14ac:dyDescent="0.25">
      <c r="A388" t="s">
        <v>62</v>
      </c>
      <c r="B388">
        <v>14</v>
      </c>
      <c r="C388">
        <v>6.8493150684931503E-2</v>
      </c>
    </row>
    <row r="389" spans="1:3" x14ac:dyDescent="0.25">
      <c r="A389" t="s">
        <v>184</v>
      </c>
      <c r="B389">
        <v>16</v>
      </c>
      <c r="C389">
        <v>0.13424657534246601</v>
      </c>
    </row>
    <row r="390" spans="1:3" x14ac:dyDescent="0.25">
      <c r="A390" t="s">
        <v>62</v>
      </c>
      <c r="B390">
        <v>16</v>
      </c>
      <c r="C390">
        <v>0.12876712328767101</v>
      </c>
    </row>
    <row r="391" spans="1:3" x14ac:dyDescent="0.25">
      <c r="A391" t="s">
        <v>77</v>
      </c>
      <c r="B391">
        <v>17</v>
      </c>
      <c r="C391">
        <v>1.3698630136986301E-2</v>
      </c>
    </row>
    <row r="392" spans="1:3" x14ac:dyDescent="0.25">
      <c r="A392" t="s">
        <v>310</v>
      </c>
      <c r="B392">
        <v>17</v>
      </c>
      <c r="C392">
        <v>4.3835616438356199E-2</v>
      </c>
    </row>
    <row r="393" spans="1:3" x14ac:dyDescent="0.25">
      <c r="A393" t="s">
        <v>188</v>
      </c>
      <c r="B393">
        <v>18</v>
      </c>
      <c r="C393">
        <v>7.1232876712328794E-2</v>
      </c>
    </row>
    <row r="394" spans="1:3" x14ac:dyDescent="0.25">
      <c r="A394" t="s">
        <v>72</v>
      </c>
      <c r="B394">
        <v>18</v>
      </c>
      <c r="C394">
        <v>5.4794520547945202E-2</v>
      </c>
    </row>
    <row r="395" spans="1:3" x14ac:dyDescent="0.25">
      <c r="A395" t="s">
        <v>73</v>
      </c>
      <c r="B395">
        <v>19</v>
      </c>
      <c r="C395">
        <v>6.5753424657534199E-2</v>
      </c>
    </row>
    <row r="396" spans="1:3" x14ac:dyDescent="0.25">
      <c r="A396" t="s">
        <v>291</v>
      </c>
      <c r="B396">
        <v>19</v>
      </c>
      <c r="C396">
        <v>6.3013698630137005E-2</v>
      </c>
    </row>
    <row r="397" spans="1:3" x14ac:dyDescent="0.25">
      <c r="A397" t="s">
        <v>76</v>
      </c>
      <c r="B397">
        <v>19</v>
      </c>
      <c r="C397">
        <v>4.65753424657534E-2</v>
      </c>
    </row>
    <row r="398" spans="1:3" x14ac:dyDescent="0.25">
      <c r="A398" t="s">
        <v>36</v>
      </c>
      <c r="B398">
        <v>19</v>
      </c>
      <c r="C398">
        <v>8.2191780821917804E-2</v>
      </c>
    </row>
    <row r="399" spans="1:3" x14ac:dyDescent="0.25">
      <c r="A399" t="s">
        <v>67</v>
      </c>
      <c r="B399">
        <v>21</v>
      </c>
      <c r="C399">
        <v>3.5616438356164397E-2</v>
      </c>
    </row>
    <row r="400" spans="1:3" x14ac:dyDescent="0.25">
      <c r="A400" t="s">
        <v>79</v>
      </c>
      <c r="B400">
        <v>21</v>
      </c>
      <c r="C400">
        <v>5.4794520547945197E-3</v>
      </c>
    </row>
    <row r="401" spans="1:3" x14ac:dyDescent="0.25">
      <c r="A401" t="s">
        <v>74</v>
      </c>
      <c r="B401">
        <v>21</v>
      </c>
      <c r="C401">
        <v>3.8356164383561597E-2</v>
      </c>
    </row>
    <row r="402" spans="1:3" x14ac:dyDescent="0.25">
      <c r="A402" t="s">
        <v>76</v>
      </c>
      <c r="B402">
        <v>22</v>
      </c>
      <c r="C402">
        <v>1.9178082191780799E-2</v>
      </c>
    </row>
    <row r="403" spans="1:3" x14ac:dyDescent="0.25">
      <c r="A403" t="s">
        <v>317</v>
      </c>
      <c r="B403">
        <v>0</v>
      </c>
      <c r="C403">
        <v>5.4794520547945202E-2</v>
      </c>
    </row>
    <row r="404" spans="1:3" x14ac:dyDescent="0.25">
      <c r="A404" t="s">
        <v>67</v>
      </c>
      <c r="B404">
        <v>1</v>
      </c>
      <c r="C404">
        <v>1.6438356164383602E-2</v>
      </c>
    </row>
    <row r="405" spans="1:3" x14ac:dyDescent="0.25">
      <c r="A405" t="s">
        <v>61</v>
      </c>
      <c r="B405">
        <v>2</v>
      </c>
      <c r="C405">
        <v>1.0958904109589E-2</v>
      </c>
    </row>
    <row r="406" spans="1:3" x14ac:dyDescent="0.25">
      <c r="A406" t="s">
        <v>317</v>
      </c>
      <c r="B406">
        <v>4</v>
      </c>
      <c r="C406">
        <v>3.2876712328767099E-2</v>
      </c>
    </row>
    <row r="407" spans="1:3" x14ac:dyDescent="0.25">
      <c r="A407" t="s">
        <v>56</v>
      </c>
      <c r="B407">
        <v>6</v>
      </c>
      <c r="C407">
        <v>4.3835616438356199E-2</v>
      </c>
    </row>
    <row r="408" spans="1:3" x14ac:dyDescent="0.25">
      <c r="A408" t="s">
        <v>21</v>
      </c>
      <c r="B408">
        <v>7</v>
      </c>
      <c r="C408">
        <v>2.46575342465753E-2</v>
      </c>
    </row>
    <row r="409" spans="1:3" x14ac:dyDescent="0.25">
      <c r="A409" t="s">
        <v>21</v>
      </c>
      <c r="B409">
        <v>8</v>
      </c>
      <c r="C409">
        <v>3.0136986301369899E-2</v>
      </c>
    </row>
    <row r="410" spans="1:3" x14ac:dyDescent="0.25">
      <c r="A410" t="s">
        <v>32</v>
      </c>
      <c r="B410">
        <v>9</v>
      </c>
      <c r="C410">
        <v>2.46575342465753E-2</v>
      </c>
    </row>
    <row r="411" spans="1:3" x14ac:dyDescent="0.25">
      <c r="A411" t="s">
        <v>318</v>
      </c>
      <c r="B411">
        <v>9</v>
      </c>
      <c r="C411">
        <v>3.0136986301369899E-2</v>
      </c>
    </row>
    <row r="412" spans="1:3" x14ac:dyDescent="0.25">
      <c r="A412" t="s">
        <v>185</v>
      </c>
      <c r="B412">
        <v>10</v>
      </c>
      <c r="C412">
        <v>0.167123287671233</v>
      </c>
    </row>
    <row r="413" spans="1:3" x14ac:dyDescent="0.25">
      <c r="A413" t="s">
        <v>71</v>
      </c>
      <c r="B413">
        <v>10</v>
      </c>
      <c r="C413">
        <v>4.65753424657534E-2</v>
      </c>
    </row>
    <row r="414" spans="1:3" x14ac:dyDescent="0.25">
      <c r="A414" t="s">
        <v>56</v>
      </c>
      <c r="B414">
        <v>11</v>
      </c>
      <c r="C414">
        <v>0.17808219178082199</v>
      </c>
    </row>
    <row r="415" spans="1:3" x14ac:dyDescent="0.25">
      <c r="A415" t="s">
        <v>71</v>
      </c>
      <c r="B415">
        <v>11</v>
      </c>
      <c r="C415">
        <v>4.9315068493150697E-2</v>
      </c>
    </row>
    <row r="416" spans="1:3" x14ac:dyDescent="0.25">
      <c r="A416" t="s">
        <v>79</v>
      </c>
      <c r="B416">
        <v>11</v>
      </c>
      <c r="C416">
        <v>1.3698630136986301E-2</v>
      </c>
    </row>
    <row r="417" spans="1:3" x14ac:dyDescent="0.25">
      <c r="A417" t="s">
        <v>60</v>
      </c>
      <c r="B417">
        <v>11</v>
      </c>
      <c r="C417">
        <v>0.13424657534246601</v>
      </c>
    </row>
    <row r="418" spans="1:3" x14ac:dyDescent="0.25">
      <c r="A418" t="s">
        <v>393</v>
      </c>
      <c r="B418">
        <v>11</v>
      </c>
      <c r="C418">
        <v>0.147945205479452</v>
      </c>
    </row>
    <row r="419" spans="1:3" x14ac:dyDescent="0.25">
      <c r="A419" t="s">
        <v>310</v>
      </c>
      <c r="B419">
        <v>11</v>
      </c>
      <c r="C419">
        <v>3.5616438356164397E-2</v>
      </c>
    </row>
    <row r="420" spans="1:3" x14ac:dyDescent="0.25">
      <c r="A420" t="s">
        <v>76</v>
      </c>
      <c r="B420">
        <v>11</v>
      </c>
      <c r="C420">
        <v>5.2054794520547898E-2</v>
      </c>
    </row>
    <row r="421" spans="1:3" x14ac:dyDescent="0.25">
      <c r="A421" t="s">
        <v>317</v>
      </c>
      <c r="B421">
        <v>12</v>
      </c>
      <c r="C421">
        <v>9.8630136986301395E-2</v>
      </c>
    </row>
    <row r="422" spans="1:3" x14ac:dyDescent="0.25">
      <c r="A422" t="s">
        <v>313</v>
      </c>
      <c r="B422">
        <v>12</v>
      </c>
      <c r="C422">
        <v>2.19178082191781E-2</v>
      </c>
    </row>
    <row r="423" spans="1:3" x14ac:dyDescent="0.25">
      <c r="A423" t="s">
        <v>184</v>
      </c>
      <c r="B423">
        <v>12</v>
      </c>
      <c r="C423">
        <v>9.5890410958904104E-2</v>
      </c>
    </row>
    <row r="424" spans="1:3" x14ac:dyDescent="0.25">
      <c r="A424" t="s">
        <v>74</v>
      </c>
      <c r="B424">
        <v>13</v>
      </c>
      <c r="C424">
        <v>4.1095890410958902E-2</v>
      </c>
    </row>
    <row r="425" spans="1:3" x14ac:dyDescent="0.25">
      <c r="A425" t="s">
        <v>308</v>
      </c>
      <c r="B425">
        <v>13</v>
      </c>
      <c r="C425">
        <v>8.4931506849315094E-2</v>
      </c>
    </row>
    <row r="426" spans="1:3" x14ac:dyDescent="0.25">
      <c r="A426" t="s">
        <v>77</v>
      </c>
      <c r="B426">
        <v>14</v>
      </c>
      <c r="C426">
        <v>1.6438356164383602E-2</v>
      </c>
    </row>
    <row r="427" spans="1:3" x14ac:dyDescent="0.25">
      <c r="A427" t="s">
        <v>76</v>
      </c>
      <c r="B427">
        <v>14</v>
      </c>
      <c r="C427">
        <v>3.2876712328767099E-2</v>
      </c>
    </row>
    <row r="428" spans="1:3" x14ac:dyDescent="0.25">
      <c r="A428" t="s">
        <v>189</v>
      </c>
      <c r="B428">
        <v>15</v>
      </c>
      <c r="C428">
        <v>6.8493150684931503E-2</v>
      </c>
    </row>
    <row r="429" spans="1:3" x14ac:dyDescent="0.25">
      <c r="A429" t="s">
        <v>187</v>
      </c>
      <c r="B429">
        <v>15</v>
      </c>
      <c r="C429">
        <v>8.7671232876712302E-2</v>
      </c>
    </row>
    <row r="430" spans="1:3" x14ac:dyDescent="0.25">
      <c r="A430" t="s">
        <v>67</v>
      </c>
      <c r="B430">
        <v>15</v>
      </c>
      <c r="C430">
        <v>7.3972602739726001E-2</v>
      </c>
    </row>
    <row r="431" spans="1:3" x14ac:dyDescent="0.25">
      <c r="A431" t="s">
        <v>26</v>
      </c>
      <c r="B431">
        <v>16</v>
      </c>
      <c r="C431">
        <v>6.8493150684931503E-2</v>
      </c>
    </row>
    <row r="432" spans="1:3" x14ac:dyDescent="0.25">
      <c r="A432" t="s">
        <v>72</v>
      </c>
      <c r="B432">
        <v>17</v>
      </c>
      <c r="C432">
        <v>5.2054794520547898E-2</v>
      </c>
    </row>
    <row r="433" spans="1:3" x14ac:dyDescent="0.25">
      <c r="A433" t="s">
        <v>74</v>
      </c>
      <c r="B433">
        <v>18</v>
      </c>
      <c r="C433">
        <v>5.2054794520547898E-2</v>
      </c>
    </row>
    <row r="434" spans="1:3" x14ac:dyDescent="0.25">
      <c r="A434" t="s">
        <v>317</v>
      </c>
      <c r="B434">
        <v>19</v>
      </c>
      <c r="C434">
        <v>0.13972602739726001</v>
      </c>
    </row>
    <row r="435" spans="1:3" x14ac:dyDescent="0.25">
      <c r="A435" t="s">
        <v>183</v>
      </c>
      <c r="B435">
        <v>20</v>
      </c>
      <c r="C435">
        <v>5.4794520547945202E-2</v>
      </c>
    </row>
    <row r="436" spans="1:3" x14ac:dyDescent="0.25">
      <c r="A436" t="s">
        <v>291</v>
      </c>
      <c r="B436">
        <v>20</v>
      </c>
      <c r="C436">
        <v>4.1095890410958902E-2</v>
      </c>
    </row>
    <row r="437" spans="1:3" x14ac:dyDescent="0.25">
      <c r="A437" t="s">
        <v>308</v>
      </c>
      <c r="B437">
        <v>20</v>
      </c>
      <c r="C437">
        <v>2.7397260273972601E-2</v>
      </c>
    </row>
    <row r="438" spans="1:3" x14ac:dyDescent="0.25">
      <c r="A438" t="s">
        <v>187</v>
      </c>
      <c r="B438">
        <v>21</v>
      </c>
      <c r="C438">
        <v>3.2876712328767099E-2</v>
      </c>
    </row>
    <row r="439" spans="1:3" x14ac:dyDescent="0.25">
      <c r="A439" t="s">
        <v>60</v>
      </c>
      <c r="B439">
        <v>23</v>
      </c>
      <c r="C439">
        <v>3.2876712328767099E-2</v>
      </c>
    </row>
    <row r="440" spans="1:3" x14ac:dyDescent="0.25">
      <c r="A440" t="s">
        <v>184</v>
      </c>
      <c r="B440">
        <v>0</v>
      </c>
      <c r="C440">
        <v>4.3835616438356199E-2</v>
      </c>
    </row>
    <row r="441" spans="1:3" x14ac:dyDescent="0.25">
      <c r="A441" t="s">
        <v>74</v>
      </c>
      <c r="B441">
        <v>3</v>
      </c>
      <c r="C441">
        <v>1.0958904109589E-2</v>
      </c>
    </row>
    <row r="442" spans="1:3" x14ac:dyDescent="0.25">
      <c r="A442" t="s">
        <v>185</v>
      </c>
      <c r="B442">
        <v>3</v>
      </c>
      <c r="C442">
        <v>1.0958904109589E-2</v>
      </c>
    </row>
    <row r="443" spans="1:3" x14ac:dyDescent="0.25">
      <c r="A443" t="s">
        <v>58</v>
      </c>
      <c r="B443">
        <v>3</v>
      </c>
      <c r="C443">
        <v>1.0958904109589E-2</v>
      </c>
    </row>
    <row r="444" spans="1:3" x14ac:dyDescent="0.25">
      <c r="A444" t="s">
        <v>183</v>
      </c>
      <c r="B444">
        <v>3</v>
      </c>
      <c r="C444">
        <v>1.6438356164383602E-2</v>
      </c>
    </row>
    <row r="445" spans="1:3" x14ac:dyDescent="0.25">
      <c r="A445" t="s">
        <v>64</v>
      </c>
      <c r="B445">
        <v>4</v>
      </c>
      <c r="C445">
        <v>5.4794520547945197E-3</v>
      </c>
    </row>
    <row r="446" spans="1:3" x14ac:dyDescent="0.25">
      <c r="A446" t="s">
        <v>189</v>
      </c>
      <c r="B446">
        <v>5</v>
      </c>
      <c r="C446">
        <v>8.21917808219178E-3</v>
      </c>
    </row>
    <row r="447" spans="1:3" x14ac:dyDescent="0.25">
      <c r="A447" t="s">
        <v>310</v>
      </c>
      <c r="B447">
        <v>7</v>
      </c>
      <c r="C447">
        <v>2.46575342465753E-2</v>
      </c>
    </row>
    <row r="448" spans="1:3" x14ac:dyDescent="0.25">
      <c r="A448" t="s">
        <v>66</v>
      </c>
      <c r="B448">
        <v>7</v>
      </c>
      <c r="C448">
        <v>4.3835616438356199E-2</v>
      </c>
    </row>
    <row r="449" spans="1:3" x14ac:dyDescent="0.25">
      <c r="A449" t="s">
        <v>71</v>
      </c>
      <c r="B449">
        <v>7</v>
      </c>
      <c r="C449">
        <v>6.02739726027397E-2</v>
      </c>
    </row>
    <row r="450" spans="1:3" x14ac:dyDescent="0.25">
      <c r="A450" t="s">
        <v>308</v>
      </c>
      <c r="B450">
        <v>7</v>
      </c>
      <c r="C450">
        <v>3.5616438356164397E-2</v>
      </c>
    </row>
    <row r="451" spans="1:3" x14ac:dyDescent="0.25">
      <c r="A451" t="s">
        <v>66</v>
      </c>
      <c r="B451">
        <v>8</v>
      </c>
      <c r="C451">
        <v>5.75342465753425E-2</v>
      </c>
    </row>
    <row r="452" spans="1:3" x14ac:dyDescent="0.25">
      <c r="A452" t="s">
        <v>61</v>
      </c>
      <c r="B452">
        <v>8</v>
      </c>
      <c r="C452">
        <v>6.3013698630137005E-2</v>
      </c>
    </row>
    <row r="453" spans="1:3" x14ac:dyDescent="0.25">
      <c r="A453" t="s">
        <v>317</v>
      </c>
      <c r="B453">
        <v>8</v>
      </c>
      <c r="C453">
        <v>0.20821917808219201</v>
      </c>
    </row>
    <row r="454" spans="1:3" x14ac:dyDescent="0.25">
      <c r="A454" t="s">
        <v>19</v>
      </c>
      <c r="B454">
        <v>10</v>
      </c>
      <c r="C454">
        <v>6.02739726027397E-2</v>
      </c>
    </row>
    <row r="455" spans="1:3" x14ac:dyDescent="0.25">
      <c r="A455" t="s">
        <v>79</v>
      </c>
      <c r="B455">
        <v>10</v>
      </c>
      <c r="C455">
        <v>1.9178082191780799E-2</v>
      </c>
    </row>
    <row r="456" spans="1:3" x14ac:dyDescent="0.25">
      <c r="A456" t="s">
        <v>70</v>
      </c>
      <c r="B456">
        <v>10</v>
      </c>
      <c r="C456">
        <v>2.7397260273972601E-2</v>
      </c>
    </row>
    <row r="457" spans="1:3" x14ac:dyDescent="0.25">
      <c r="A457" t="s">
        <v>190</v>
      </c>
      <c r="B457">
        <v>11</v>
      </c>
      <c r="C457">
        <v>1.3698630136986301E-2</v>
      </c>
    </row>
    <row r="458" spans="1:3" x14ac:dyDescent="0.25">
      <c r="A458" t="s">
        <v>64</v>
      </c>
      <c r="B458">
        <v>11</v>
      </c>
      <c r="C458">
        <v>6.8493150684931503E-2</v>
      </c>
    </row>
    <row r="459" spans="1:3" x14ac:dyDescent="0.25">
      <c r="A459" t="s">
        <v>316</v>
      </c>
      <c r="B459">
        <v>13</v>
      </c>
      <c r="C459">
        <v>0.112328767123288</v>
      </c>
    </row>
    <row r="460" spans="1:3" x14ac:dyDescent="0.25">
      <c r="A460" t="s">
        <v>68</v>
      </c>
      <c r="B460">
        <v>13</v>
      </c>
      <c r="C460">
        <v>8.7671232876712302E-2</v>
      </c>
    </row>
    <row r="461" spans="1:3" x14ac:dyDescent="0.25">
      <c r="A461" t="s">
        <v>17</v>
      </c>
      <c r="B461">
        <v>14</v>
      </c>
      <c r="C461">
        <v>7.9452054794520596E-2</v>
      </c>
    </row>
    <row r="462" spans="1:3" x14ac:dyDescent="0.25">
      <c r="A462" t="s">
        <v>393</v>
      </c>
      <c r="B462">
        <v>14</v>
      </c>
      <c r="C462">
        <v>0.12876712328767101</v>
      </c>
    </row>
    <row r="463" spans="1:3" x14ac:dyDescent="0.25">
      <c r="A463" t="s">
        <v>185</v>
      </c>
      <c r="B463">
        <v>15</v>
      </c>
      <c r="C463">
        <v>0.20547945205479401</v>
      </c>
    </row>
    <row r="464" spans="1:3" x14ac:dyDescent="0.25">
      <c r="A464" t="s">
        <v>63</v>
      </c>
      <c r="B464">
        <v>15</v>
      </c>
      <c r="C464">
        <v>4.9315068493150697E-2</v>
      </c>
    </row>
    <row r="465" spans="1:3" x14ac:dyDescent="0.25">
      <c r="A465" t="s">
        <v>70</v>
      </c>
      <c r="B465">
        <v>16</v>
      </c>
      <c r="C465">
        <v>8.7671232876712302E-2</v>
      </c>
    </row>
    <row r="466" spans="1:3" x14ac:dyDescent="0.25">
      <c r="A466" t="s">
        <v>19</v>
      </c>
      <c r="B466">
        <v>16</v>
      </c>
      <c r="C466">
        <v>0.106849315068493</v>
      </c>
    </row>
    <row r="467" spans="1:3" x14ac:dyDescent="0.25">
      <c r="A467" t="s">
        <v>393</v>
      </c>
      <c r="B467">
        <v>16</v>
      </c>
      <c r="C467">
        <v>0.161643835616438</v>
      </c>
    </row>
    <row r="468" spans="1:3" x14ac:dyDescent="0.25">
      <c r="A468" t="s">
        <v>64</v>
      </c>
      <c r="B468">
        <v>17</v>
      </c>
      <c r="C468">
        <v>6.8493150684931503E-2</v>
      </c>
    </row>
    <row r="469" spans="1:3" x14ac:dyDescent="0.25">
      <c r="A469" t="s">
        <v>317</v>
      </c>
      <c r="B469">
        <v>18</v>
      </c>
      <c r="C469">
        <v>0.101369863013699</v>
      </c>
    </row>
    <row r="470" spans="1:3" x14ac:dyDescent="0.25">
      <c r="A470" t="s">
        <v>71</v>
      </c>
      <c r="B470">
        <v>19</v>
      </c>
      <c r="C470">
        <v>3.5616438356164397E-2</v>
      </c>
    </row>
    <row r="471" spans="1:3" x14ac:dyDescent="0.25">
      <c r="A471" t="s">
        <v>37</v>
      </c>
      <c r="B471">
        <v>19</v>
      </c>
      <c r="C471">
        <v>1.9178082191780799E-2</v>
      </c>
    </row>
    <row r="472" spans="1:3" x14ac:dyDescent="0.25">
      <c r="A472" t="s">
        <v>26</v>
      </c>
      <c r="B472">
        <v>20</v>
      </c>
      <c r="C472">
        <v>6.3013698630137005E-2</v>
      </c>
    </row>
    <row r="473" spans="1:3" x14ac:dyDescent="0.25">
      <c r="A473" t="s">
        <v>37</v>
      </c>
      <c r="B473">
        <v>20</v>
      </c>
      <c r="C473">
        <v>1.9178082191780799E-2</v>
      </c>
    </row>
    <row r="474" spans="1:3" x14ac:dyDescent="0.25">
      <c r="A474" t="s">
        <v>320</v>
      </c>
      <c r="B474">
        <v>21</v>
      </c>
      <c r="C474">
        <v>1.6438356164383602E-2</v>
      </c>
    </row>
    <row r="475" spans="1:3" x14ac:dyDescent="0.25">
      <c r="A475" t="s">
        <v>64</v>
      </c>
      <c r="B475">
        <v>21</v>
      </c>
      <c r="C475">
        <v>4.65753424657534E-2</v>
      </c>
    </row>
    <row r="476" spans="1:3" x14ac:dyDescent="0.25">
      <c r="A476" t="s">
        <v>317</v>
      </c>
      <c r="B476">
        <v>21</v>
      </c>
      <c r="C476">
        <v>6.3013698630137005E-2</v>
      </c>
    </row>
    <row r="477" spans="1:3" x14ac:dyDescent="0.25">
      <c r="A477" t="s">
        <v>317</v>
      </c>
      <c r="B477">
        <v>22</v>
      </c>
      <c r="C477">
        <v>9.0410958904109606E-2</v>
      </c>
    </row>
    <row r="478" spans="1:3" x14ac:dyDescent="0.25">
      <c r="A478" t="s">
        <v>63</v>
      </c>
      <c r="B478">
        <v>2</v>
      </c>
      <c r="C478">
        <v>1.6438356164383602E-2</v>
      </c>
    </row>
    <row r="479" spans="1:3" x14ac:dyDescent="0.25">
      <c r="A479" t="s">
        <v>61</v>
      </c>
      <c r="B479">
        <v>5</v>
      </c>
      <c r="C479">
        <v>5.4794520547945197E-3</v>
      </c>
    </row>
    <row r="480" spans="1:3" x14ac:dyDescent="0.25">
      <c r="A480" t="s">
        <v>69</v>
      </c>
      <c r="B480">
        <v>7</v>
      </c>
      <c r="C480">
        <v>1.6438356164383602E-2</v>
      </c>
    </row>
    <row r="481" spans="1:3" x14ac:dyDescent="0.25">
      <c r="A481" t="s">
        <v>317</v>
      </c>
      <c r="B481">
        <v>7</v>
      </c>
      <c r="C481">
        <v>0.106849315068493</v>
      </c>
    </row>
    <row r="482" spans="1:3" x14ac:dyDescent="0.25">
      <c r="A482" t="s">
        <v>394</v>
      </c>
      <c r="B482">
        <v>8</v>
      </c>
      <c r="C482">
        <v>5.75342465753425E-2</v>
      </c>
    </row>
    <row r="483" spans="1:3" x14ac:dyDescent="0.25">
      <c r="A483" t="s">
        <v>28</v>
      </c>
      <c r="B483">
        <v>8</v>
      </c>
      <c r="C483">
        <v>6.5753424657534199E-2</v>
      </c>
    </row>
    <row r="484" spans="1:3" x14ac:dyDescent="0.25">
      <c r="A484" t="s">
        <v>75</v>
      </c>
      <c r="B484">
        <v>8</v>
      </c>
      <c r="C484">
        <v>2.7397260273972601E-2</v>
      </c>
    </row>
    <row r="485" spans="1:3" x14ac:dyDescent="0.25">
      <c r="A485" t="s">
        <v>321</v>
      </c>
      <c r="B485">
        <v>9</v>
      </c>
      <c r="C485">
        <v>7.3972602739726001E-2</v>
      </c>
    </row>
    <row r="486" spans="1:3" x14ac:dyDescent="0.25">
      <c r="A486" t="s">
        <v>184</v>
      </c>
      <c r="B486">
        <v>9</v>
      </c>
      <c r="C486">
        <v>0.115068493150685</v>
      </c>
    </row>
    <row r="487" spans="1:3" x14ac:dyDescent="0.25">
      <c r="A487" t="s">
        <v>36</v>
      </c>
      <c r="B487">
        <v>10</v>
      </c>
      <c r="C487">
        <v>6.3013698630137005E-2</v>
      </c>
    </row>
    <row r="488" spans="1:3" x14ac:dyDescent="0.25">
      <c r="A488" t="s">
        <v>61</v>
      </c>
      <c r="B488">
        <v>11</v>
      </c>
      <c r="C488">
        <v>0.120547945205479</v>
      </c>
    </row>
    <row r="489" spans="1:3" x14ac:dyDescent="0.25">
      <c r="A489" t="s">
        <v>78</v>
      </c>
      <c r="B489">
        <v>12</v>
      </c>
      <c r="C489">
        <v>1.3698630136986301E-2</v>
      </c>
    </row>
    <row r="490" spans="1:3" x14ac:dyDescent="0.25">
      <c r="A490" t="s">
        <v>67</v>
      </c>
      <c r="B490">
        <v>13</v>
      </c>
      <c r="C490">
        <v>4.9315068493150697E-2</v>
      </c>
    </row>
    <row r="491" spans="1:3" x14ac:dyDescent="0.25">
      <c r="A491" t="s">
        <v>28</v>
      </c>
      <c r="B491">
        <v>13</v>
      </c>
      <c r="C491">
        <v>6.8493150684931503E-2</v>
      </c>
    </row>
    <row r="492" spans="1:3" x14ac:dyDescent="0.25">
      <c r="A492" t="s">
        <v>28</v>
      </c>
      <c r="B492">
        <v>14</v>
      </c>
      <c r="C492">
        <v>4.3835616438356199E-2</v>
      </c>
    </row>
    <row r="493" spans="1:3" x14ac:dyDescent="0.25">
      <c r="A493" t="s">
        <v>71</v>
      </c>
      <c r="B493">
        <v>15</v>
      </c>
      <c r="C493">
        <v>5.4794520547945202E-2</v>
      </c>
    </row>
    <row r="494" spans="1:3" x14ac:dyDescent="0.25">
      <c r="A494" t="s">
        <v>65</v>
      </c>
      <c r="B494">
        <v>15</v>
      </c>
      <c r="C494">
        <v>8.2191780821917804E-2</v>
      </c>
    </row>
    <row r="495" spans="1:3" x14ac:dyDescent="0.25">
      <c r="A495" t="s">
        <v>21</v>
      </c>
      <c r="B495">
        <v>17</v>
      </c>
      <c r="C495">
        <v>3.8356164383561597E-2</v>
      </c>
    </row>
    <row r="496" spans="1:3" x14ac:dyDescent="0.25">
      <c r="A496" t="s">
        <v>186</v>
      </c>
      <c r="B496">
        <v>18</v>
      </c>
      <c r="C496">
        <v>4.65753424657534E-2</v>
      </c>
    </row>
    <row r="497" spans="1:3" x14ac:dyDescent="0.25">
      <c r="A497" t="s">
        <v>69</v>
      </c>
      <c r="B497">
        <v>19</v>
      </c>
      <c r="C497">
        <v>5.4794520547945202E-2</v>
      </c>
    </row>
    <row r="498" spans="1:3" x14ac:dyDescent="0.25">
      <c r="A498" t="s">
        <v>187</v>
      </c>
      <c r="B498">
        <v>20</v>
      </c>
      <c r="C498">
        <v>8.2191780821917804E-2</v>
      </c>
    </row>
    <row r="499" spans="1:3" x14ac:dyDescent="0.25">
      <c r="A499" t="s">
        <v>287</v>
      </c>
      <c r="B499">
        <v>20</v>
      </c>
      <c r="C499">
        <v>1.0958904109589E-2</v>
      </c>
    </row>
    <row r="500" spans="1:3" x14ac:dyDescent="0.25">
      <c r="A500" t="s">
        <v>56</v>
      </c>
      <c r="B500">
        <v>23</v>
      </c>
      <c r="C500">
        <v>6.02739726027397E-2</v>
      </c>
    </row>
    <row r="501" spans="1:3" x14ac:dyDescent="0.25">
      <c r="A501" t="s">
        <v>316</v>
      </c>
      <c r="B501">
        <v>23</v>
      </c>
      <c r="C501">
        <v>6.3013698630137005E-2</v>
      </c>
    </row>
    <row r="502" spans="1:3" x14ac:dyDescent="0.25">
      <c r="A502" t="s">
        <v>316</v>
      </c>
      <c r="B502">
        <v>0</v>
      </c>
      <c r="C502">
        <v>4.9315068493150697E-2</v>
      </c>
    </row>
    <row r="503" spans="1:3" x14ac:dyDescent="0.25">
      <c r="A503" t="s">
        <v>312</v>
      </c>
      <c r="B503">
        <v>0</v>
      </c>
      <c r="C503">
        <v>4.65753424657534E-2</v>
      </c>
    </row>
    <row r="504" spans="1:3" x14ac:dyDescent="0.25">
      <c r="A504" t="s">
        <v>316</v>
      </c>
      <c r="B504">
        <v>1</v>
      </c>
      <c r="C504">
        <v>3.0136986301369899E-2</v>
      </c>
    </row>
    <row r="505" spans="1:3" x14ac:dyDescent="0.25">
      <c r="A505" t="s">
        <v>70</v>
      </c>
      <c r="B505">
        <v>2</v>
      </c>
      <c r="C505">
        <v>1.0958904109589E-2</v>
      </c>
    </row>
    <row r="506" spans="1:3" x14ac:dyDescent="0.25">
      <c r="A506" t="s">
        <v>74</v>
      </c>
      <c r="B506">
        <v>2</v>
      </c>
      <c r="C506">
        <v>5.4794520547945197E-3</v>
      </c>
    </row>
    <row r="507" spans="1:3" x14ac:dyDescent="0.25">
      <c r="A507" t="s">
        <v>316</v>
      </c>
      <c r="B507">
        <v>2</v>
      </c>
      <c r="C507">
        <v>3.5616438356164397E-2</v>
      </c>
    </row>
    <row r="508" spans="1:3" x14ac:dyDescent="0.25">
      <c r="A508" t="s">
        <v>19</v>
      </c>
      <c r="B508">
        <v>7</v>
      </c>
      <c r="C508">
        <v>6.3013698630137005E-2</v>
      </c>
    </row>
    <row r="509" spans="1:3" x14ac:dyDescent="0.25">
      <c r="A509" t="s">
        <v>32</v>
      </c>
      <c r="B509">
        <v>8</v>
      </c>
      <c r="C509">
        <v>1.3698630136986301E-2</v>
      </c>
    </row>
    <row r="510" spans="1:3" x14ac:dyDescent="0.25">
      <c r="A510" t="s">
        <v>71</v>
      </c>
      <c r="B510">
        <v>9</v>
      </c>
      <c r="C510">
        <v>2.7397260273972601E-2</v>
      </c>
    </row>
    <row r="511" spans="1:3" x14ac:dyDescent="0.25">
      <c r="A511" t="s">
        <v>70</v>
      </c>
      <c r="B511">
        <v>9</v>
      </c>
      <c r="C511">
        <v>4.9315068493150697E-2</v>
      </c>
    </row>
    <row r="512" spans="1:3" x14ac:dyDescent="0.25">
      <c r="A512" t="s">
        <v>65</v>
      </c>
      <c r="B512">
        <v>10</v>
      </c>
      <c r="C512">
        <v>8.2191780821917804E-2</v>
      </c>
    </row>
    <row r="513" spans="1:3" x14ac:dyDescent="0.25">
      <c r="A513" t="s">
        <v>318</v>
      </c>
      <c r="B513">
        <v>10</v>
      </c>
      <c r="C513">
        <v>2.46575342465753E-2</v>
      </c>
    </row>
    <row r="514" spans="1:3" x14ac:dyDescent="0.25">
      <c r="A514" t="s">
        <v>286</v>
      </c>
      <c r="B514">
        <v>11</v>
      </c>
      <c r="C514">
        <v>1.9178082191780799E-2</v>
      </c>
    </row>
    <row r="515" spans="1:3" x14ac:dyDescent="0.25">
      <c r="A515" t="s">
        <v>62</v>
      </c>
      <c r="B515">
        <v>11</v>
      </c>
      <c r="C515">
        <v>7.6712328767123306E-2</v>
      </c>
    </row>
    <row r="516" spans="1:3" x14ac:dyDescent="0.25">
      <c r="A516" t="s">
        <v>17</v>
      </c>
      <c r="B516">
        <v>12</v>
      </c>
      <c r="C516">
        <v>8.7671232876712302E-2</v>
      </c>
    </row>
    <row r="517" spans="1:3" x14ac:dyDescent="0.25">
      <c r="A517" t="s">
        <v>184</v>
      </c>
      <c r="B517">
        <v>13</v>
      </c>
      <c r="C517">
        <v>8.4931506849315094E-2</v>
      </c>
    </row>
    <row r="518" spans="1:3" x14ac:dyDescent="0.25">
      <c r="A518" t="s">
        <v>56</v>
      </c>
      <c r="B518">
        <v>14</v>
      </c>
      <c r="C518">
        <v>0.13424657534246601</v>
      </c>
    </row>
    <row r="519" spans="1:3" x14ac:dyDescent="0.25">
      <c r="A519" t="s">
        <v>71</v>
      </c>
      <c r="B519">
        <v>14</v>
      </c>
      <c r="C519">
        <v>4.65753424657534E-2</v>
      </c>
    </row>
    <row r="520" spans="1:3" x14ac:dyDescent="0.25">
      <c r="A520" t="s">
        <v>290</v>
      </c>
      <c r="B520">
        <v>14</v>
      </c>
      <c r="C520">
        <v>3.2876712328767099E-2</v>
      </c>
    </row>
    <row r="521" spans="1:3" x14ac:dyDescent="0.25">
      <c r="A521" t="s">
        <v>69</v>
      </c>
      <c r="B521">
        <v>15</v>
      </c>
      <c r="C521">
        <v>3.5616438356164397E-2</v>
      </c>
    </row>
    <row r="522" spans="1:3" x14ac:dyDescent="0.25">
      <c r="A522" t="s">
        <v>308</v>
      </c>
      <c r="B522">
        <v>15</v>
      </c>
      <c r="C522">
        <v>9.3150684931506897E-2</v>
      </c>
    </row>
    <row r="523" spans="1:3" x14ac:dyDescent="0.25">
      <c r="A523" t="s">
        <v>65</v>
      </c>
      <c r="B523">
        <v>16</v>
      </c>
      <c r="C523">
        <v>0.115068493150685</v>
      </c>
    </row>
    <row r="524" spans="1:3" x14ac:dyDescent="0.25">
      <c r="A524" t="s">
        <v>394</v>
      </c>
      <c r="B524">
        <v>16</v>
      </c>
      <c r="C524">
        <v>6.8493150684931503E-2</v>
      </c>
    </row>
    <row r="525" spans="1:3" x14ac:dyDescent="0.25">
      <c r="A525" t="s">
        <v>70</v>
      </c>
      <c r="B525">
        <v>17</v>
      </c>
      <c r="C525">
        <v>5.4794520547945202E-2</v>
      </c>
    </row>
    <row r="526" spans="1:3" x14ac:dyDescent="0.25">
      <c r="A526" t="s">
        <v>296</v>
      </c>
      <c r="B526">
        <v>18</v>
      </c>
      <c r="C526">
        <v>8.2191780821917804E-2</v>
      </c>
    </row>
    <row r="527" spans="1:3" x14ac:dyDescent="0.25">
      <c r="A527" t="s">
        <v>310</v>
      </c>
      <c r="B527">
        <v>18</v>
      </c>
      <c r="C527">
        <v>5.75342465753425E-2</v>
      </c>
    </row>
    <row r="528" spans="1:3" x14ac:dyDescent="0.25">
      <c r="A528" t="s">
        <v>320</v>
      </c>
      <c r="B528">
        <v>18</v>
      </c>
      <c r="C528">
        <v>5.4794520547945202E-2</v>
      </c>
    </row>
    <row r="529" spans="1:3" x14ac:dyDescent="0.25">
      <c r="A529" t="s">
        <v>313</v>
      </c>
      <c r="B529">
        <v>18</v>
      </c>
      <c r="C529">
        <v>5.75342465753425E-2</v>
      </c>
    </row>
    <row r="530" spans="1:3" x14ac:dyDescent="0.25">
      <c r="A530" t="s">
        <v>296</v>
      </c>
      <c r="B530">
        <v>19</v>
      </c>
      <c r="C530">
        <v>2.7397260273972601E-2</v>
      </c>
    </row>
    <row r="531" spans="1:3" x14ac:dyDescent="0.25">
      <c r="A531" t="s">
        <v>316</v>
      </c>
      <c r="B531">
        <v>19</v>
      </c>
      <c r="C531">
        <v>0.19178082191780799</v>
      </c>
    </row>
    <row r="532" spans="1:3" x14ac:dyDescent="0.25">
      <c r="A532" t="s">
        <v>188</v>
      </c>
      <c r="B532">
        <v>19</v>
      </c>
      <c r="C532">
        <v>2.7397260273972601E-2</v>
      </c>
    </row>
    <row r="533" spans="1:3" x14ac:dyDescent="0.25">
      <c r="A533" t="s">
        <v>56</v>
      </c>
      <c r="B533">
        <v>20</v>
      </c>
      <c r="C533">
        <v>0.106849315068493</v>
      </c>
    </row>
    <row r="534" spans="1:3" x14ac:dyDescent="0.25">
      <c r="A534" t="s">
        <v>188</v>
      </c>
      <c r="B534">
        <v>20</v>
      </c>
      <c r="C534">
        <v>3.5616438356164397E-2</v>
      </c>
    </row>
    <row r="535" spans="1:3" x14ac:dyDescent="0.25">
      <c r="A535" t="s">
        <v>64</v>
      </c>
      <c r="B535">
        <v>20</v>
      </c>
      <c r="C535">
        <v>3.0136986301369899E-2</v>
      </c>
    </row>
    <row r="536" spans="1:3" x14ac:dyDescent="0.25">
      <c r="A536" t="s">
        <v>36</v>
      </c>
      <c r="B536">
        <v>21</v>
      </c>
      <c r="C536">
        <v>4.1095890410958902E-2</v>
      </c>
    </row>
    <row r="537" spans="1:3" x14ac:dyDescent="0.25">
      <c r="A537" t="s">
        <v>60</v>
      </c>
      <c r="B537">
        <v>21</v>
      </c>
      <c r="C537">
        <v>7.6712328767123306E-2</v>
      </c>
    </row>
    <row r="538" spans="1:3" x14ac:dyDescent="0.25">
      <c r="A538" t="s">
        <v>63</v>
      </c>
      <c r="B538">
        <v>4</v>
      </c>
      <c r="C538">
        <v>1.0958904109589E-2</v>
      </c>
    </row>
    <row r="539" spans="1:3" x14ac:dyDescent="0.25">
      <c r="A539" t="s">
        <v>75</v>
      </c>
      <c r="B539">
        <v>4</v>
      </c>
      <c r="C539">
        <v>5.4794520547945197E-3</v>
      </c>
    </row>
    <row r="540" spans="1:3" x14ac:dyDescent="0.25">
      <c r="A540" t="s">
        <v>60</v>
      </c>
      <c r="B540">
        <v>6</v>
      </c>
      <c r="C540">
        <v>2.7397260273972601E-2</v>
      </c>
    </row>
    <row r="541" spans="1:3" x14ac:dyDescent="0.25">
      <c r="A541" t="s">
        <v>184</v>
      </c>
      <c r="B541">
        <v>7</v>
      </c>
      <c r="C541">
        <v>6.02739726027397E-2</v>
      </c>
    </row>
    <row r="542" spans="1:3" x14ac:dyDescent="0.25">
      <c r="A542" t="s">
        <v>68</v>
      </c>
      <c r="B542">
        <v>8</v>
      </c>
      <c r="C542">
        <v>5.75342465753425E-2</v>
      </c>
    </row>
    <row r="543" spans="1:3" x14ac:dyDescent="0.25">
      <c r="A543" t="s">
        <v>37</v>
      </c>
      <c r="B543">
        <v>8</v>
      </c>
      <c r="C543">
        <v>3.2876712328767099E-2</v>
      </c>
    </row>
    <row r="544" spans="1:3" x14ac:dyDescent="0.25">
      <c r="A544" t="s">
        <v>17</v>
      </c>
      <c r="B544">
        <v>8</v>
      </c>
      <c r="C544">
        <v>6.5753424657534199E-2</v>
      </c>
    </row>
    <row r="545" spans="1:3" x14ac:dyDescent="0.25">
      <c r="A545" t="s">
        <v>77</v>
      </c>
      <c r="B545">
        <v>10</v>
      </c>
      <c r="C545">
        <v>5.4794520547945197E-3</v>
      </c>
    </row>
    <row r="546" spans="1:3" x14ac:dyDescent="0.25">
      <c r="A546" t="s">
        <v>37</v>
      </c>
      <c r="B546">
        <v>11</v>
      </c>
      <c r="C546">
        <v>4.3835616438356199E-2</v>
      </c>
    </row>
    <row r="547" spans="1:3" x14ac:dyDescent="0.25">
      <c r="A547" t="s">
        <v>28</v>
      </c>
      <c r="B547">
        <v>12</v>
      </c>
      <c r="C547">
        <v>5.75342465753425E-2</v>
      </c>
    </row>
    <row r="548" spans="1:3" x14ac:dyDescent="0.25">
      <c r="A548" t="s">
        <v>56</v>
      </c>
      <c r="B548">
        <v>12</v>
      </c>
      <c r="C548">
        <v>0.112328767123288</v>
      </c>
    </row>
    <row r="549" spans="1:3" x14ac:dyDescent="0.25">
      <c r="A549" t="s">
        <v>19</v>
      </c>
      <c r="B549">
        <v>12</v>
      </c>
      <c r="C549">
        <v>5.2054794520547898E-2</v>
      </c>
    </row>
    <row r="550" spans="1:3" x14ac:dyDescent="0.25">
      <c r="A550" t="s">
        <v>291</v>
      </c>
      <c r="B550">
        <v>13</v>
      </c>
      <c r="C550">
        <v>1.9178082191780799E-2</v>
      </c>
    </row>
    <row r="551" spans="1:3" x14ac:dyDescent="0.25">
      <c r="A551" t="s">
        <v>67</v>
      </c>
      <c r="B551">
        <v>14</v>
      </c>
      <c r="C551">
        <v>9.3150684931506897E-2</v>
      </c>
    </row>
    <row r="552" spans="1:3" x14ac:dyDescent="0.25">
      <c r="A552" t="s">
        <v>69</v>
      </c>
      <c r="B552">
        <v>18</v>
      </c>
      <c r="C552">
        <v>5.4794520547945202E-2</v>
      </c>
    </row>
    <row r="553" spans="1:3" x14ac:dyDescent="0.25">
      <c r="A553" t="s">
        <v>68</v>
      </c>
      <c r="B553">
        <v>20</v>
      </c>
      <c r="C553">
        <v>3.8356164383561597E-2</v>
      </c>
    </row>
    <row r="554" spans="1:3" x14ac:dyDescent="0.25">
      <c r="A554" t="s">
        <v>317</v>
      </c>
      <c r="B554">
        <v>23</v>
      </c>
      <c r="C554">
        <v>6.3013698630137005E-2</v>
      </c>
    </row>
    <row r="555" spans="1:3" x14ac:dyDescent="0.25">
      <c r="A555" t="s">
        <v>187</v>
      </c>
      <c r="B555">
        <v>0</v>
      </c>
      <c r="C555">
        <v>2.19178082191781E-2</v>
      </c>
    </row>
    <row r="556" spans="1:3" x14ac:dyDescent="0.25">
      <c r="A556" t="s">
        <v>183</v>
      </c>
      <c r="B556">
        <v>1</v>
      </c>
      <c r="C556">
        <v>3.2876712328767099E-2</v>
      </c>
    </row>
    <row r="557" spans="1:3" x14ac:dyDescent="0.25">
      <c r="A557" t="s">
        <v>36</v>
      </c>
      <c r="B557">
        <v>1</v>
      </c>
      <c r="C557">
        <v>1.0958904109589E-2</v>
      </c>
    </row>
    <row r="558" spans="1:3" x14ac:dyDescent="0.25">
      <c r="A558" t="s">
        <v>74</v>
      </c>
      <c r="B558">
        <v>1</v>
      </c>
      <c r="C558">
        <v>1.3698630136986301E-2</v>
      </c>
    </row>
    <row r="559" spans="1:3" x14ac:dyDescent="0.25">
      <c r="A559" t="s">
        <v>77</v>
      </c>
      <c r="B559">
        <v>2</v>
      </c>
      <c r="C559">
        <v>0</v>
      </c>
    </row>
    <row r="560" spans="1:3" x14ac:dyDescent="0.25">
      <c r="A560" t="s">
        <v>61</v>
      </c>
      <c r="B560">
        <v>6</v>
      </c>
      <c r="C560">
        <v>5.4794520547945197E-3</v>
      </c>
    </row>
    <row r="561" spans="1:3" x14ac:dyDescent="0.25">
      <c r="A561" t="s">
        <v>36</v>
      </c>
      <c r="B561">
        <v>6</v>
      </c>
      <c r="C561">
        <v>8.21917808219178E-3</v>
      </c>
    </row>
    <row r="562" spans="1:3" x14ac:dyDescent="0.25">
      <c r="A562" t="s">
        <v>68</v>
      </c>
      <c r="B562">
        <v>6</v>
      </c>
      <c r="C562">
        <v>1.6438356164383602E-2</v>
      </c>
    </row>
    <row r="563" spans="1:3" x14ac:dyDescent="0.25">
      <c r="A563" t="s">
        <v>290</v>
      </c>
      <c r="B563">
        <v>9</v>
      </c>
      <c r="C563">
        <v>6.5753424657534199E-2</v>
      </c>
    </row>
    <row r="564" spans="1:3" x14ac:dyDescent="0.25">
      <c r="A564" t="s">
        <v>58</v>
      </c>
      <c r="B564">
        <v>11</v>
      </c>
      <c r="C564">
        <v>0.106849315068493</v>
      </c>
    </row>
    <row r="565" spans="1:3" x14ac:dyDescent="0.25">
      <c r="A565" t="s">
        <v>188</v>
      </c>
      <c r="B565">
        <v>12</v>
      </c>
      <c r="C565">
        <v>3.0136986301369899E-2</v>
      </c>
    </row>
    <row r="566" spans="1:3" x14ac:dyDescent="0.25">
      <c r="A566" t="s">
        <v>37</v>
      </c>
      <c r="B566">
        <v>14</v>
      </c>
      <c r="C566">
        <v>2.7397260273972601E-2</v>
      </c>
    </row>
    <row r="567" spans="1:3" x14ac:dyDescent="0.25">
      <c r="A567" t="s">
        <v>61</v>
      </c>
      <c r="B567">
        <v>14</v>
      </c>
      <c r="C567">
        <v>9.0410958904109606E-2</v>
      </c>
    </row>
    <row r="568" spans="1:3" x14ac:dyDescent="0.25">
      <c r="A568" t="s">
        <v>183</v>
      </c>
      <c r="B568">
        <v>14</v>
      </c>
      <c r="C568">
        <v>0.13698630136986301</v>
      </c>
    </row>
    <row r="569" spans="1:3" x14ac:dyDescent="0.25">
      <c r="A569" t="s">
        <v>188</v>
      </c>
      <c r="B569">
        <v>16</v>
      </c>
      <c r="C569">
        <v>6.02739726027397E-2</v>
      </c>
    </row>
    <row r="570" spans="1:3" x14ac:dyDescent="0.25">
      <c r="A570" t="s">
        <v>75</v>
      </c>
      <c r="B570">
        <v>16</v>
      </c>
      <c r="C570">
        <v>3.0136986301369899E-2</v>
      </c>
    </row>
    <row r="571" spans="1:3" x14ac:dyDescent="0.25">
      <c r="A571" t="s">
        <v>74</v>
      </c>
      <c r="B571">
        <v>20</v>
      </c>
      <c r="C571">
        <v>2.46575342465753E-2</v>
      </c>
    </row>
    <row r="572" spans="1:3" x14ac:dyDescent="0.25">
      <c r="A572" t="s">
        <v>69</v>
      </c>
      <c r="B572">
        <v>20</v>
      </c>
      <c r="C572">
        <v>4.3835616438356199E-2</v>
      </c>
    </row>
    <row r="573" spans="1:3" x14ac:dyDescent="0.25">
      <c r="A573" t="s">
        <v>316</v>
      </c>
      <c r="B573">
        <v>20</v>
      </c>
      <c r="C573">
        <v>0.123287671232877</v>
      </c>
    </row>
    <row r="574" spans="1:3" x14ac:dyDescent="0.25">
      <c r="A574" t="s">
        <v>61</v>
      </c>
      <c r="B574">
        <v>21</v>
      </c>
      <c r="C574">
        <v>3.5616438356164397E-2</v>
      </c>
    </row>
    <row r="575" spans="1:3" x14ac:dyDescent="0.25">
      <c r="A575" t="s">
        <v>183</v>
      </c>
      <c r="B575">
        <v>21</v>
      </c>
      <c r="C575">
        <v>0.10958904109589</v>
      </c>
    </row>
    <row r="576" spans="1:3" x14ac:dyDescent="0.25">
      <c r="A576" t="s">
        <v>74</v>
      </c>
      <c r="B576">
        <v>22</v>
      </c>
      <c r="C576">
        <v>2.19178082191781E-2</v>
      </c>
    </row>
    <row r="577" spans="1:3" x14ac:dyDescent="0.25">
      <c r="A577" t="s">
        <v>58</v>
      </c>
      <c r="B577">
        <v>0</v>
      </c>
      <c r="C577">
        <v>3.8356164383561597E-2</v>
      </c>
    </row>
    <row r="578" spans="1:3" x14ac:dyDescent="0.25">
      <c r="A578" t="s">
        <v>68</v>
      </c>
      <c r="B578">
        <v>1</v>
      </c>
      <c r="C578">
        <v>1.0958904109589E-2</v>
      </c>
    </row>
    <row r="579" spans="1:3" x14ac:dyDescent="0.25">
      <c r="A579" t="s">
        <v>75</v>
      </c>
      <c r="B579">
        <v>1</v>
      </c>
      <c r="C579">
        <v>1.3698630136986301E-2</v>
      </c>
    </row>
    <row r="580" spans="1:3" x14ac:dyDescent="0.25">
      <c r="A580" t="s">
        <v>69</v>
      </c>
      <c r="B580">
        <v>1</v>
      </c>
      <c r="C580">
        <v>8.21917808219178E-3</v>
      </c>
    </row>
    <row r="581" spans="1:3" x14ac:dyDescent="0.25">
      <c r="A581" t="s">
        <v>189</v>
      </c>
      <c r="B581">
        <v>8</v>
      </c>
      <c r="C581">
        <v>4.65753424657534E-2</v>
      </c>
    </row>
    <row r="582" spans="1:3" x14ac:dyDescent="0.25">
      <c r="A582" t="s">
        <v>69</v>
      </c>
      <c r="B582">
        <v>9</v>
      </c>
      <c r="C582">
        <v>4.1095890410958902E-2</v>
      </c>
    </row>
    <row r="583" spans="1:3" x14ac:dyDescent="0.25">
      <c r="A583" t="s">
        <v>76</v>
      </c>
      <c r="B583">
        <v>9</v>
      </c>
      <c r="C583">
        <v>4.9315068493150697E-2</v>
      </c>
    </row>
    <row r="584" spans="1:3" x14ac:dyDescent="0.25">
      <c r="A584" t="s">
        <v>288</v>
      </c>
      <c r="B584">
        <v>9</v>
      </c>
      <c r="C584">
        <v>7.9452054794520596E-2</v>
      </c>
    </row>
    <row r="585" spans="1:3" x14ac:dyDescent="0.25">
      <c r="A585" t="s">
        <v>297</v>
      </c>
      <c r="B585">
        <v>10</v>
      </c>
      <c r="C585">
        <v>1.6438356164383602E-2</v>
      </c>
    </row>
    <row r="586" spans="1:3" x14ac:dyDescent="0.25">
      <c r="A586" t="s">
        <v>394</v>
      </c>
      <c r="B586">
        <v>11</v>
      </c>
      <c r="C586">
        <v>5.2054794520547898E-2</v>
      </c>
    </row>
    <row r="587" spans="1:3" x14ac:dyDescent="0.25">
      <c r="A587" t="s">
        <v>28</v>
      </c>
      <c r="B587">
        <v>11</v>
      </c>
      <c r="C587">
        <v>6.8493150684931503E-2</v>
      </c>
    </row>
    <row r="588" spans="1:3" x14ac:dyDescent="0.25">
      <c r="A588" t="s">
        <v>312</v>
      </c>
      <c r="B588">
        <v>11</v>
      </c>
      <c r="C588">
        <v>0.120547945205479</v>
      </c>
    </row>
    <row r="589" spans="1:3" x14ac:dyDescent="0.25">
      <c r="A589" t="s">
        <v>64</v>
      </c>
      <c r="B589">
        <v>15</v>
      </c>
      <c r="C589">
        <v>6.8493150684931503E-2</v>
      </c>
    </row>
    <row r="590" spans="1:3" x14ac:dyDescent="0.25">
      <c r="A590" t="s">
        <v>321</v>
      </c>
      <c r="B590">
        <v>16</v>
      </c>
      <c r="C590">
        <v>9.3150684931506897E-2</v>
      </c>
    </row>
    <row r="591" spans="1:3" x14ac:dyDescent="0.25">
      <c r="A591" t="s">
        <v>190</v>
      </c>
      <c r="B591">
        <v>16</v>
      </c>
      <c r="C591">
        <v>3.0136986301369899E-2</v>
      </c>
    </row>
    <row r="592" spans="1:3" x14ac:dyDescent="0.25">
      <c r="A592" t="s">
        <v>38</v>
      </c>
      <c r="B592">
        <v>17</v>
      </c>
      <c r="C592">
        <v>8.21917808219178E-3</v>
      </c>
    </row>
    <row r="593" spans="1:3" x14ac:dyDescent="0.25">
      <c r="A593" t="s">
        <v>69</v>
      </c>
      <c r="B593">
        <v>17</v>
      </c>
      <c r="C593">
        <v>7.3972602739726001E-2</v>
      </c>
    </row>
    <row r="594" spans="1:3" x14ac:dyDescent="0.25">
      <c r="A594" t="s">
        <v>393</v>
      </c>
      <c r="B594">
        <v>18</v>
      </c>
      <c r="C594">
        <v>0.120547945205479</v>
      </c>
    </row>
    <row r="595" spans="1:3" x14ac:dyDescent="0.25">
      <c r="A595" t="s">
        <v>186</v>
      </c>
      <c r="B595">
        <v>19</v>
      </c>
      <c r="C595">
        <v>3.2876712328767099E-2</v>
      </c>
    </row>
    <row r="596" spans="1:3" x14ac:dyDescent="0.25">
      <c r="A596" t="s">
        <v>19</v>
      </c>
      <c r="B596">
        <v>20</v>
      </c>
      <c r="C596">
        <v>5.4794520547945202E-2</v>
      </c>
    </row>
    <row r="597" spans="1:3" x14ac:dyDescent="0.25">
      <c r="A597" t="s">
        <v>17</v>
      </c>
      <c r="B597">
        <v>20</v>
      </c>
      <c r="C597">
        <v>9.8630136986301395E-2</v>
      </c>
    </row>
    <row r="598" spans="1:3" x14ac:dyDescent="0.25">
      <c r="A598" t="s">
        <v>72</v>
      </c>
      <c r="B598">
        <v>21</v>
      </c>
      <c r="C598">
        <v>1.0958904109589E-2</v>
      </c>
    </row>
    <row r="599" spans="1:3" x14ac:dyDescent="0.25">
      <c r="A599" t="s">
        <v>62</v>
      </c>
      <c r="B599">
        <v>23</v>
      </c>
      <c r="C599">
        <v>4.65753424657534E-2</v>
      </c>
    </row>
    <row r="600" spans="1:3" x14ac:dyDescent="0.25">
      <c r="A600" t="s">
        <v>26</v>
      </c>
      <c r="B600">
        <v>23</v>
      </c>
      <c r="C600">
        <v>3.8356164383561597E-2</v>
      </c>
    </row>
    <row r="601" spans="1:3" x14ac:dyDescent="0.25">
      <c r="A601" t="s">
        <v>72</v>
      </c>
      <c r="B601">
        <v>0</v>
      </c>
      <c r="C601">
        <v>1.6438356164383602E-2</v>
      </c>
    </row>
    <row r="602" spans="1:3" x14ac:dyDescent="0.25">
      <c r="A602" t="s">
        <v>72</v>
      </c>
      <c r="B602">
        <v>1</v>
      </c>
      <c r="C602">
        <v>1.0958904109589E-2</v>
      </c>
    </row>
    <row r="603" spans="1:3" x14ac:dyDescent="0.25">
      <c r="A603" t="s">
        <v>72</v>
      </c>
      <c r="B603">
        <v>2</v>
      </c>
      <c r="C603">
        <v>1.0958904109589E-2</v>
      </c>
    </row>
    <row r="604" spans="1:3" x14ac:dyDescent="0.25">
      <c r="A604" t="s">
        <v>78</v>
      </c>
      <c r="B604">
        <v>2</v>
      </c>
      <c r="C604">
        <v>5.4794520547945197E-3</v>
      </c>
    </row>
    <row r="605" spans="1:3" x14ac:dyDescent="0.25">
      <c r="A605" t="s">
        <v>71</v>
      </c>
      <c r="B605">
        <v>3</v>
      </c>
      <c r="C605">
        <v>5.4794520547945197E-3</v>
      </c>
    </row>
    <row r="606" spans="1:3" x14ac:dyDescent="0.25">
      <c r="A606" t="s">
        <v>74</v>
      </c>
      <c r="B606">
        <v>4</v>
      </c>
      <c r="C606">
        <v>8.21917808219178E-3</v>
      </c>
    </row>
    <row r="607" spans="1:3" x14ac:dyDescent="0.25">
      <c r="A607" t="s">
        <v>296</v>
      </c>
      <c r="B607">
        <v>8</v>
      </c>
      <c r="C607">
        <v>4.65753424657534E-2</v>
      </c>
    </row>
    <row r="608" spans="1:3" x14ac:dyDescent="0.25">
      <c r="A608" t="s">
        <v>296</v>
      </c>
      <c r="B608">
        <v>9</v>
      </c>
      <c r="C608">
        <v>3.8356164383561597E-2</v>
      </c>
    </row>
    <row r="609" spans="1:3" x14ac:dyDescent="0.25">
      <c r="A609" t="s">
        <v>78</v>
      </c>
      <c r="B609">
        <v>10</v>
      </c>
      <c r="C609">
        <v>8.21917808219178E-3</v>
      </c>
    </row>
    <row r="610" spans="1:3" x14ac:dyDescent="0.25">
      <c r="A610" t="s">
        <v>65</v>
      </c>
      <c r="B610">
        <v>11</v>
      </c>
      <c r="C610">
        <v>6.3013698630137005E-2</v>
      </c>
    </row>
    <row r="611" spans="1:3" x14ac:dyDescent="0.25">
      <c r="A611" t="s">
        <v>69</v>
      </c>
      <c r="B611">
        <v>11</v>
      </c>
      <c r="C611">
        <v>1.6438356164383602E-2</v>
      </c>
    </row>
    <row r="612" spans="1:3" x14ac:dyDescent="0.25">
      <c r="A612" t="s">
        <v>62</v>
      </c>
      <c r="B612">
        <v>12</v>
      </c>
      <c r="C612">
        <v>9.3150684931506897E-2</v>
      </c>
    </row>
    <row r="613" spans="1:3" x14ac:dyDescent="0.25">
      <c r="A613" t="s">
        <v>183</v>
      </c>
      <c r="B613">
        <v>13</v>
      </c>
      <c r="C613">
        <v>0.10958904109589</v>
      </c>
    </row>
    <row r="614" spans="1:3" x14ac:dyDescent="0.25">
      <c r="A614" t="s">
        <v>75</v>
      </c>
      <c r="B614">
        <v>13</v>
      </c>
      <c r="C614">
        <v>2.7397260273972601E-2</v>
      </c>
    </row>
    <row r="615" spans="1:3" x14ac:dyDescent="0.25">
      <c r="A615" t="s">
        <v>76</v>
      </c>
      <c r="B615">
        <v>13</v>
      </c>
      <c r="C615">
        <v>6.02739726027397E-2</v>
      </c>
    </row>
    <row r="616" spans="1:3" x14ac:dyDescent="0.25">
      <c r="A616" t="s">
        <v>317</v>
      </c>
      <c r="B616">
        <v>13</v>
      </c>
      <c r="C616">
        <v>0.112328767123288</v>
      </c>
    </row>
    <row r="617" spans="1:3" x14ac:dyDescent="0.25">
      <c r="A617" t="s">
        <v>66</v>
      </c>
      <c r="B617">
        <v>13</v>
      </c>
      <c r="C617">
        <v>5.75342465753425E-2</v>
      </c>
    </row>
    <row r="618" spans="1:3" x14ac:dyDescent="0.25">
      <c r="A618" t="s">
        <v>63</v>
      </c>
      <c r="B618">
        <v>14</v>
      </c>
      <c r="C618">
        <v>5.75342465753425E-2</v>
      </c>
    </row>
    <row r="619" spans="1:3" x14ac:dyDescent="0.25">
      <c r="A619" t="s">
        <v>313</v>
      </c>
      <c r="B619">
        <v>16</v>
      </c>
      <c r="C619">
        <v>4.65753424657534E-2</v>
      </c>
    </row>
    <row r="620" spans="1:3" x14ac:dyDescent="0.25">
      <c r="A620" t="s">
        <v>68</v>
      </c>
      <c r="B620">
        <v>17</v>
      </c>
      <c r="C620">
        <v>9.0410958904109606E-2</v>
      </c>
    </row>
    <row r="621" spans="1:3" x14ac:dyDescent="0.25">
      <c r="A621" t="s">
        <v>309</v>
      </c>
      <c r="B621">
        <v>17</v>
      </c>
      <c r="C621">
        <v>1.3698630136986301E-2</v>
      </c>
    </row>
    <row r="622" spans="1:3" x14ac:dyDescent="0.25">
      <c r="A622" t="s">
        <v>63</v>
      </c>
      <c r="B622">
        <v>18</v>
      </c>
      <c r="C622">
        <v>0.104109589041096</v>
      </c>
    </row>
    <row r="623" spans="1:3" x14ac:dyDescent="0.25">
      <c r="A623" t="s">
        <v>308</v>
      </c>
      <c r="B623">
        <v>21</v>
      </c>
      <c r="C623">
        <v>5.2054794520547898E-2</v>
      </c>
    </row>
    <row r="624" spans="1:3" x14ac:dyDescent="0.25">
      <c r="A624" t="s">
        <v>190</v>
      </c>
      <c r="B624">
        <v>21</v>
      </c>
      <c r="C624">
        <v>1.0958904109589E-2</v>
      </c>
    </row>
    <row r="625" spans="1:3" x14ac:dyDescent="0.25">
      <c r="A625" t="s">
        <v>72</v>
      </c>
      <c r="B625">
        <v>22</v>
      </c>
      <c r="C625">
        <v>2.46575342465753E-2</v>
      </c>
    </row>
    <row r="626" spans="1:3" x14ac:dyDescent="0.25">
      <c r="A626" t="s">
        <v>28</v>
      </c>
      <c r="B626">
        <v>23</v>
      </c>
      <c r="C626">
        <v>3.2876712328767099E-2</v>
      </c>
    </row>
    <row r="627" spans="1:3" x14ac:dyDescent="0.25">
      <c r="A627" t="s">
        <v>62</v>
      </c>
      <c r="B627">
        <v>0</v>
      </c>
      <c r="C627">
        <v>2.46575342465753E-2</v>
      </c>
    </row>
    <row r="628" spans="1:3" x14ac:dyDescent="0.25">
      <c r="A628" t="s">
        <v>19</v>
      </c>
      <c r="B628">
        <v>8</v>
      </c>
      <c r="C628">
        <v>5.4794520547945202E-2</v>
      </c>
    </row>
    <row r="629" spans="1:3" x14ac:dyDescent="0.25">
      <c r="A629" t="s">
        <v>393</v>
      </c>
      <c r="B629">
        <v>8</v>
      </c>
      <c r="C629">
        <v>0.21095890410958901</v>
      </c>
    </row>
    <row r="630" spans="1:3" x14ac:dyDescent="0.25">
      <c r="A630" t="s">
        <v>19</v>
      </c>
      <c r="B630">
        <v>9</v>
      </c>
      <c r="C630">
        <v>6.3013698630137005E-2</v>
      </c>
    </row>
    <row r="631" spans="1:3" x14ac:dyDescent="0.25">
      <c r="A631" t="s">
        <v>67</v>
      </c>
      <c r="B631">
        <v>10</v>
      </c>
      <c r="C631">
        <v>7.6712328767123306E-2</v>
      </c>
    </row>
    <row r="632" spans="1:3" x14ac:dyDescent="0.25">
      <c r="A632" t="s">
        <v>66</v>
      </c>
      <c r="B632">
        <v>11</v>
      </c>
      <c r="C632">
        <v>9.5890410958904104E-2</v>
      </c>
    </row>
    <row r="633" spans="1:3" x14ac:dyDescent="0.25">
      <c r="A633" t="s">
        <v>309</v>
      </c>
      <c r="B633">
        <v>11</v>
      </c>
      <c r="C633">
        <v>1.3698630136986301E-2</v>
      </c>
    </row>
    <row r="634" spans="1:3" x14ac:dyDescent="0.25">
      <c r="A634" t="s">
        <v>37</v>
      </c>
      <c r="B634">
        <v>13</v>
      </c>
      <c r="C634">
        <v>2.19178082191781E-2</v>
      </c>
    </row>
    <row r="635" spans="1:3" x14ac:dyDescent="0.25">
      <c r="A635" t="s">
        <v>58</v>
      </c>
      <c r="B635">
        <v>13</v>
      </c>
      <c r="C635">
        <v>0.10958904109589</v>
      </c>
    </row>
    <row r="636" spans="1:3" x14ac:dyDescent="0.25">
      <c r="A636" t="s">
        <v>74</v>
      </c>
      <c r="B636">
        <v>14</v>
      </c>
      <c r="C636">
        <v>3.8356164383561597E-2</v>
      </c>
    </row>
    <row r="637" spans="1:3" x14ac:dyDescent="0.25">
      <c r="A637" t="s">
        <v>19</v>
      </c>
      <c r="B637">
        <v>15</v>
      </c>
      <c r="C637">
        <v>6.3013698630137005E-2</v>
      </c>
    </row>
    <row r="638" spans="1:3" x14ac:dyDescent="0.25">
      <c r="A638" t="s">
        <v>72</v>
      </c>
      <c r="B638">
        <v>15</v>
      </c>
      <c r="C638">
        <v>4.1095890410958902E-2</v>
      </c>
    </row>
    <row r="639" spans="1:3" x14ac:dyDescent="0.25">
      <c r="A639" t="s">
        <v>28</v>
      </c>
      <c r="B639">
        <v>16</v>
      </c>
      <c r="C639">
        <v>8.7671232876712302E-2</v>
      </c>
    </row>
    <row r="640" spans="1:3" x14ac:dyDescent="0.25">
      <c r="A640" t="s">
        <v>76</v>
      </c>
      <c r="B640">
        <v>16</v>
      </c>
      <c r="C640">
        <v>4.1095890410958902E-2</v>
      </c>
    </row>
    <row r="641" spans="1:3" x14ac:dyDescent="0.25">
      <c r="A641" t="s">
        <v>288</v>
      </c>
      <c r="B641">
        <v>18</v>
      </c>
      <c r="C641">
        <v>4.1095890410958902E-2</v>
      </c>
    </row>
    <row r="642" spans="1:3" x14ac:dyDescent="0.25">
      <c r="A642" t="s">
        <v>72</v>
      </c>
      <c r="B642">
        <v>19</v>
      </c>
      <c r="C642">
        <v>4.9315068493150697E-2</v>
      </c>
    </row>
    <row r="643" spans="1:3" x14ac:dyDescent="0.25">
      <c r="A643" t="s">
        <v>393</v>
      </c>
      <c r="B643">
        <v>19</v>
      </c>
      <c r="C643">
        <v>0.20821917808219201</v>
      </c>
    </row>
    <row r="644" spans="1:3" x14ac:dyDescent="0.25">
      <c r="A644" t="s">
        <v>75</v>
      </c>
      <c r="B644">
        <v>20</v>
      </c>
      <c r="C644">
        <v>1.9178082191780799E-2</v>
      </c>
    </row>
    <row r="645" spans="1:3" x14ac:dyDescent="0.25">
      <c r="A645" t="s">
        <v>190</v>
      </c>
      <c r="B645">
        <v>23</v>
      </c>
      <c r="C645">
        <v>8.21917808219178E-3</v>
      </c>
    </row>
    <row r="646" spans="1:3" x14ac:dyDescent="0.25">
      <c r="A646" t="s">
        <v>21</v>
      </c>
      <c r="B646">
        <v>0</v>
      </c>
      <c r="C646">
        <v>1.6438356164383602E-2</v>
      </c>
    </row>
    <row r="647" spans="1:3" x14ac:dyDescent="0.25">
      <c r="A647" t="s">
        <v>61</v>
      </c>
      <c r="B647">
        <v>1</v>
      </c>
      <c r="C647">
        <v>1.9178082191780799E-2</v>
      </c>
    </row>
    <row r="648" spans="1:3" x14ac:dyDescent="0.25">
      <c r="A648" t="s">
        <v>62</v>
      </c>
      <c r="B648">
        <v>2</v>
      </c>
      <c r="C648">
        <v>1.3698630136986301E-2</v>
      </c>
    </row>
    <row r="649" spans="1:3" x14ac:dyDescent="0.25">
      <c r="A649" t="s">
        <v>17</v>
      </c>
      <c r="B649">
        <v>2</v>
      </c>
      <c r="C649">
        <v>1.9178082191780799E-2</v>
      </c>
    </row>
    <row r="650" spans="1:3" x14ac:dyDescent="0.25">
      <c r="A650" t="s">
        <v>19</v>
      </c>
      <c r="B650">
        <v>2</v>
      </c>
      <c r="C650">
        <v>5.4794520547945197E-3</v>
      </c>
    </row>
    <row r="651" spans="1:3" x14ac:dyDescent="0.25">
      <c r="A651" t="s">
        <v>26</v>
      </c>
      <c r="B651">
        <v>4</v>
      </c>
      <c r="C651">
        <v>8.21917808219178E-3</v>
      </c>
    </row>
    <row r="652" spans="1:3" x14ac:dyDescent="0.25">
      <c r="A652" t="s">
        <v>62</v>
      </c>
      <c r="B652">
        <v>6</v>
      </c>
      <c r="C652">
        <v>2.46575342465753E-2</v>
      </c>
    </row>
    <row r="653" spans="1:3" x14ac:dyDescent="0.25">
      <c r="A653" t="s">
        <v>63</v>
      </c>
      <c r="B653">
        <v>8</v>
      </c>
      <c r="C653">
        <v>5.2054794520547898E-2</v>
      </c>
    </row>
    <row r="654" spans="1:3" x14ac:dyDescent="0.25">
      <c r="A654" t="s">
        <v>79</v>
      </c>
      <c r="B654">
        <v>9</v>
      </c>
      <c r="C654">
        <v>8.21917808219178E-3</v>
      </c>
    </row>
    <row r="655" spans="1:3" x14ac:dyDescent="0.25">
      <c r="A655" t="s">
        <v>188</v>
      </c>
      <c r="B655">
        <v>10</v>
      </c>
      <c r="C655">
        <v>4.65753424657534E-2</v>
      </c>
    </row>
    <row r="656" spans="1:3" x14ac:dyDescent="0.25">
      <c r="A656" t="s">
        <v>32</v>
      </c>
      <c r="B656">
        <v>10</v>
      </c>
      <c r="C656">
        <v>1.6438356164383602E-2</v>
      </c>
    </row>
    <row r="657" spans="1:3" x14ac:dyDescent="0.25">
      <c r="A657" t="s">
        <v>74</v>
      </c>
      <c r="B657">
        <v>12</v>
      </c>
      <c r="C657">
        <v>4.9315068493150697E-2</v>
      </c>
    </row>
    <row r="658" spans="1:3" x14ac:dyDescent="0.25">
      <c r="A658" t="s">
        <v>21</v>
      </c>
      <c r="B658">
        <v>13</v>
      </c>
      <c r="C658">
        <v>3.2876712328767099E-2</v>
      </c>
    </row>
    <row r="659" spans="1:3" x14ac:dyDescent="0.25">
      <c r="A659" t="s">
        <v>312</v>
      </c>
      <c r="B659">
        <v>14</v>
      </c>
      <c r="C659">
        <v>7.9452054794520596E-2</v>
      </c>
    </row>
    <row r="660" spans="1:3" x14ac:dyDescent="0.25">
      <c r="A660" t="s">
        <v>310</v>
      </c>
      <c r="B660">
        <v>16</v>
      </c>
      <c r="C660">
        <v>3.2876712328767099E-2</v>
      </c>
    </row>
    <row r="661" spans="1:3" x14ac:dyDescent="0.25">
      <c r="A661" t="s">
        <v>320</v>
      </c>
      <c r="B661">
        <v>19</v>
      </c>
      <c r="C661">
        <v>5.2054794520547898E-2</v>
      </c>
    </row>
    <row r="662" spans="1:3" x14ac:dyDescent="0.25">
      <c r="A662" t="s">
        <v>187</v>
      </c>
      <c r="B662">
        <v>19</v>
      </c>
      <c r="C662">
        <v>5.75342465753425E-2</v>
      </c>
    </row>
    <row r="663" spans="1:3" x14ac:dyDescent="0.25">
      <c r="A663" t="s">
        <v>64</v>
      </c>
      <c r="B663">
        <v>6</v>
      </c>
      <c r="C663">
        <v>1.3698630136986301E-2</v>
      </c>
    </row>
    <row r="664" spans="1:3" x14ac:dyDescent="0.25">
      <c r="A664" t="s">
        <v>67</v>
      </c>
      <c r="B664">
        <v>6</v>
      </c>
      <c r="C664">
        <v>2.19178082191781E-2</v>
      </c>
    </row>
    <row r="665" spans="1:3" x14ac:dyDescent="0.25">
      <c r="A665" t="s">
        <v>189</v>
      </c>
      <c r="B665">
        <v>6</v>
      </c>
      <c r="C665">
        <v>1.6438356164383602E-2</v>
      </c>
    </row>
    <row r="666" spans="1:3" x14ac:dyDescent="0.25">
      <c r="A666" t="s">
        <v>75</v>
      </c>
      <c r="B666">
        <v>6</v>
      </c>
      <c r="C666">
        <v>8.21917808219178E-3</v>
      </c>
    </row>
    <row r="667" spans="1:3" x14ac:dyDescent="0.25">
      <c r="A667" t="s">
        <v>58</v>
      </c>
      <c r="B667">
        <v>6</v>
      </c>
      <c r="C667">
        <v>3.0136986301369899E-2</v>
      </c>
    </row>
    <row r="668" spans="1:3" x14ac:dyDescent="0.25">
      <c r="A668" t="s">
        <v>185</v>
      </c>
      <c r="B668">
        <v>7</v>
      </c>
      <c r="C668">
        <v>9.3150684931506897E-2</v>
      </c>
    </row>
    <row r="669" spans="1:3" x14ac:dyDescent="0.25">
      <c r="A669" t="s">
        <v>75</v>
      </c>
      <c r="B669">
        <v>7</v>
      </c>
      <c r="C669">
        <v>1.3698630136986301E-2</v>
      </c>
    </row>
    <row r="670" spans="1:3" x14ac:dyDescent="0.25">
      <c r="A670" t="s">
        <v>64</v>
      </c>
      <c r="B670">
        <v>8</v>
      </c>
      <c r="C670">
        <v>5.2054794520547898E-2</v>
      </c>
    </row>
    <row r="671" spans="1:3" x14ac:dyDescent="0.25">
      <c r="A671" t="s">
        <v>319</v>
      </c>
      <c r="B671">
        <v>9</v>
      </c>
      <c r="C671">
        <v>2.19178082191781E-2</v>
      </c>
    </row>
    <row r="672" spans="1:3" x14ac:dyDescent="0.25">
      <c r="A672" t="s">
        <v>62</v>
      </c>
      <c r="B672">
        <v>9</v>
      </c>
      <c r="C672">
        <v>0.120547945205479</v>
      </c>
    </row>
    <row r="673" spans="1:3" x14ac:dyDescent="0.25">
      <c r="A673" t="s">
        <v>75</v>
      </c>
      <c r="B673">
        <v>9</v>
      </c>
      <c r="C673">
        <v>2.46575342465753E-2</v>
      </c>
    </row>
    <row r="674" spans="1:3" x14ac:dyDescent="0.25">
      <c r="A674" t="s">
        <v>188</v>
      </c>
      <c r="B674">
        <v>11</v>
      </c>
      <c r="C674">
        <v>4.9315068493150697E-2</v>
      </c>
    </row>
    <row r="675" spans="1:3" x14ac:dyDescent="0.25">
      <c r="A675" t="s">
        <v>63</v>
      </c>
      <c r="B675">
        <v>11</v>
      </c>
      <c r="C675">
        <v>7.1232876712328794E-2</v>
      </c>
    </row>
    <row r="676" spans="1:3" x14ac:dyDescent="0.25">
      <c r="A676" t="s">
        <v>187</v>
      </c>
      <c r="B676">
        <v>12</v>
      </c>
      <c r="C676">
        <v>7.6712328767123306E-2</v>
      </c>
    </row>
    <row r="677" spans="1:3" x14ac:dyDescent="0.25">
      <c r="A677" t="s">
        <v>68</v>
      </c>
      <c r="B677">
        <v>12</v>
      </c>
      <c r="C677">
        <v>5.75342465753425E-2</v>
      </c>
    </row>
    <row r="678" spans="1:3" x14ac:dyDescent="0.25">
      <c r="A678" t="s">
        <v>312</v>
      </c>
      <c r="B678">
        <v>15</v>
      </c>
      <c r="C678">
        <v>5.4794520547945202E-2</v>
      </c>
    </row>
    <row r="679" spans="1:3" x14ac:dyDescent="0.25">
      <c r="A679" t="s">
        <v>296</v>
      </c>
      <c r="B679">
        <v>15</v>
      </c>
      <c r="C679">
        <v>0.104109589041096</v>
      </c>
    </row>
    <row r="680" spans="1:3" x14ac:dyDescent="0.25">
      <c r="A680" t="s">
        <v>56</v>
      </c>
      <c r="B680">
        <v>16</v>
      </c>
      <c r="C680">
        <v>0.18082191780821899</v>
      </c>
    </row>
    <row r="681" spans="1:3" x14ac:dyDescent="0.25">
      <c r="A681" t="s">
        <v>319</v>
      </c>
      <c r="B681">
        <v>18</v>
      </c>
      <c r="C681">
        <v>1.6438356164383602E-2</v>
      </c>
    </row>
    <row r="682" spans="1:3" x14ac:dyDescent="0.25">
      <c r="A682" t="s">
        <v>286</v>
      </c>
      <c r="B682">
        <v>20</v>
      </c>
      <c r="C682">
        <v>1.9178082191780799E-2</v>
      </c>
    </row>
    <row r="683" spans="1:3" x14ac:dyDescent="0.25">
      <c r="A683" t="s">
        <v>288</v>
      </c>
      <c r="B683">
        <v>20</v>
      </c>
      <c r="C683">
        <v>3.5616438356164397E-2</v>
      </c>
    </row>
    <row r="684" spans="1:3" x14ac:dyDescent="0.25">
      <c r="A684" t="s">
        <v>189</v>
      </c>
      <c r="B684">
        <v>21</v>
      </c>
      <c r="C684">
        <v>6.3013698630137005E-2</v>
      </c>
    </row>
    <row r="685" spans="1:3" x14ac:dyDescent="0.25">
      <c r="A685" t="s">
        <v>65</v>
      </c>
      <c r="B685">
        <v>21</v>
      </c>
      <c r="C685">
        <v>3.8356164383561597E-2</v>
      </c>
    </row>
    <row r="686" spans="1:3" x14ac:dyDescent="0.25">
      <c r="A686" t="s">
        <v>188</v>
      </c>
      <c r="B686">
        <v>21</v>
      </c>
      <c r="C686">
        <v>2.46575342465753E-2</v>
      </c>
    </row>
    <row r="687" spans="1:3" x14ac:dyDescent="0.25">
      <c r="A687" t="s">
        <v>75</v>
      </c>
      <c r="B687">
        <v>22</v>
      </c>
      <c r="C687">
        <v>1.0958904109589E-2</v>
      </c>
    </row>
    <row r="688" spans="1:3" x14ac:dyDescent="0.25">
      <c r="A688" t="s">
        <v>17</v>
      </c>
      <c r="B688">
        <v>23</v>
      </c>
      <c r="C688">
        <v>5.2054794520547898E-2</v>
      </c>
    </row>
    <row r="689" spans="1:3" x14ac:dyDescent="0.25">
      <c r="A689" t="s">
        <v>71</v>
      </c>
      <c r="B689">
        <v>23</v>
      </c>
      <c r="C689">
        <v>1.9178082191780799E-2</v>
      </c>
    </row>
    <row r="690" spans="1:3" x14ac:dyDescent="0.25">
      <c r="A690" t="s">
        <v>36</v>
      </c>
      <c r="B690">
        <v>0</v>
      </c>
      <c r="C690">
        <v>8.21917808219178E-3</v>
      </c>
    </row>
    <row r="691" spans="1:3" x14ac:dyDescent="0.25">
      <c r="A691" t="s">
        <v>67</v>
      </c>
      <c r="B691">
        <v>5</v>
      </c>
      <c r="C691">
        <v>1.0958904109589E-2</v>
      </c>
    </row>
    <row r="692" spans="1:3" x14ac:dyDescent="0.25">
      <c r="A692" t="s">
        <v>190</v>
      </c>
      <c r="B692">
        <v>9</v>
      </c>
      <c r="C692">
        <v>1.9178082191780799E-2</v>
      </c>
    </row>
    <row r="693" spans="1:3" x14ac:dyDescent="0.25">
      <c r="A693" t="s">
        <v>38</v>
      </c>
      <c r="B693">
        <v>9</v>
      </c>
      <c r="C693">
        <v>8.21917808219178E-3</v>
      </c>
    </row>
    <row r="694" spans="1:3" x14ac:dyDescent="0.25">
      <c r="A694" t="s">
        <v>36</v>
      </c>
      <c r="B694">
        <v>11</v>
      </c>
      <c r="C694">
        <v>6.5753424657534199E-2</v>
      </c>
    </row>
    <row r="695" spans="1:3" x14ac:dyDescent="0.25">
      <c r="A695" t="s">
        <v>21</v>
      </c>
      <c r="B695">
        <v>11</v>
      </c>
      <c r="C695">
        <v>3.5616438356164397E-2</v>
      </c>
    </row>
    <row r="696" spans="1:3" x14ac:dyDescent="0.25">
      <c r="A696" t="s">
        <v>38</v>
      </c>
      <c r="B696">
        <v>11</v>
      </c>
      <c r="C696">
        <v>1.0958904109589E-2</v>
      </c>
    </row>
    <row r="697" spans="1:3" x14ac:dyDescent="0.25">
      <c r="A697" t="s">
        <v>65</v>
      </c>
      <c r="B697">
        <v>12</v>
      </c>
      <c r="C697">
        <v>5.75342465753425E-2</v>
      </c>
    </row>
    <row r="698" spans="1:3" x14ac:dyDescent="0.25">
      <c r="A698" t="s">
        <v>26</v>
      </c>
      <c r="B698">
        <v>13</v>
      </c>
      <c r="C698">
        <v>7.6712328767123306E-2</v>
      </c>
    </row>
    <row r="699" spans="1:3" x14ac:dyDescent="0.25">
      <c r="A699" t="s">
        <v>19</v>
      </c>
      <c r="B699">
        <v>13</v>
      </c>
      <c r="C699">
        <v>5.4794520547945202E-2</v>
      </c>
    </row>
    <row r="700" spans="1:3" x14ac:dyDescent="0.25">
      <c r="A700" t="s">
        <v>189</v>
      </c>
      <c r="B700">
        <v>14</v>
      </c>
      <c r="C700">
        <v>5.75342465753425E-2</v>
      </c>
    </row>
    <row r="701" spans="1:3" x14ac:dyDescent="0.25">
      <c r="A701" t="s">
        <v>26</v>
      </c>
      <c r="B701">
        <v>14</v>
      </c>
      <c r="C701">
        <v>9.0410958904109606E-2</v>
      </c>
    </row>
    <row r="702" spans="1:3" x14ac:dyDescent="0.25">
      <c r="A702" t="s">
        <v>66</v>
      </c>
      <c r="B702">
        <v>15</v>
      </c>
      <c r="C702">
        <v>8.7671232876712302E-2</v>
      </c>
    </row>
    <row r="703" spans="1:3" x14ac:dyDescent="0.25">
      <c r="A703" t="s">
        <v>79</v>
      </c>
      <c r="B703">
        <v>16</v>
      </c>
      <c r="C703">
        <v>1.3698630136986301E-2</v>
      </c>
    </row>
    <row r="704" spans="1:3" x14ac:dyDescent="0.25">
      <c r="A704" t="s">
        <v>186</v>
      </c>
      <c r="B704">
        <v>17</v>
      </c>
      <c r="C704">
        <v>4.9315068493150697E-2</v>
      </c>
    </row>
    <row r="705" spans="1:3" x14ac:dyDescent="0.25">
      <c r="A705" t="s">
        <v>65</v>
      </c>
      <c r="B705">
        <v>19</v>
      </c>
      <c r="C705">
        <v>9.0410958904109606E-2</v>
      </c>
    </row>
    <row r="706" spans="1:3" x14ac:dyDescent="0.25">
      <c r="A706" t="s">
        <v>63</v>
      </c>
      <c r="B706">
        <v>19</v>
      </c>
      <c r="C706">
        <v>6.02739726027397E-2</v>
      </c>
    </row>
    <row r="707" spans="1:3" x14ac:dyDescent="0.25">
      <c r="A707" t="s">
        <v>65</v>
      </c>
      <c r="B707">
        <v>20</v>
      </c>
      <c r="C707">
        <v>7.1232876712328794E-2</v>
      </c>
    </row>
    <row r="708" spans="1:3" x14ac:dyDescent="0.25">
      <c r="A708" t="s">
        <v>190</v>
      </c>
      <c r="B708">
        <v>20</v>
      </c>
      <c r="C708">
        <v>1.3698630136986301E-2</v>
      </c>
    </row>
    <row r="709" spans="1:3" x14ac:dyDescent="0.25">
      <c r="A709" t="s">
        <v>32</v>
      </c>
      <c r="B709">
        <v>21</v>
      </c>
      <c r="C709">
        <v>5.4794520547945197E-3</v>
      </c>
    </row>
    <row r="710" spans="1:3" x14ac:dyDescent="0.25">
      <c r="A710" t="s">
        <v>36</v>
      </c>
      <c r="B710">
        <v>22</v>
      </c>
      <c r="C710">
        <v>4.65753424657534E-2</v>
      </c>
    </row>
    <row r="711" spans="1:3" x14ac:dyDescent="0.25">
      <c r="A711" t="s">
        <v>58</v>
      </c>
      <c r="B711">
        <v>22</v>
      </c>
      <c r="C711">
        <v>5.2054794520547898E-2</v>
      </c>
    </row>
    <row r="712" spans="1:3" x14ac:dyDescent="0.25">
      <c r="A712" t="s">
        <v>63</v>
      </c>
      <c r="B712">
        <v>0</v>
      </c>
      <c r="C712">
        <v>2.19178082191781E-2</v>
      </c>
    </row>
    <row r="713" spans="1:3" x14ac:dyDescent="0.25">
      <c r="A713" t="s">
        <v>65</v>
      </c>
      <c r="B713">
        <v>1</v>
      </c>
      <c r="C713">
        <v>1.0958904109589E-2</v>
      </c>
    </row>
    <row r="714" spans="1:3" x14ac:dyDescent="0.25">
      <c r="A714" t="s">
        <v>70</v>
      </c>
      <c r="B714">
        <v>1</v>
      </c>
      <c r="C714">
        <v>2.7397260273972599E-3</v>
      </c>
    </row>
    <row r="715" spans="1:3" x14ac:dyDescent="0.25">
      <c r="A715" t="s">
        <v>62</v>
      </c>
      <c r="B715">
        <v>4</v>
      </c>
      <c r="C715">
        <v>2.7397260273972599E-3</v>
      </c>
    </row>
    <row r="716" spans="1:3" x14ac:dyDescent="0.25">
      <c r="A716" t="s">
        <v>185</v>
      </c>
      <c r="B716">
        <v>4</v>
      </c>
      <c r="C716">
        <v>2.46575342465753E-2</v>
      </c>
    </row>
    <row r="717" spans="1:3" x14ac:dyDescent="0.25">
      <c r="A717" t="s">
        <v>65</v>
      </c>
      <c r="B717">
        <v>4</v>
      </c>
      <c r="C717">
        <v>8.21917808219178E-3</v>
      </c>
    </row>
    <row r="718" spans="1:3" x14ac:dyDescent="0.25">
      <c r="A718" t="s">
        <v>310</v>
      </c>
      <c r="B718">
        <v>10</v>
      </c>
      <c r="C718">
        <v>5.2054794520547898E-2</v>
      </c>
    </row>
    <row r="719" spans="1:3" x14ac:dyDescent="0.25">
      <c r="A719" t="s">
        <v>19</v>
      </c>
      <c r="B719">
        <v>11</v>
      </c>
      <c r="C719">
        <v>5.75342465753425E-2</v>
      </c>
    </row>
    <row r="720" spans="1:3" x14ac:dyDescent="0.25">
      <c r="A720" t="s">
        <v>289</v>
      </c>
      <c r="B720">
        <v>11</v>
      </c>
      <c r="C720">
        <v>3.0136986301369899E-2</v>
      </c>
    </row>
    <row r="721" spans="1:3" x14ac:dyDescent="0.25">
      <c r="A721" t="s">
        <v>79</v>
      </c>
      <c r="B721">
        <v>12</v>
      </c>
      <c r="C721">
        <v>8.21917808219178E-3</v>
      </c>
    </row>
    <row r="722" spans="1:3" x14ac:dyDescent="0.25">
      <c r="A722" t="s">
        <v>65</v>
      </c>
      <c r="B722">
        <v>14</v>
      </c>
      <c r="C722">
        <v>5.4794520547945202E-2</v>
      </c>
    </row>
    <row r="723" spans="1:3" x14ac:dyDescent="0.25">
      <c r="A723" t="s">
        <v>64</v>
      </c>
      <c r="B723">
        <v>14</v>
      </c>
      <c r="C723">
        <v>6.8493150684931503E-2</v>
      </c>
    </row>
    <row r="724" spans="1:3" x14ac:dyDescent="0.25">
      <c r="A724" t="s">
        <v>77</v>
      </c>
      <c r="B724">
        <v>16</v>
      </c>
      <c r="C724">
        <v>1.0958904109589E-2</v>
      </c>
    </row>
    <row r="725" spans="1:3" x14ac:dyDescent="0.25">
      <c r="A725" t="s">
        <v>64</v>
      </c>
      <c r="B725">
        <v>16</v>
      </c>
      <c r="C725">
        <v>5.75342465753425E-2</v>
      </c>
    </row>
    <row r="726" spans="1:3" x14ac:dyDescent="0.25">
      <c r="A726" t="s">
        <v>317</v>
      </c>
      <c r="B726">
        <v>17</v>
      </c>
      <c r="C726">
        <v>0.123287671232877</v>
      </c>
    </row>
    <row r="727" spans="1:3" x14ac:dyDescent="0.25">
      <c r="A727" t="s">
        <v>61</v>
      </c>
      <c r="B727">
        <v>19</v>
      </c>
      <c r="C727">
        <v>0.115068493150685</v>
      </c>
    </row>
    <row r="728" spans="1:3" x14ac:dyDescent="0.25">
      <c r="A728" t="s">
        <v>186</v>
      </c>
      <c r="B728">
        <v>22</v>
      </c>
      <c r="C728">
        <v>1.6438356164383602E-2</v>
      </c>
    </row>
    <row r="729" spans="1:3" x14ac:dyDescent="0.25">
      <c r="A729" t="s">
        <v>318</v>
      </c>
      <c r="B729">
        <v>1</v>
      </c>
      <c r="C729">
        <v>8.21917808219178E-3</v>
      </c>
    </row>
    <row r="730" spans="1:3" x14ac:dyDescent="0.25">
      <c r="A730" t="s">
        <v>56</v>
      </c>
      <c r="B730">
        <v>3</v>
      </c>
      <c r="C730">
        <v>1.6438356164383602E-2</v>
      </c>
    </row>
    <row r="731" spans="1:3" x14ac:dyDescent="0.25">
      <c r="A731" t="s">
        <v>68</v>
      </c>
      <c r="B731">
        <v>5</v>
      </c>
      <c r="C731">
        <v>1.0958904109589E-2</v>
      </c>
    </row>
    <row r="732" spans="1:3" x14ac:dyDescent="0.25">
      <c r="A732" t="s">
        <v>63</v>
      </c>
      <c r="B732">
        <v>6</v>
      </c>
      <c r="C732">
        <v>3.5616438356164397E-2</v>
      </c>
    </row>
    <row r="733" spans="1:3" x14ac:dyDescent="0.25">
      <c r="A733" t="s">
        <v>394</v>
      </c>
      <c r="B733">
        <v>6</v>
      </c>
      <c r="C733">
        <v>8.21917808219178E-3</v>
      </c>
    </row>
    <row r="734" spans="1:3" x14ac:dyDescent="0.25">
      <c r="A734" t="s">
        <v>74</v>
      </c>
      <c r="B734">
        <v>7</v>
      </c>
      <c r="C734">
        <v>4.9315068493150697E-2</v>
      </c>
    </row>
    <row r="735" spans="1:3" x14ac:dyDescent="0.25">
      <c r="A735" t="s">
        <v>37</v>
      </c>
      <c r="B735">
        <v>7</v>
      </c>
      <c r="C735">
        <v>1.3698630136986301E-2</v>
      </c>
    </row>
    <row r="736" spans="1:3" x14ac:dyDescent="0.25">
      <c r="A736" t="s">
        <v>393</v>
      </c>
      <c r="B736">
        <v>10</v>
      </c>
      <c r="C736">
        <v>0.150684931506849</v>
      </c>
    </row>
    <row r="737" spans="1:3" x14ac:dyDescent="0.25">
      <c r="A737" t="s">
        <v>69</v>
      </c>
      <c r="B737">
        <v>10</v>
      </c>
      <c r="C737">
        <v>3.5616438356164397E-2</v>
      </c>
    </row>
    <row r="738" spans="1:3" x14ac:dyDescent="0.25">
      <c r="A738" t="s">
        <v>313</v>
      </c>
      <c r="B738">
        <v>11</v>
      </c>
      <c r="C738">
        <v>3.8356164383561597E-2</v>
      </c>
    </row>
    <row r="739" spans="1:3" x14ac:dyDescent="0.25">
      <c r="A739" t="s">
        <v>319</v>
      </c>
      <c r="B739">
        <v>11</v>
      </c>
      <c r="C739">
        <v>2.19178082191781E-2</v>
      </c>
    </row>
    <row r="740" spans="1:3" x14ac:dyDescent="0.25">
      <c r="A740" t="s">
        <v>61</v>
      </c>
      <c r="B740">
        <v>12</v>
      </c>
      <c r="C740">
        <v>8.2191780821917804E-2</v>
      </c>
    </row>
    <row r="741" spans="1:3" x14ac:dyDescent="0.25">
      <c r="A741" t="s">
        <v>321</v>
      </c>
      <c r="B741">
        <v>13</v>
      </c>
      <c r="C741">
        <v>5.75342465753425E-2</v>
      </c>
    </row>
    <row r="742" spans="1:3" x14ac:dyDescent="0.25">
      <c r="A742" t="s">
        <v>38</v>
      </c>
      <c r="B742">
        <v>18</v>
      </c>
      <c r="C742">
        <v>0</v>
      </c>
    </row>
    <row r="743" spans="1:3" x14ac:dyDescent="0.25">
      <c r="A743" t="s">
        <v>63</v>
      </c>
      <c r="B743">
        <v>21</v>
      </c>
      <c r="C743">
        <v>5.2054794520547898E-2</v>
      </c>
    </row>
    <row r="744" spans="1:3" x14ac:dyDescent="0.25">
      <c r="A744" t="s">
        <v>291</v>
      </c>
      <c r="B744">
        <v>22</v>
      </c>
      <c r="C744">
        <v>8.21917808219178E-3</v>
      </c>
    </row>
    <row r="745" spans="1:3" x14ac:dyDescent="0.25">
      <c r="A745" t="s">
        <v>286</v>
      </c>
      <c r="B745">
        <v>1</v>
      </c>
      <c r="C745">
        <v>1.0958904109589E-2</v>
      </c>
    </row>
    <row r="746" spans="1:3" x14ac:dyDescent="0.25">
      <c r="A746" t="s">
        <v>64</v>
      </c>
      <c r="B746">
        <v>5</v>
      </c>
      <c r="C746">
        <v>1.0958904109589E-2</v>
      </c>
    </row>
    <row r="747" spans="1:3" x14ac:dyDescent="0.25">
      <c r="A747" t="s">
        <v>320</v>
      </c>
      <c r="B747">
        <v>8</v>
      </c>
      <c r="C747">
        <v>5.2054794520547898E-2</v>
      </c>
    </row>
    <row r="748" spans="1:3" x14ac:dyDescent="0.25">
      <c r="A748" t="s">
        <v>70</v>
      </c>
      <c r="B748">
        <v>8</v>
      </c>
      <c r="C748">
        <v>4.3835616438356199E-2</v>
      </c>
    </row>
    <row r="749" spans="1:3" x14ac:dyDescent="0.25">
      <c r="A749" t="s">
        <v>321</v>
      </c>
      <c r="B749">
        <v>8</v>
      </c>
      <c r="C749">
        <v>7.6712328767123306E-2</v>
      </c>
    </row>
    <row r="750" spans="1:3" x14ac:dyDescent="0.25">
      <c r="A750" t="s">
        <v>37</v>
      </c>
      <c r="B750">
        <v>9</v>
      </c>
      <c r="C750">
        <v>2.19178082191781E-2</v>
      </c>
    </row>
    <row r="751" spans="1:3" x14ac:dyDescent="0.25">
      <c r="A751" t="s">
        <v>28</v>
      </c>
      <c r="B751">
        <v>9</v>
      </c>
      <c r="C751">
        <v>2.7397260273972601E-2</v>
      </c>
    </row>
    <row r="752" spans="1:3" x14ac:dyDescent="0.25">
      <c r="A752" t="s">
        <v>319</v>
      </c>
      <c r="B752">
        <v>14</v>
      </c>
      <c r="C752">
        <v>2.19178082191781E-2</v>
      </c>
    </row>
    <row r="753" spans="1:3" x14ac:dyDescent="0.25">
      <c r="A753" t="s">
        <v>321</v>
      </c>
      <c r="B753">
        <v>14</v>
      </c>
      <c r="C753">
        <v>3.5616438356164397E-2</v>
      </c>
    </row>
    <row r="754" spans="1:3" x14ac:dyDescent="0.25">
      <c r="A754" t="s">
        <v>68</v>
      </c>
      <c r="B754">
        <v>16</v>
      </c>
      <c r="C754">
        <v>0.104109589041096</v>
      </c>
    </row>
    <row r="755" spans="1:3" x14ac:dyDescent="0.25">
      <c r="A755" t="s">
        <v>319</v>
      </c>
      <c r="B755">
        <v>16</v>
      </c>
      <c r="C755">
        <v>1.9178082191780799E-2</v>
      </c>
    </row>
    <row r="756" spans="1:3" x14ac:dyDescent="0.25">
      <c r="A756" t="s">
        <v>26</v>
      </c>
      <c r="B756">
        <v>17</v>
      </c>
      <c r="C756">
        <v>0.104109589041096</v>
      </c>
    </row>
    <row r="757" spans="1:3" x14ac:dyDescent="0.25">
      <c r="A757" t="s">
        <v>296</v>
      </c>
      <c r="B757">
        <v>21</v>
      </c>
      <c r="C757">
        <v>4.9315068493150697E-2</v>
      </c>
    </row>
    <row r="758" spans="1:3" x14ac:dyDescent="0.25">
      <c r="A758" t="s">
        <v>321</v>
      </c>
      <c r="B758">
        <v>22</v>
      </c>
      <c r="C758">
        <v>1.0958904109589E-2</v>
      </c>
    </row>
    <row r="759" spans="1:3" x14ac:dyDescent="0.25">
      <c r="A759" t="s">
        <v>69</v>
      </c>
      <c r="B759">
        <v>23</v>
      </c>
      <c r="C759">
        <v>2.46575342465753E-2</v>
      </c>
    </row>
    <row r="760" spans="1:3" x14ac:dyDescent="0.25">
      <c r="A760" t="s">
        <v>67</v>
      </c>
      <c r="B760">
        <v>23</v>
      </c>
      <c r="C760">
        <v>4.1095890410958902E-2</v>
      </c>
    </row>
    <row r="761" spans="1:3" x14ac:dyDescent="0.25">
      <c r="A761" t="s">
        <v>321</v>
      </c>
      <c r="B761">
        <v>23</v>
      </c>
      <c r="C761">
        <v>5.4794520547945197E-3</v>
      </c>
    </row>
    <row r="762" spans="1:3" x14ac:dyDescent="0.25">
      <c r="A762" t="s">
        <v>321</v>
      </c>
      <c r="B762">
        <v>0</v>
      </c>
      <c r="C762">
        <v>2.19178082191781E-2</v>
      </c>
    </row>
    <row r="763" spans="1:3" x14ac:dyDescent="0.25">
      <c r="A763" t="s">
        <v>66</v>
      </c>
      <c r="B763">
        <v>3</v>
      </c>
      <c r="C763">
        <v>5.4794520547945197E-3</v>
      </c>
    </row>
    <row r="764" spans="1:3" x14ac:dyDescent="0.25">
      <c r="A764" t="s">
        <v>188</v>
      </c>
      <c r="B764">
        <v>5</v>
      </c>
      <c r="C764">
        <v>5.4794520547945197E-3</v>
      </c>
    </row>
    <row r="765" spans="1:3" x14ac:dyDescent="0.25">
      <c r="A765" t="s">
        <v>71</v>
      </c>
      <c r="B765">
        <v>6</v>
      </c>
      <c r="C765">
        <v>1.3698630136986301E-2</v>
      </c>
    </row>
    <row r="766" spans="1:3" x14ac:dyDescent="0.25">
      <c r="A766" t="s">
        <v>63</v>
      </c>
      <c r="B766">
        <v>10</v>
      </c>
      <c r="C766">
        <v>4.1095890410958902E-2</v>
      </c>
    </row>
    <row r="767" spans="1:3" x14ac:dyDescent="0.25">
      <c r="A767" t="s">
        <v>320</v>
      </c>
      <c r="B767">
        <v>10</v>
      </c>
      <c r="C767">
        <v>8.2191780821917804E-2</v>
      </c>
    </row>
    <row r="768" spans="1:3" x14ac:dyDescent="0.25">
      <c r="A768" t="s">
        <v>313</v>
      </c>
      <c r="B768">
        <v>13</v>
      </c>
      <c r="C768">
        <v>4.3835616438356199E-2</v>
      </c>
    </row>
    <row r="769" spans="1:3" x14ac:dyDescent="0.25">
      <c r="A769" t="s">
        <v>297</v>
      </c>
      <c r="B769">
        <v>14</v>
      </c>
      <c r="C769">
        <v>1.3698630136986301E-2</v>
      </c>
    </row>
    <row r="770" spans="1:3" x14ac:dyDescent="0.25">
      <c r="A770" t="s">
        <v>321</v>
      </c>
      <c r="B770">
        <v>17</v>
      </c>
      <c r="C770">
        <v>7.3972602739726001E-2</v>
      </c>
    </row>
    <row r="771" spans="1:3" x14ac:dyDescent="0.25">
      <c r="A771" t="s">
        <v>312</v>
      </c>
      <c r="B771">
        <v>17</v>
      </c>
      <c r="C771">
        <v>7.6712328767123306E-2</v>
      </c>
    </row>
    <row r="772" spans="1:3" x14ac:dyDescent="0.25">
      <c r="A772" t="s">
        <v>189</v>
      </c>
      <c r="B772">
        <v>18</v>
      </c>
      <c r="C772">
        <v>9.8630136986301395E-2</v>
      </c>
    </row>
    <row r="773" spans="1:3" x14ac:dyDescent="0.25">
      <c r="A773" t="s">
        <v>297</v>
      </c>
      <c r="B773">
        <v>21</v>
      </c>
      <c r="C773">
        <v>1.6438356164383602E-2</v>
      </c>
    </row>
    <row r="774" spans="1:3" x14ac:dyDescent="0.25">
      <c r="A774" t="s">
        <v>190</v>
      </c>
      <c r="B774">
        <v>22</v>
      </c>
      <c r="C774">
        <v>8.21917808219178E-3</v>
      </c>
    </row>
    <row r="775" spans="1:3" x14ac:dyDescent="0.25">
      <c r="A775" t="s">
        <v>289</v>
      </c>
      <c r="B775">
        <v>6</v>
      </c>
      <c r="C775">
        <v>5.4794520547945197E-3</v>
      </c>
    </row>
    <row r="776" spans="1:3" x14ac:dyDescent="0.25">
      <c r="A776" t="s">
        <v>394</v>
      </c>
      <c r="B776">
        <v>9</v>
      </c>
      <c r="C776">
        <v>6.5753424657534199E-2</v>
      </c>
    </row>
    <row r="777" spans="1:3" x14ac:dyDescent="0.25">
      <c r="A777" t="s">
        <v>189</v>
      </c>
      <c r="B777">
        <v>9</v>
      </c>
      <c r="C777">
        <v>4.9315068493150697E-2</v>
      </c>
    </row>
    <row r="778" spans="1:3" x14ac:dyDescent="0.25">
      <c r="A778" t="s">
        <v>21</v>
      </c>
      <c r="B778">
        <v>9</v>
      </c>
      <c r="C778">
        <v>3.8356164383561597E-2</v>
      </c>
    </row>
    <row r="779" spans="1:3" x14ac:dyDescent="0.25">
      <c r="A779" t="s">
        <v>64</v>
      </c>
      <c r="B779">
        <v>9</v>
      </c>
      <c r="C779">
        <v>4.3835616438356199E-2</v>
      </c>
    </row>
    <row r="780" spans="1:3" x14ac:dyDescent="0.25">
      <c r="A780" t="s">
        <v>186</v>
      </c>
      <c r="B780">
        <v>10</v>
      </c>
      <c r="C780">
        <v>4.1095890410958902E-2</v>
      </c>
    </row>
    <row r="781" spans="1:3" x14ac:dyDescent="0.25">
      <c r="A781" t="s">
        <v>68</v>
      </c>
      <c r="B781">
        <v>10</v>
      </c>
      <c r="C781">
        <v>6.02739726027397E-2</v>
      </c>
    </row>
    <row r="782" spans="1:3" x14ac:dyDescent="0.25">
      <c r="A782" t="s">
        <v>21</v>
      </c>
      <c r="B782">
        <v>10</v>
      </c>
      <c r="C782">
        <v>1.9178082191780799E-2</v>
      </c>
    </row>
    <row r="783" spans="1:3" x14ac:dyDescent="0.25">
      <c r="A783" t="s">
        <v>312</v>
      </c>
      <c r="B783">
        <v>12</v>
      </c>
      <c r="C783">
        <v>4.1095890410958902E-2</v>
      </c>
    </row>
    <row r="784" spans="1:3" x14ac:dyDescent="0.25">
      <c r="A784" t="s">
        <v>36</v>
      </c>
      <c r="B784">
        <v>14</v>
      </c>
      <c r="C784">
        <v>6.02739726027397E-2</v>
      </c>
    </row>
    <row r="785" spans="1:3" x14ac:dyDescent="0.25">
      <c r="A785" t="s">
        <v>286</v>
      </c>
      <c r="B785">
        <v>14</v>
      </c>
      <c r="C785">
        <v>4.3835616438356199E-2</v>
      </c>
    </row>
    <row r="786" spans="1:3" x14ac:dyDescent="0.25">
      <c r="A786" t="s">
        <v>317</v>
      </c>
      <c r="B786">
        <v>15</v>
      </c>
      <c r="C786">
        <v>0.120547945205479</v>
      </c>
    </row>
    <row r="787" spans="1:3" x14ac:dyDescent="0.25">
      <c r="A787" t="s">
        <v>75</v>
      </c>
      <c r="B787">
        <v>17</v>
      </c>
      <c r="C787">
        <v>4.3835616438356199E-2</v>
      </c>
    </row>
    <row r="788" spans="1:3" x14ac:dyDescent="0.25">
      <c r="A788" t="s">
        <v>75</v>
      </c>
      <c r="B788">
        <v>18</v>
      </c>
      <c r="C788">
        <v>3.5616438356164397E-2</v>
      </c>
    </row>
    <row r="789" spans="1:3" x14ac:dyDescent="0.25">
      <c r="A789" t="s">
        <v>28</v>
      </c>
      <c r="B789">
        <v>19</v>
      </c>
      <c r="C789">
        <v>5.2054794520547898E-2</v>
      </c>
    </row>
    <row r="790" spans="1:3" x14ac:dyDescent="0.25">
      <c r="A790" t="s">
        <v>56</v>
      </c>
      <c r="B790">
        <v>21</v>
      </c>
      <c r="C790">
        <v>5.2054794520547898E-2</v>
      </c>
    </row>
    <row r="791" spans="1:3" x14ac:dyDescent="0.25">
      <c r="A791" t="s">
        <v>26</v>
      </c>
      <c r="B791">
        <v>22</v>
      </c>
      <c r="C791">
        <v>2.19178082191781E-2</v>
      </c>
    </row>
    <row r="792" spans="1:3" x14ac:dyDescent="0.25">
      <c r="A792" t="s">
        <v>188</v>
      </c>
      <c r="B792">
        <v>6</v>
      </c>
      <c r="C792">
        <v>1.9178082191780799E-2</v>
      </c>
    </row>
    <row r="793" spans="1:3" x14ac:dyDescent="0.25">
      <c r="A793" t="s">
        <v>291</v>
      </c>
      <c r="B793">
        <v>9</v>
      </c>
      <c r="C793">
        <v>5.4794520547945202E-2</v>
      </c>
    </row>
    <row r="794" spans="1:3" x14ac:dyDescent="0.25">
      <c r="A794" t="s">
        <v>321</v>
      </c>
      <c r="B794">
        <v>11</v>
      </c>
      <c r="C794">
        <v>3.0136986301369899E-2</v>
      </c>
    </row>
    <row r="795" spans="1:3" x14ac:dyDescent="0.25">
      <c r="A795" t="s">
        <v>297</v>
      </c>
      <c r="B795">
        <v>12</v>
      </c>
      <c r="C795">
        <v>1.6438356164383602E-2</v>
      </c>
    </row>
    <row r="796" spans="1:3" x14ac:dyDescent="0.25">
      <c r="A796" t="s">
        <v>73</v>
      </c>
      <c r="B796">
        <v>12</v>
      </c>
      <c r="C796">
        <v>5.4794520547945202E-2</v>
      </c>
    </row>
    <row r="797" spans="1:3" x14ac:dyDescent="0.25">
      <c r="A797" t="s">
        <v>310</v>
      </c>
      <c r="B797">
        <v>13</v>
      </c>
      <c r="C797">
        <v>3.2876712328767099E-2</v>
      </c>
    </row>
    <row r="798" spans="1:3" x14ac:dyDescent="0.25">
      <c r="A798" t="s">
        <v>288</v>
      </c>
      <c r="B798">
        <v>14</v>
      </c>
      <c r="C798">
        <v>7.9452054794520596E-2</v>
      </c>
    </row>
    <row r="799" spans="1:3" x14ac:dyDescent="0.25">
      <c r="A799" t="s">
        <v>296</v>
      </c>
      <c r="B799">
        <v>14</v>
      </c>
      <c r="C799">
        <v>2.7397260273972601E-2</v>
      </c>
    </row>
    <row r="800" spans="1:3" x14ac:dyDescent="0.25">
      <c r="A800" t="s">
        <v>17</v>
      </c>
      <c r="B800">
        <v>15</v>
      </c>
      <c r="C800">
        <v>0.104109589041096</v>
      </c>
    </row>
    <row r="801" spans="1:3" x14ac:dyDescent="0.25">
      <c r="A801" t="s">
        <v>297</v>
      </c>
      <c r="B801">
        <v>16</v>
      </c>
      <c r="C801">
        <v>2.46575342465753E-2</v>
      </c>
    </row>
    <row r="802" spans="1:3" x14ac:dyDescent="0.25">
      <c r="A802" t="s">
        <v>56</v>
      </c>
      <c r="B802">
        <v>17</v>
      </c>
      <c r="C802">
        <v>0.156164383561644</v>
      </c>
    </row>
    <row r="803" spans="1:3" x14ac:dyDescent="0.25">
      <c r="A803" t="s">
        <v>73</v>
      </c>
      <c r="B803">
        <v>17</v>
      </c>
      <c r="C803">
        <v>6.02739726027397E-2</v>
      </c>
    </row>
    <row r="804" spans="1:3" x14ac:dyDescent="0.25">
      <c r="A804" t="s">
        <v>189</v>
      </c>
      <c r="B804">
        <v>20</v>
      </c>
      <c r="C804">
        <v>3.8356164383561597E-2</v>
      </c>
    </row>
    <row r="805" spans="1:3" x14ac:dyDescent="0.25">
      <c r="A805" t="s">
        <v>76</v>
      </c>
      <c r="B805">
        <v>21</v>
      </c>
      <c r="C805">
        <v>2.7397260273972601E-2</v>
      </c>
    </row>
    <row r="806" spans="1:3" x14ac:dyDescent="0.25">
      <c r="A806" t="s">
        <v>65</v>
      </c>
      <c r="B806">
        <v>23</v>
      </c>
      <c r="C806">
        <v>3.2876712328767099E-2</v>
      </c>
    </row>
    <row r="807" spans="1:3" x14ac:dyDescent="0.25">
      <c r="A807" t="s">
        <v>64</v>
      </c>
      <c r="B807">
        <v>3</v>
      </c>
      <c r="C807">
        <v>0</v>
      </c>
    </row>
    <row r="808" spans="1:3" x14ac:dyDescent="0.25">
      <c r="A808" t="s">
        <v>58</v>
      </c>
      <c r="B808">
        <v>4</v>
      </c>
      <c r="C808">
        <v>1.3698630136986301E-2</v>
      </c>
    </row>
    <row r="809" spans="1:3" x14ac:dyDescent="0.25">
      <c r="A809" t="s">
        <v>190</v>
      </c>
      <c r="B809">
        <v>5</v>
      </c>
      <c r="C809">
        <v>2.7397260273972599E-3</v>
      </c>
    </row>
    <row r="810" spans="1:3" x14ac:dyDescent="0.25">
      <c r="A810" t="s">
        <v>74</v>
      </c>
      <c r="B810">
        <v>11</v>
      </c>
      <c r="C810">
        <v>6.8493150684931503E-2</v>
      </c>
    </row>
    <row r="811" spans="1:3" x14ac:dyDescent="0.25">
      <c r="A811" t="s">
        <v>32</v>
      </c>
      <c r="B811">
        <v>12</v>
      </c>
      <c r="C811">
        <v>1.3698630136986301E-2</v>
      </c>
    </row>
    <row r="812" spans="1:3" x14ac:dyDescent="0.25">
      <c r="A812" t="s">
        <v>296</v>
      </c>
      <c r="B812">
        <v>16</v>
      </c>
      <c r="C812">
        <v>6.02739726027397E-2</v>
      </c>
    </row>
    <row r="813" spans="1:3" x14ac:dyDescent="0.25">
      <c r="A813" t="s">
        <v>320</v>
      </c>
      <c r="B813">
        <v>17</v>
      </c>
      <c r="C813">
        <v>3.8356164383561597E-2</v>
      </c>
    </row>
    <row r="814" spans="1:3" x14ac:dyDescent="0.25">
      <c r="A814" t="s">
        <v>67</v>
      </c>
      <c r="B814">
        <v>18</v>
      </c>
      <c r="C814">
        <v>7.3972602739726001E-2</v>
      </c>
    </row>
    <row r="815" spans="1:3" x14ac:dyDescent="0.25">
      <c r="A815" t="s">
        <v>77</v>
      </c>
      <c r="B815">
        <v>20</v>
      </c>
      <c r="C815">
        <v>1.3698630136986301E-2</v>
      </c>
    </row>
    <row r="816" spans="1:3" x14ac:dyDescent="0.25">
      <c r="A816" t="s">
        <v>65</v>
      </c>
      <c r="B816">
        <v>22</v>
      </c>
      <c r="C816">
        <v>3.0136986301369899E-2</v>
      </c>
    </row>
    <row r="817" spans="1:3" x14ac:dyDescent="0.25">
      <c r="A817" t="s">
        <v>21</v>
      </c>
      <c r="B817">
        <v>22</v>
      </c>
      <c r="C817">
        <v>8.21917808219178E-3</v>
      </c>
    </row>
    <row r="818" spans="1:3" x14ac:dyDescent="0.25">
      <c r="A818" t="s">
        <v>61</v>
      </c>
      <c r="B818">
        <v>22</v>
      </c>
      <c r="C818">
        <v>2.46575342465753E-2</v>
      </c>
    </row>
    <row r="819" spans="1:3" x14ac:dyDescent="0.25">
      <c r="A819" t="s">
        <v>68</v>
      </c>
      <c r="B819">
        <v>23</v>
      </c>
      <c r="C819">
        <v>3.0136986301369899E-2</v>
      </c>
    </row>
    <row r="820" spans="1:3" x14ac:dyDescent="0.25">
      <c r="A820" t="s">
        <v>308</v>
      </c>
      <c r="B820">
        <v>23</v>
      </c>
      <c r="C820">
        <v>2.19178082191781E-2</v>
      </c>
    </row>
    <row r="821" spans="1:3" x14ac:dyDescent="0.25">
      <c r="A821" t="s">
        <v>61</v>
      </c>
      <c r="B821">
        <v>0</v>
      </c>
      <c r="C821">
        <v>2.7397260273972601E-2</v>
      </c>
    </row>
    <row r="822" spans="1:3" x14ac:dyDescent="0.25">
      <c r="A822" t="s">
        <v>60</v>
      </c>
      <c r="B822">
        <v>3</v>
      </c>
      <c r="C822">
        <v>8.21917808219178E-3</v>
      </c>
    </row>
    <row r="823" spans="1:3" x14ac:dyDescent="0.25">
      <c r="A823" t="s">
        <v>36</v>
      </c>
      <c r="B823">
        <v>8</v>
      </c>
      <c r="C823">
        <v>6.3013698630137005E-2</v>
      </c>
    </row>
    <row r="824" spans="1:3" x14ac:dyDescent="0.25">
      <c r="A824" t="s">
        <v>186</v>
      </c>
      <c r="B824">
        <v>12</v>
      </c>
      <c r="C824">
        <v>3.5616438356164397E-2</v>
      </c>
    </row>
    <row r="825" spans="1:3" x14ac:dyDescent="0.25">
      <c r="A825" t="s">
        <v>393</v>
      </c>
      <c r="B825">
        <v>13</v>
      </c>
      <c r="C825">
        <v>6.02739726027397E-2</v>
      </c>
    </row>
    <row r="826" spans="1:3" x14ac:dyDescent="0.25">
      <c r="A826" t="s">
        <v>32</v>
      </c>
      <c r="B826">
        <v>15</v>
      </c>
      <c r="C826">
        <v>1.0958904109589E-2</v>
      </c>
    </row>
    <row r="827" spans="1:3" x14ac:dyDescent="0.25">
      <c r="A827" t="s">
        <v>71</v>
      </c>
      <c r="B827">
        <v>17</v>
      </c>
      <c r="C827">
        <v>2.46575342465753E-2</v>
      </c>
    </row>
    <row r="828" spans="1:3" x14ac:dyDescent="0.25">
      <c r="A828" t="s">
        <v>290</v>
      </c>
      <c r="B828">
        <v>17</v>
      </c>
      <c r="C828">
        <v>3.2876712328767099E-2</v>
      </c>
    </row>
    <row r="829" spans="1:3" x14ac:dyDescent="0.25">
      <c r="A829" t="s">
        <v>37</v>
      </c>
      <c r="B829">
        <v>18</v>
      </c>
      <c r="C829">
        <v>1.3698630136986301E-2</v>
      </c>
    </row>
    <row r="830" spans="1:3" x14ac:dyDescent="0.25">
      <c r="A830" t="s">
        <v>66</v>
      </c>
      <c r="B830">
        <v>19</v>
      </c>
      <c r="C830">
        <v>7.1232876712328794E-2</v>
      </c>
    </row>
    <row r="831" spans="1:3" x14ac:dyDescent="0.25">
      <c r="A831" t="s">
        <v>71</v>
      </c>
      <c r="B831">
        <v>22</v>
      </c>
      <c r="C831">
        <v>5.4794520547945197E-3</v>
      </c>
    </row>
    <row r="832" spans="1:3" x14ac:dyDescent="0.25">
      <c r="A832" t="s">
        <v>184</v>
      </c>
      <c r="B832">
        <v>23</v>
      </c>
      <c r="C832">
        <v>5.2054794520547898E-2</v>
      </c>
    </row>
    <row r="833" spans="1:3" x14ac:dyDescent="0.25">
      <c r="A833" t="s">
        <v>79</v>
      </c>
      <c r="B833">
        <v>8</v>
      </c>
      <c r="C833">
        <v>1.9178082191780799E-2</v>
      </c>
    </row>
    <row r="834" spans="1:3" x14ac:dyDescent="0.25">
      <c r="A834" t="s">
        <v>190</v>
      </c>
      <c r="B834">
        <v>8</v>
      </c>
      <c r="C834">
        <v>1.0958904109589E-2</v>
      </c>
    </row>
    <row r="835" spans="1:3" x14ac:dyDescent="0.25">
      <c r="A835" t="s">
        <v>308</v>
      </c>
      <c r="B835">
        <v>9</v>
      </c>
      <c r="C835">
        <v>2.7397260273972601E-2</v>
      </c>
    </row>
    <row r="836" spans="1:3" x14ac:dyDescent="0.25">
      <c r="A836" t="s">
        <v>296</v>
      </c>
      <c r="B836">
        <v>11</v>
      </c>
      <c r="C836">
        <v>1.6438356164383602E-2</v>
      </c>
    </row>
    <row r="837" spans="1:3" x14ac:dyDescent="0.25">
      <c r="A837" t="s">
        <v>64</v>
      </c>
      <c r="B837">
        <v>12</v>
      </c>
      <c r="C837">
        <v>7.9452054794520596E-2</v>
      </c>
    </row>
    <row r="838" spans="1:3" x14ac:dyDescent="0.25">
      <c r="A838" t="s">
        <v>297</v>
      </c>
      <c r="B838">
        <v>13</v>
      </c>
      <c r="C838">
        <v>1.9178082191780799E-2</v>
      </c>
    </row>
    <row r="839" spans="1:3" x14ac:dyDescent="0.25">
      <c r="A839" t="s">
        <v>309</v>
      </c>
      <c r="B839">
        <v>16</v>
      </c>
      <c r="C839">
        <v>1.9178082191780799E-2</v>
      </c>
    </row>
    <row r="840" spans="1:3" x14ac:dyDescent="0.25">
      <c r="A840" t="s">
        <v>316</v>
      </c>
      <c r="B840">
        <v>18</v>
      </c>
      <c r="C840">
        <v>0.2</v>
      </c>
    </row>
    <row r="841" spans="1:3" x14ac:dyDescent="0.25">
      <c r="A841" t="s">
        <v>32</v>
      </c>
      <c r="B841">
        <v>18</v>
      </c>
      <c r="C841">
        <v>1.3698630136986301E-2</v>
      </c>
    </row>
    <row r="842" spans="1:3" x14ac:dyDescent="0.25">
      <c r="A842" t="s">
        <v>26</v>
      </c>
      <c r="B842">
        <v>21</v>
      </c>
      <c r="C842">
        <v>3.2876712328767099E-2</v>
      </c>
    </row>
    <row r="843" spans="1:3" x14ac:dyDescent="0.25">
      <c r="A843" t="s">
        <v>188</v>
      </c>
      <c r="B843">
        <v>23</v>
      </c>
      <c r="C843">
        <v>8.21917808219178E-3</v>
      </c>
    </row>
    <row r="844" spans="1:3" x14ac:dyDescent="0.25">
      <c r="A844" t="s">
        <v>66</v>
      </c>
      <c r="B844">
        <v>2</v>
      </c>
      <c r="C844">
        <v>1.9178082191780799E-2</v>
      </c>
    </row>
    <row r="845" spans="1:3" x14ac:dyDescent="0.25">
      <c r="A845" t="s">
        <v>74</v>
      </c>
      <c r="B845">
        <v>5</v>
      </c>
      <c r="C845">
        <v>5.4794520547945197E-3</v>
      </c>
    </row>
    <row r="846" spans="1:3" x14ac:dyDescent="0.25">
      <c r="A846" t="s">
        <v>312</v>
      </c>
      <c r="B846">
        <v>13</v>
      </c>
      <c r="C846">
        <v>5.4794520547945202E-2</v>
      </c>
    </row>
    <row r="847" spans="1:3" x14ac:dyDescent="0.25">
      <c r="A847" t="s">
        <v>394</v>
      </c>
      <c r="B847">
        <v>17</v>
      </c>
      <c r="C847">
        <v>3.0136986301369899E-2</v>
      </c>
    </row>
    <row r="848" spans="1:3" x14ac:dyDescent="0.25">
      <c r="A848" t="s">
        <v>184</v>
      </c>
      <c r="B848">
        <v>17</v>
      </c>
      <c r="C848">
        <v>0.145205479452055</v>
      </c>
    </row>
    <row r="849" spans="1:3" x14ac:dyDescent="0.25">
      <c r="A849" t="s">
        <v>309</v>
      </c>
      <c r="B849">
        <v>19</v>
      </c>
      <c r="C849">
        <v>2.7397260273972599E-3</v>
      </c>
    </row>
    <row r="850" spans="1:3" x14ac:dyDescent="0.25">
      <c r="A850" t="s">
        <v>17</v>
      </c>
      <c r="B850">
        <v>21</v>
      </c>
      <c r="C850">
        <v>7.9452054794520596E-2</v>
      </c>
    </row>
    <row r="851" spans="1:3" x14ac:dyDescent="0.25">
      <c r="A851" t="s">
        <v>70</v>
      </c>
      <c r="B851">
        <v>23</v>
      </c>
      <c r="C851">
        <v>3.2876712328767099E-2</v>
      </c>
    </row>
    <row r="852" spans="1:3" x14ac:dyDescent="0.25">
      <c r="A852" t="s">
        <v>190</v>
      </c>
      <c r="B852">
        <v>0</v>
      </c>
      <c r="C852">
        <v>8.21917808219178E-3</v>
      </c>
    </row>
    <row r="853" spans="1:3" x14ac:dyDescent="0.25">
      <c r="A853" t="s">
        <v>36</v>
      </c>
      <c r="B853">
        <v>5</v>
      </c>
      <c r="C853">
        <v>8.21917808219178E-3</v>
      </c>
    </row>
    <row r="854" spans="1:3" x14ac:dyDescent="0.25">
      <c r="A854" t="s">
        <v>296</v>
      </c>
      <c r="B854">
        <v>10</v>
      </c>
      <c r="C854">
        <v>5.75342465753425E-2</v>
      </c>
    </row>
    <row r="855" spans="1:3" x14ac:dyDescent="0.25">
      <c r="A855" t="s">
        <v>79</v>
      </c>
      <c r="B855">
        <v>13</v>
      </c>
      <c r="C855">
        <v>1.3698630136986301E-2</v>
      </c>
    </row>
    <row r="856" spans="1:3" x14ac:dyDescent="0.25">
      <c r="A856" t="s">
        <v>77</v>
      </c>
      <c r="B856">
        <v>19</v>
      </c>
      <c r="C856">
        <v>1.3698630136986301E-2</v>
      </c>
    </row>
    <row r="857" spans="1:3" x14ac:dyDescent="0.25">
      <c r="A857" t="s">
        <v>185</v>
      </c>
      <c r="B857">
        <v>20</v>
      </c>
      <c r="C857">
        <v>0.104109589041096</v>
      </c>
    </row>
    <row r="858" spans="1:3" x14ac:dyDescent="0.25">
      <c r="A858" t="s">
        <v>290</v>
      </c>
      <c r="B858">
        <v>22</v>
      </c>
      <c r="C858">
        <v>3.0136986301369899E-2</v>
      </c>
    </row>
    <row r="859" spans="1:3" x14ac:dyDescent="0.25">
      <c r="A859" t="s">
        <v>17</v>
      </c>
      <c r="B859">
        <v>22</v>
      </c>
      <c r="C859">
        <v>4.9315068493150697E-2</v>
      </c>
    </row>
    <row r="860" spans="1:3" x14ac:dyDescent="0.25">
      <c r="A860" t="s">
        <v>56</v>
      </c>
      <c r="B860">
        <v>0</v>
      </c>
      <c r="C860">
        <v>2.7397260273972601E-2</v>
      </c>
    </row>
    <row r="861" spans="1:3" x14ac:dyDescent="0.25">
      <c r="A861" t="s">
        <v>308</v>
      </c>
      <c r="B861">
        <v>4</v>
      </c>
      <c r="C861">
        <v>8.21917808219178E-3</v>
      </c>
    </row>
    <row r="862" spans="1:3" x14ac:dyDescent="0.25">
      <c r="A862" t="s">
        <v>70</v>
      </c>
      <c r="B862">
        <v>6</v>
      </c>
      <c r="C862">
        <v>1.6438356164383602E-2</v>
      </c>
    </row>
    <row r="863" spans="1:3" x14ac:dyDescent="0.25">
      <c r="A863" t="s">
        <v>38</v>
      </c>
      <c r="B863">
        <v>10</v>
      </c>
      <c r="C863">
        <v>5.4794520547945197E-3</v>
      </c>
    </row>
    <row r="864" spans="1:3" x14ac:dyDescent="0.25">
      <c r="A864" t="s">
        <v>289</v>
      </c>
      <c r="B864">
        <v>12</v>
      </c>
      <c r="C864">
        <v>1.0958904109589E-2</v>
      </c>
    </row>
    <row r="865" spans="1:3" x14ac:dyDescent="0.25">
      <c r="A865" t="s">
        <v>36</v>
      </c>
      <c r="B865">
        <v>12</v>
      </c>
      <c r="C865">
        <v>4.65753424657534E-2</v>
      </c>
    </row>
    <row r="866" spans="1:3" x14ac:dyDescent="0.25">
      <c r="A866" t="s">
        <v>318</v>
      </c>
      <c r="B866">
        <v>12</v>
      </c>
      <c r="C866">
        <v>1.6438356164383602E-2</v>
      </c>
    </row>
    <row r="867" spans="1:3" x14ac:dyDescent="0.25">
      <c r="A867" t="s">
        <v>32</v>
      </c>
      <c r="B867">
        <v>13</v>
      </c>
      <c r="C867">
        <v>1.6438356164383602E-2</v>
      </c>
    </row>
    <row r="868" spans="1:3" x14ac:dyDescent="0.25">
      <c r="A868" t="s">
        <v>36</v>
      </c>
      <c r="B868">
        <v>13</v>
      </c>
      <c r="C868">
        <v>4.1095890410958902E-2</v>
      </c>
    </row>
    <row r="869" spans="1:3" x14ac:dyDescent="0.25">
      <c r="A869" t="s">
        <v>291</v>
      </c>
      <c r="B869">
        <v>15</v>
      </c>
      <c r="C869">
        <v>2.7397260273972601E-2</v>
      </c>
    </row>
    <row r="870" spans="1:3" x14ac:dyDescent="0.25">
      <c r="A870" t="s">
        <v>70</v>
      </c>
      <c r="B870">
        <v>0</v>
      </c>
      <c r="C870">
        <v>1.6438356164383602E-2</v>
      </c>
    </row>
    <row r="871" spans="1:3" x14ac:dyDescent="0.25">
      <c r="A871" t="s">
        <v>36</v>
      </c>
      <c r="B871">
        <v>7</v>
      </c>
      <c r="C871">
        <v>2.46575342465753E-2</v>
      </c>
    </row>
    <row r="872" spans="1:3" x14ac:dyDescent="0.25">
      <c r="A872" t="s">
        <v>72</v>
      </c>
      <c r="B872">
        <v>9</v>
      </c>
      <c r="C872">
        <v>5.2054794520547898E-2</v>
      </c>
    </row>
    <row r="873" spans="1:3" x14ac:dyDescent="0.25">
      <c r="A873" t="s">
        <v>186</v>
      </c>
      <c r="B873">
        <v>9</v>
      </c>
      <c r="C873">
        <v>1.9178082191780799E-2</v>
      </c>
    </row>
    <row r="874" spans="1:3" x14ac:dyDescent="0.25">
      <c r="A874" t="s">
        <v>75</v>
      </c>
      <c r="B874">
        <v>10</v>
      </c>
      <c r="C874">
        <v>4.1095890410958902E-2</v>
      </c>
    </row>
    <row r="875" spans="1:3" x14ac:dyDescent="0.25">
      <c r="A875" t="s">
        <v>77</v>
      </c>
      <c r="B875">
        <v>11</v>
      </c>
      <c r="C875">
        <v>1.6438356164383602E-2</v>
      </c>
    </row>
    <row r="876" spans="1:3" x14ac:dyDescent="0.25">
      <c r="A876" t="s">
        <v>37</v>
      </c>
      <c r="B876">
        <v>12</v>
      </c>
      <c r="C876">
        <v>1.6438356164383602E-2</v>
      </c>
    </row>
    <row r="877" spans="1:3" x14ac:dyDescent="0.25">
      <c r="A877" t="s">
        <v>320</v>
      </c>
      <c r="B877">
        <v>14</v>
      </c>
      <c r="C877">
        <v>2.46575342465753E-2</v>
      </c>
    </row>
    <row r="878" spans="1:3" x14ac:dyDescent="0.25">
      <c r="A878" t="s">
        <v>78</v>
      </c>
      <c r="B878">
        <v>16</v>
      </c>
      <c r="C878">
        <v>1.0958904109589E-2</v>
      </c>
    </row>
    <row r="879" spans="1:3" x14ac:dyDescent="0.25">
      <c r="A879" t="s">
        <v>79</v>
      </c>
      <c r="B879">
        <v>17</v>
      </c>
      <c r="C879">
        <v>1.3698630136986301E-2</v>
      </c>
    </row>
    <row r="880" spans="1:3" x14ac:dyDescent="0.25">
      <c r="A880" t="s">
        <v>76</v>
      </c>
      <c r="B880">
        <v>17</v>
      </c>
      <c r="C880">
        <v>3.0136986301369899E-2</v>
      </c>
    </row>
    <row r="881" spans="1:3" x14ac:dyDescent="0.25">
      <c r="A881" t="s">
        <v>36</v>
      </c>
      <c r="B881">
        <v>20</v>
      </c>
      <c r="C881">
        <v>4.1095890410958902E-2</v>
      </c>
    </row>
    <row r="882" spans="1:3" x14ac:dyDescent="0.25">
      <c r="A882" t="s">
        <v>72</v>
      </c>
      <c r="B882">
        <v>20</v>
      </c>
      <c r="C882">
        <v>2.19178082191781E-2</v>
      </c>
    </row>
    <row r="883" spans="1:3" x14ac:dyDescent="0.25">
      <c r="A883" t="s">
        <v>312</v>
      </c>
      <c r="B883">
        <v>20</v>
      </c>
      <c r="C883">
        <v>3.2876712328767099E-2</v>
      </c>
    </row>
    <row r="884" spans="1:3" x14ac:dyDescent="0.25">
      <c r="A884" t="s">
        <v>78</v>
      </c>
      <c r="B884">
        <v>0</v>
      </c>
      <c r="C884">
        <v>1.0958904109589E-2</v>
      </c>
    </row>
    <row r="885" spans="1:3" x14ac:dyDescent="0.25">
      <c r="A885" t="s">
        <v>290</v>
      </c>
      <c r="B885">
        <v>1</v>
      </c>
      <c r="C885">
        <v>1.0958904109589E-2</v>
      </c>
    </row>
    <row r="886" spans="1:3" x14ac:dyDescent="0.25">
      <c r="A886" t="s">
        <v>76</v>
      </c>
      <c r="B886">
        <v>5</v>
      </c>
      <c r="C886">
        <v>5.4794520547945197E-3</v>
      </c>
    </row>
    <row r="887" spans="1:3" x14ac:dyDescent="0.25">
      <c r="A887" t="s">
        <v>62</v>
      </c>
      <c r="B887">
        <v>5</v>
      </c>
      <c r="C887">
        <v>1.0958904109589E-2</v>
      </c>
    </row>
    <row r="888" spans="1:3" x14ac:dyDescent="0.25">
      <c r="A888" t="s">
        <v>393</v>
      </c>
      <c r="B888">
        <v>15</v>
      </c>
      <c r="C888">
        <v>7.1232876712328794E-2</v>
      </c>
    </row>
    <row r="889" spans="1:3" x14ac:dyDescent="0.25">
      <c r="A889" t="s">
        <v>287</v>
      </c>
      <c r="B889">
        <v>15</v>
      </c>
      <c r="C889">
        <v>5.4794520547945197E-3</v>
      </c>
    </row>
    <row r="890" spans="1:3" x14ac:dyDescent="0.25">
      <c r="A890" t="s">
        <v>316</v>
      </c>
      <c r="B890">
        <v>16</v>
      </c>
      <c r="C890">
        <v>0.115068493150685</v>
      </c>
    </row>
    <row r="891" spans="1:3" x14ac:dyDescent="0.25">
      <c r="A891" t="s">
        <v>287</v>
      </c>
      <c r="B891">
        <v>16</v>
      </c>
      <c r="C891">
        <v>5.4794520547945197E-3</v>
      </c>
    </row>
    <row r="892" spans="1:3" x14ac:dyDescent="0.25">
      <c r="A892" t="s">
        <v>77</v>
      </c>
      <c r="B892">
        <v>18</v>
      </c>
      <c r="C892">
        <v>1.3698630136986301E-2</v>
      </c>
    </row>
    <row r="893" spans="1:3" x14ac:dyDescent="0.25">
      <c r="A893" t="s">
        <v>37</v>
      </c>
      <c r="B893">
        <v>0</v>
      </c>
      <c r="C893">
        <v>1.0958904109589E-2</v>
      </c>
    </row>
    <row r="894" spans="1:3" x14ac:dyDescent="0.25">
      <c r="A894" t="s">
        <v>63</v>
      </c>
      <c r="B894">
        <v>1</v>
      </c>
      <c r="C894">
        <v>1.9178082191780799E-2</v>
      </c>
    </row>
    <row r="895" spans="1:3" x14ac:dyDescent="0.25">
      <c r="A895" t="s">
        <v>61</v>
      </c>
      <c r="B895">
        <v>3</v>
      </c>
      <c r="C895">
        <v>1.6438356164383602E-2</v>
      </c>
    </row>
    <row r="896" spans="1:3" x14ac:dyDescent="0.25">
      <c r="A896" t="s">
        <v>61</v>
      </c>
      <c r="B896">
        <v>4</v>
      </c>
      <c r="C896">
        <v>1.3698630136986301E-2</v>
      </c>
    </row>
    <row r="897" spans="1:3" x14ac:dyDescent="0.25">
      <c r="A897" t="s">
        <v>393</v>
      </c>
      <c r="B897">
        <v>4</v>
      </c>
      <c r="C897">
        <v>1.3698630136986301E-2</v>
      </c>
    </row>
    <row r="898" spans="1:3" x14ac:dyDescent="0.25">
      <c r="A898" t="s">
        <v>287</v>
      </c>
      <c r="B898">
        <v>19</v>
      </c>
      <c r="C898">
        <v>1.3698630136986301E-2</v>
      </c>
    </row>
    <row r="899" spans="1:3" x14ac:dyDescent="0.25">
      <c r="A899" t="s">
        <v>61</v>
      </c>
      <c r="B899">
        <v>20</v>
      </c>
      <c r="C899">
        <v>7.1232876712328794E-2</v>
      </c>
    </row>
    <row r="900" spans="1:3" x14ac:dyDescent="0.25">
      <c r="A900" t="s">
        <v>70</v>
      </c>
      <c r="B900">
        <v>22</v>
      </c>
      <c r="C900">
        <v>2.46575342465753E-2</v>
      </c>
    </row>
    <row r="901" spans="1:3" x14ac:dyDescent="0.25">
      <c r="A901" t="s">
        <v>63</v>
      </c>
      <c r="B901">
        <v>23</v>
      </c>
      <c r="C901">
        <v>1.9178082191780799E-2</v>
      </c>
    </row>
    <row r="902" spans="1:3" x14ac:dyDescent="0.25">
      <c r="A902" t="s">
        <v>60</v>
      </c>
      <c r="B902">
        <v>0</v>
      </c>
      <c r="C902">
        <v>2.7397260273972601E-2</v>
      </c>
    </row>
    <row r="903" spans="1:3" x14ac:dyDescent="0.25">
      <c r="A903" t="s">
        <v>188</v>
      </c>
      <c r="B903">
        <v>1</v>
      </c>
      <c r="C903">
        <v>1.0958904109589E-2</v>
      </c>
    </row>
    <row r="904" spans="1:3" x14ac:dyDescent="0.25">
      <c r="A904" t="s">
        <v>60</v>
      </c>
      <c r="B904">
        <v>2</v>
      </c>
      <c r="C904">
        <v>8.21917808219178E-3</v>
      </c>
    </row>
    <row r="905" spans="1:3" x14ac:dyDescent="0.25">
      <c r="A905" t="s">
        <v>290</v>
      </c>
      <c r="B905">
        <v>6</v>
      </c>
      <c r="C905">
        <v>5.4794520547945197E-3</v>
      </c>
    </row>
    <row r="906" spans="1:3" x14ac:dyDescent="0.25">
      <c r="A906" t="s">
        <v>316</v>
      </c>
      <c r="B906">
        <v>6</v>
      </c>
      <c r="C906">
        <v>3.8356164383561597E-2</v>
      </c>
    </row>
    <row r="907" spans="1:3" x14ac:dyDescent="0.25">
      <c r="A907" t="s">
        <v>66</v>
      </c>
      <c r="B907">
        <v>6</v>
      </c>
      <c r="C907">
        <v>3.2876712328767099E-2</v>
      </c>
    </row>
    <row r="908" spans="1:3" x14ac:dyDescent="0.25">
      <c r="A908" t="s">
        <v>291</v>
      </c>
      <c r="B908">
        <v>8</v>
      </c>
      <c r="C908">
        <v>3.8356164383561597E-2</v>
      </c>
    </row>
    <row r="909" spans="1:3" x14ac:dyDescent="0.25">
      <c r="A909" t="s">
        <v>77</v>
      </c>
      <c r="B909">
        <v>8</v>
      </c>
      <c r="C909">
        <v>2.46575342465753E-2</v>
      </c>
    </row>
    <row r="910" spans="1:3" x14ac:dyDescent="0.25">
      <c r="A910" t="s">
        <v>77</v>
      </c>
      <c r="B910">
        <v>13</v>
      </c>
      <c r="C910">
        <v>1.0958904109589E-2</v>
      </c>
    </row>
    <row r="911" spans="1:3" x14ac:dyDescent="0.25">
      <c r="A911" t="s">
        <v>310</v>
      </c>
      <c r="B911">
        <v>19</v>
      </c>
      <c r="C911">
        <v>3.0136986301369899E-2</v>
      </c>
    </row>
    <row r="912" spans="1:3" x14ac:dyDescent="0.25">
      <c r="A912" t="s">
        <v>190</v>
      </c>
      <c r="B912">
        <v>19</v>
      </c>
      <c r="C912">
        <v>0</v>
      </c>
    </row>
    <row r="913" spans="1:3" x14ac:dyDescent="0.25">
      <c r="A913" t="s">
        <v>37</v>
      </c>
      <c r="B913">
        <v>21</v>
      </c>
      <c r="C913">
        <v>5.4794520547945197E-3</v>
      </c>
    </row>
    <row r="914" spans="1:3" x14ac:dyDescent="0.25">
      <c r="A914" t="s">
        <v>56</v>
      </c>
      <c r="B914">
        <v>22</v>
      </c>
      <c r="C914">
        <v>5.2054794520547898E-2</v>
      </c>
    </row>
    <row r="915" spans="1:3" x14ac:dyDescent="0.25">
      <c r="A915" t="s">
        <v>291</v>
      </c>
      <c r="B915">
        <v>0</v>
      </c>
      <c r="C915">
        <v>1.0958904109589E-2</v>
      </c>
    </row>
    <row r="916" spans="1:3" x14ac:dyDescent="0.25">
      <c r="A916" t="s">
        <v>68</v>
      </c>
      <c r="B916">
        <v>4</v>
      </c>
      <c r="C916">
        <v>8.21917808219178E-3</v>
      </c>
    </row>
    <row r="917" spans="1:3" x14ac:dyDescent="0.25">
      <c r="A917" t="s">
        <v>190</v>
      </c>
      <c r="B917">
        <v>15</v>
      </c>
      <c r="C917">
        <v>5.4794520547945197E-3</v>
      </c>
    </row>
    <row r="918" spans="1:3" x14ac:dyDescent="0.25">
      <c r="A918" t="s">
        <v>74</v>
      </c>
      <c r="B918">
        <v>15</v>
      </c>
      <c r="C918">
        <v>4.3835616438356199E-2</v>
      </c>
    </row>
    <row r="919" spans="1:3" x14ac:dyDescent="0.25">
      <c r="A919" t="s">
        <v>313</v>
      </c>
      <c r="B919">
        <v>17</v>
      </c>
      <c r="C919">
        <v>4.1095890410958902E-2</v>
      </c>
    </row>
    <row r="920" spans="1:3" x14ac:dyDescent="0.25">
      <c r="A920" t="s">
        <v>32</v>
      </c>
      <c r="B920">
        <v>17</v>
      </c>
      <c r="C920">
        <v>1.9178082191780799E-2</v>
      </c>
    </row>
    <row r="921" spans="1:3" x14ac:dyDescent="0.25">
      <c r="A921" t="s">
        <v>78</v>
      </c>
      <c r="B921">
        <v>19</v>
      </c>
      <c r="C921">
        <v>8.21917808219178E-3</v>
      </c>
    </row>
    <row r="922" spans="1:3" x14ac:dyDescent="0.25">
      <c r="A922" t="s">
        <v>184</v>
      </c>
      <c r="B922">
        <v>1</v>
      </c>
      <c r="C922">
        <v>2.7397260273972601E-2</v>
      </c>
    </row>
    <row r="923" spans="1:3" x14ac:dyDescent="0.25">
      <c r="A923" t="s">
        <v>183</v>
      </c>
      <c r="B923">
        <v>2</v>
      </c>
      <c r="C923">
        <v>1.6438356164383602E-2</v>
      </c>
    </row>
    <row r="924" spans="1:3" x14ac:dyDescent="0.25">
      <c r="A924" t="s">
        <v>309</v>
      </c>
      <c r="B924">
        <v>10</v>
      </c>
      <c r="C924">
        <v>3.8356164383561597E-2</v>
      </c>
    </row>
    <row r="925" spans="1:3" x14ac:dyDescent="0.25">
      <c r="A925" t="s">
        <v>289</v>
      </c>
      <c r="B925">
        <v>14</v>
      </c>
      <c r="C925">
        <v>2.19178082191781E-2</v>
      </c>
    </row>
    <row r="926" spans="1:3" x14ac:dyDescent="0.25">
      <c r="A926" t="s">
        <v>291</v>
      </c>
      <c r="B926">
        <v>14</v>
      </c>
      <c r="C926">
        <v>2.19178082191781E-2</v>
      </c>
    </row>
    <row r="927" spans="1:3" x14ac:dyDescent="0.25">
      <c r="A927" t="s">
        <v>318</v>
      </c>
      <c r="B927">
        <v>17</v>
      </c>
      <c r="C927">
        <v>1.3698630136986301E-2</v>
      </c>
    </row>
    <row r="928" spans="1:3" x14ac:dyDescent="0.25">
      <c r="A928" t="s">
        <v>308</v>
      </c>
      <c r="B928">
        <v>22</v>
      </c>
      <c r="C928">
        <v>5.4794520547945197E-3</v>
      </c>
    </row>
    <row r="929" spans="1:3" x14ac:dyDescent="0.25">
      <c r="A929" t="s">
        <v>73</v>
      </c>
      <c r="B929">
        <v>0</v>
      </c>
      <c r="C929">
        <v>1.3698630136986301E-2</v>
      </c>
    </row>
    <row r="930" spans="1:3" x14ac:dyDescent="0.25">
      <c r="A930" t="s">
        <v>308</v>
      </c>
      <c r="B930">
        <v>1</v>
      </c>
      <c r="C930">
        <v>1.6438356164383602E-2</v>
      </c>
    </row>
    <row r="931" spans="1:3" x14ac:dyDescent="0.25">
      <c r="A931" t="s">
        <v>320</v>
      </c>
      <c r="B931">
        <v>1</v>
      </c>
      <c r="C931">
        <v>5.4794520547945197E-3</v>
      </c>
    </row>
    <row r="932" spans="1:3" x14ac:dyDescent="0.25">
      <c r="A932" t="s">
        <v>67</v>
      </c>
      <c r="B932">
        <v>4</v>
      </c>
      <c r="C932">
        <v>1.6438356164383602E-2</v>
      </c>
    </row>
    <row r="933" spans="1:3" x14ac:dyDescent="0.25">
      <c r="A933" t="s">
        <v>393</v>
      </c>
      <c r="B933">
        <v>5</v>
      </c>
      <c r="C933">
        <v>1.6438356164383602E-2</v>
      </c>
    </row>
    <row r="934" spans="1:3" x14ac:dyDescent="0.25">
      <c r="A934" t="s">
        <v>309</v>
      </c>
      <c r="B934">
        <v>7</v>
      </c>
      <c r="C934">
        <v>1.6438356164383602E-2</v>
      </c>
    </row>
    <row r="935" spans="1:3" x14ac:dyDescent="0.25">
      <c r="A935" t="s">
        <v>296</v>
      </c>
      <c r="B935">
        <v>7</v>
      </c>
      <c r="C935">
        <v>5.2054794520547898E-2</v>
      </c>
    </row>
    <row r="936" spans="1:3" x14ac:dyDescent="0.25">
      <c r="A936" t="s">
        <v>297</v>
      </c>
      <c r="B936">
        <v>9</v>
      </c>
      <c r="C936">
        <v>1.3698630136986301E-2</v>
      </c>
    </row>
    <row r="937" spans="1:3" x14ac:dyDescent="0.25">
      <c r="A937" t="s">
        <v>72</v>
      </c>
      <c r="B937">
        <v>10</v>
      </c>
      <c r="C937">
        <v>5.4794520547945202E-2</v>
      </c>
    </row>
    <row r="938" spans="1:3" x14ac:dyDescent="0.25">
      <c r="A938" t="s">
        <v>64</v>
      </c>
      <c r="B938">
        <v>7</v>
      </c>
      <c r="C938">
        <v>4.9315068493150697E-2</v>
      </c>
    </row>
    <row r="939" spans="1:3" x14ac:dyDescent="0.25">
      <c r="A939" t="s">
        <v>286</v>
      </c>
      <c r="B939">
        <v>10</v>
      </c>
      <c r="C939">
        <v>1.9178082191780799E-2</v>
      </c>
    </row>
    <row r="940" spans="1:3" x14ac:dyDescent="0.25">
      <c r="A940" t="s">
        <v>190</v>
      </c>
      <c r="B940">
        <v>12</v>
      </c>
      <c r="C940">
        <v>1.6438356164383602E-2</v>
      </c>
    </row>
    <row r="941" spans="1:3" x14ac:dyDescent="0.25">
      <c r="A941" t="s">
        <v>77</v>
      </c>
      <c r="B941">
        <v>12</v>
      </c>
      <c r="C941">
        <v>1.6438356164383602E-2</v>
      </c>
    </row>
    <row r="942" spans="1:3" x14ac:dyDescent="0.25">
      <c r="A942" t="s">
        <v>286</v>
      </c>
      <c r="B942">
        <v>12</v>
      </c>
      <c r="C942">
        <v>4.1095890410958902E-2</v>
      </c>
    </row>
    <row r="943" spans="1:3" x14ac:dyDescent="0.25">
      <c r="A943" t="s">
        <v>288</v>
      </c>
      <c r="B943">
        <v>12</v>
      </c>
      <c r="C943">
        <v>5.75342465753425E-2</v>
      </c>
    </row>
    <row r="944" spans="1:3" x14ac:dyDescent="0.25">
      <c r="A944" t="s">
        <v>297</v>
      </c>
      <c r="B944">
        <v>18</v>
      </c>
      <c r="C944">
        <v>1.0958904109589E-2</v>
      </c>
    </row>
    <row r="945" spans="1:3" x14ac:dyDescent="0.25">
      <c r="A945" t="s">
        <v>78</v>
      </c>
      <c r="B945">
        <v>18</v>
      </c>
      <c r="C945">
        <v>1.9178082191780799E-2</v>
      </c>
    </row>
    <row r="946" spans="1:3" x14ac:dyDescent="0.25">
      <c r="A946" t="s">
        <v>393</v>
      </c>
      <c r="B946">
        <v>0</v>
      </c>
      <c r="C946">
        <v>2.7397260273972601E-2</v>
      </c>
    </row>
    <row r="947" spans="1:3" x14ac:dyDescent="0.25">
      <c r="A947" t="s">
        <v>321</v>
      </c>
      <c r="B947">
        <v>1</v>
      </c>
      <c r="C947">
        <v>2.7397260273972601E-2</v>
      </c>
    </row>
    <row r="948" spans="1:3" x14ac:dyDescent="0.25">
      <c r="A948" t="s">
        <v>71</v>
      </c>
      <c r="B948">
        <v>1</v>
      </c>
      <c r="C948">
        <v>8.21917808219178E-3</v>
      </c>
    </row>
    <row r="949" spans="1:3" x14ac:dyDescent="0.25">
      <c r="A949" t="s">
        <v>185</v>
      </c>
      <c r="B949">
        <v>2</v>
      </c>
      <c r="C949">
        <v>3.0136986301369899E-2</v>
      </c>
    </row>
    <row r="950" spans="1:3" x14ac:dyDescent="0.25">
      <c r="A950" t="s">
        <v>317</v>
      </c>
      <c r="B950">
        <v>5</v>
      </c>
      <c r="C950">
        <v>1.9178082191780799E-2</v>
      </c>
    </row>
    <row r="951" spans="1:3" x14ac:dyDescent="0.25">
      <c r="A951" t="s">
        <v>317</v>
      </c>
      <c r="B951">
        <v>6</v>
      </c>
      <c r="C951">
        <v>3.0136986301369899E-2</v>
      </c>
    </row>
    <row r="952" spans="1:3" x14ac:dyDescent="0.25">
      <c r="A952" t="s">
        <v>187</v>
      </c>
      <c r="B952">
        <v>6</v>
      </c>
      <c r="C952">
        <v>1.3698630136986301E-2</v>
      </c>
    </row>
    <row r="953" spans="1:3" x14ac:dyDescent="0.25">
      <c r="A953" t="s">
        <v>291</v>
      </c>
      <c r="B953">
        <v>17</v>
      </c>
      <c r="C953">
        <v>2.46575342465753E-2</v>
      </c>
    </row>
    <row r="954" spans="1:3" x14ac:dyDescent="0.25">
      <c r="A954" t="s">
        <v>286</v>
      </c>
      <c r="B954">
        <v>22</v>
      </c>
      <c r="C954">
        <v>8.21917808219178E-3</v>
      </c>
    </row>
    <row r="955" spans="1:3" x14ac:dyDescent="0.25">
      <c r="A955" t="s">
        <v>32</v>
      </c>
      <c r="B955">
        <v>1</v>
      </c>
      <c r="C955">
        <v>2.7397260273972599E-3</v>
      </c>
    </row>
    <row r="956" spans="1:3" x14ac:dyDescent="0.25">
      <c r="A956" t="s">
        <v>320</v>
      </c>
      <c r="B956">
        <v>3</v>
      </c>
      <c r="C956">
        <v>1.3698630136986301E-2</v>
      </c>
    </row>
    <row r="957" spans="1:3" x14ac:dyDescent="0.25">
      <c r="A957" t="s">
        <v>75</v>
      </c>
      <c r="B957">
        <v>5</v>
      </c>
      <c r="C957">
        <v>5.4794520547945197E-3</v>
      </c>
    </row>
    <row r="958" spans="1:3" x14ac:dyDescent="0.25">
      <c r="A958" t="s">
        <v>289</v>
      </c>
      <c r="B958">
        <v>7</v>
      </c>
      <c r="C958">
        <v>2.7397260273972599E-3</v>
      </c>
    </row>
    <row r="959" spans="1:3" x14ac:dyDescent="0.25">
      <c r="A959" t="s">
        <v>290</v>
      </c>
      <c r="B959">
        <v>15</v>
      </c>
      <c r="C959">
        <v>3.5616438356164397E-2</v>
      </c>
    </row>
    <row r="960" spans="1:3" x14ac:dyDescent="0.25">
      <c r="A960" t="s">
        <v>289</v>
      </c>
      <c r="B960">
        <v>17</v>
      </c>
      <c r="C960">
        <v>2.19178082191781E-2</v>
      </c>
    </row>
    <row r="961" spans="1:3" x14ac:dyDescent="0.25">
      <c r="A961" t="s">
        <v>319</v>
      </c>
      <c r="B961">
        <v>21</v>
      </c>
      <c r="C961">
        <v>8.21917808219178E-3</v>
      </c>
    </row>
    <row r="962" spans="1:3" x14ac:dyDescent="0.25">
      <c r="A962" t="s">
        <v>72</v>
      </c>
      <c r="B962">
        <v>23</v>
      </c>
      <c r="C962">
        <v>2.19178082191781E-2</v>
      </c>
    </row>
    <row r="963" spans="1:3" x14ac:dyDescent="0.25">
      <c r="A963" t="s">
        <v>312</v>
      </c>
      <c r="B963">
        <v>23</v>
      </c>
      <c r="C963">
        <v>2.19178082191781E-2</v>
      </c>
    </row>
    <row r="964" spans="1:3" x14ac:dyDescent="0.25">
      <c r="A964" t="s">
        <v>289</v>
      </c>
      <c r="B964">
        <v>3</v>
      </c>
      <c r="C964">
        <v>2.7397260273972599E-3</v>
      </c>
    </row>
    <row r="965" spans="1:3" x14ac:dyDescent="0.25">
      <c r="A965" t="s">
        <v>186</v>
      </c>
      <c r="B965">
        <v>6</v>
      </c>
      <c r="C965">
        <v>0</v>
      </c>
    </row>
    <row r="966" spans="1:3" x14ac:dyDescent="0.25">
      <c r="A966" t="s">
        <v>190</v>
      </c>
      <c r="B966">
        <v>7</v>
      </c>
      <c r="C966">
        <v>8.21917808219178E-3</v>
      </c>
    </row>
    <row r="967" spans="1:3" x14ac:dyDescent="0.25">
      <c r="A967" t="s">
        <v>289</v>
      </c>
      <c r="B967">
        <v>9</v>
      </c>
      <c r="C967">
        <v>4.3835616438356199E-2</v>
      </c>
    </row>
    <row r="968" spans="1:3" x14ac:dyDescent="0.25">
      <c r="A968" t="s">
        <v>313</v>
      </c>
      <c r="B968">
        <v>10</v>
      </c>
      <c r="C968">
        <v>5.75342465753425E-2</v>
      </c>
    </row>
    <row r="969" spans="1:3" x14ac:dyDescent="0.25">
      <c r="A969" t="s">
        <v>291</v>
      </c>
      <c r="B969">
        <v>11</v>
      </c>
      <c r="C969">
        <v>3.2876712328767099E-2</v>
      </c>
    </row>
    <row r="970" spans="1:3" x14ac:dyDescent="0.25">
      <c r="A970" t="s">
        <v>318</v>
      </c>
      <c r="B970">
        <v>15</v>
      </c>
      <c r="C970">
        <v>1.0958904109589E-2</v>
      </c>
    </row>
    <row r="971" spans="1:3" x14ac:dyDescent="0.25">
      <c r="A971" t="s">
        <v>291</v>
      </c>
      <c r="B971">
        <v>18</v>
      </c>
      <c r="C971">
        <v>2.7397260273972601E-2</v>
      </c>
    </row>
    <row r="972" spans="1:3" x14ac:dyDescent="0.25">
      <c r="A972" t="s">
        <v>189</v>
      </c>
      <c r="B972">
        <v>0</v>
      </c>
      <c r="C972">
        <v>2.7397260273972601E-2</v>
      </c>
    </row>
    <row r="973" spans="1:3" x14ac:dyDescent="0.25">
      <c r="A973" t="s">
        <v>189</v>
      </c>
      <c r="B973">
        <v>1</v>
      </c>
      <c r="C973">
        <v>1.6438356164383602E-2</v>
      </c>
    </row>
    <row r="974" spans="1:3" x14ac:dyDescent="0.25">
      <c r="A974" t="s">
        <v>79</v>
      </c>
      <c r="B974">
        <v>1</v>
      </c>
      <c r="C974">
        <v>2.7397260273972599E-3</v>
      </c>
    </row>
    <row r="975" spans="1:3" x14ac:dyDescent="0.25">
      <c r="A975" t="s">
        <v>76</v>
      </c>
      <c r="B975">
        <v>6</v>
      </c>
      <c r="C975">
        <v>2.46575342465753E-2</v>
      </c>
    </row>
    <row r="976" spans="1:3" x14ac:dyDescent="0.25">
      <c r="A976" t="s">
        <v>308</v>
      </c>
      <c r="B976">
        <v>6</v>
      </c>
      <c r="C976">
        <v>5.4794520547945197E-3</v>
      </c>
    </row>
    <row r="977" spans="1:3" x14ac:dyDescent="0.25">
      <c r="A977" t="s">
        <v>37</v>
      </c>
      <c r="B977">
        <v>16</v>
      </c>
      <c r="C977">
        <v>1.9178082191780799E-2</v>
      </c>
    </row>
    <row r="978" spans="1:3" x14ac:dyDescent="0.25">
      <c r="A978" t="s">
        <v>190</v>
      </c>
      <c r="B978">
        <v>17</v>
      </c>
      <c r="C978">
        <v>2.46575342465753E-2</v>
      </c>
    </row>
    <row r="979" spans="1:3" x14ac:dyDescent="0.25">
      <c r="A979" t="s">
        <v>319</v>
      </c>
      <c r="B979">
        <v>17</v>
      </c>
      <c r="C979">
        <v>1.3698630136986301E-2</v>
      </c>
    </row>
    <row r="980" spans="1:3" x14ac:dyDescent="0.25">
      <c r="A980" t="s">
        <v>76</v>
      </c>
      <c r="B980">
        <v>3</v>
      </c>
      <c r="C980">
        <v>0</v>
      </c>
    </row>
    <row r="981" spans="1:3" x14ac:dyDescent="0.25">
      <c r="A981" t="s">
        <v>17</v>
      </c>
      <c r="B981">
        <v>6</v>
      </c>
      <c r="C981">
        <v>1.6438356164383602E-2</v>
      </c>
    </row>
    <row r="982" spans="1:3" x14ac:dyDescent="0.25">
      <c r="A982" t="s">
        <v>287</v>
      </c>
      <c r="B982">
        <v>11</v>
      </c>
      <c r="C982">
        <v>1.6438356164383602E-2</v>
      </c>
    </row>
    <row r="983" spans="1:3" x14ac:dyDescent="0.25">
      <c r="A983" t="s">
        <v>313</v>
      </c>
      <c r="B983">
        <v>14</v>
      </c>
      <c r="C983">
        <v>4.9315068493150697E-2</v>
      </c>
    </row>
    <row r="984" spans="1:3" x14ac:dyDescent="0.25">
      <c r="A984" t="s">
        <v>79</v>
      </c>
      <c r="B984">
        <v>19</v>
      </c>
      <c r="C984">
        <v>1.3698630136986301E-2</v>
      </c>
    </row>
    <row r="985" spans="1:3" x14ac:dyDescent="0.25">
      <c r="A985" t="s">
        <v>297</v>
      </c>
      <c r="B985">
        <v>23</v>
      </c>
      <c r="C985">
        <v>5.4794520547945197E-3</v>
      </c>
    </row>
    <row r="986" spans="1:3" x14ac:dyDescent="0.25">
      <c r="A986" t="s">
        <v>187</v>
      </c>
      <c r="B986">
        <v>3</v>
      </c>
      <c r="C986">
        <v>1.3698630136986301E-2</v>
      </c>
    </row>
    <row r="987" spans="1:3" x14ac:dyDescent="0.25">
      <c r="A987" t="s">
        <v>296</v>
      </c>
      <c r="B987">
        <v>3</v>
      </c>
      <c r="C987">
        <v>1.0958904109589E-2</v>
      </c>
    </row>
    <row r="988" spans="1:3" x14ac:dyDescent="0.25">
      <c r="A988" t="s">
        <v>290</v>
      </c>
      <c r="B988">
        <v>10</v>
      </c>
      <c r="C988">
        <v>2.46575342465753E-2</v>
      </c>
    </row>
    <row r="989" spans="1:3" x14ac:dyDescent="0.25">
      <c r="A989" t="s">
        <v>318</v>
      </c>
      <c r="B989">
        <v>11</v>
      </c>
      <c r="C989">
        <v>2.7397260273972601E-2</v>
      </c>
    </row>
    <row r="990" spans="1:3" x14ac:dyDescent="0.25">
      <c r="A990" t="s">
        <v>71</v>
      </c>
      <c r="B990">
        <v>13</v>
      </c>
      <c r="C990">
        <v>2.19178082191781E-2</v>
      </c>
    </row>
    <row r="991" spans="1:3" x14ac:dyDescent="0.25">
      <c r="A991" t="s">
        <v>310</v>
      </c>
      <c r="B991">
        <v>14</v>
      </c>
      <c r="C991">
        <v>2.19178082191781E-2</v>
      </c>
    </row>
    <row r="992" spans="1:3" x14ac:dyDescent="0.25">
      <c r="A992" t="s">
        <v>75</v>
      </c>
      <c r="B992">
        <v>15</v>
      </c>
      <c r="C992">
        <v>4.1095890410958902E-2</v>
      </c>
    </row>
    <row r="993" spans="1:3" x14ac:dyDescent="0.25">
      <c r="A993" t="s">
        <v>289</v>
      </c>
      <c r="B993">
        <v>20</v>
      </c>
      <c r="C993">
        <v>8.21917808219178E-3</v>
      </c>
    </row>
    <row r="994" spans="1:3" x14ac:dyDescent="0.25">
      <c r="A994" t="s">
        <v>76</v>
      </c>
      <c r="B994">
        <v>0</v>
      </c>
      <c r="C994">
        <v>1.3698630136986301E-2</v>
      </c>
    </row>
    <row r="995" spans="1:3" x14ac:dyDescent="0.25">
      <c r="A995" t="s">
        <v>69</v>
      </c>
      <c r="B995">
        <v>0</v>
      </c>
      <c r="C995">
        <v>1.6438356164383602E-2</v>
      </c>
    </row>
    <row r="996" spans="1:3" x14ac:dyDescent="0.25">
      <c r="A996" t="s">
        <v>69</v>
      </c>
      <c r="B996">
        <v>2</v>
      </c>
      <c r="C996">
        <v>0</v>
      </c>
    </row>
    <row r="997" spans="1:3" x14ac:dyDescent="0.25">
      <c r="A997" t="s">
        <v>56</v>
      </c>
      <c r="B997">
        <v>5</v>
      </c>
      <c r="C997">
        <v>1.9178082191780799E-2</v>
      </c>
    </row>
    <row r="998" spans="1:3" x14ac:dyDescent="0.25">
      <c r="A998" t="s">
        <v>308</v>
      </c>
      <c r="B998">
        <v>10</v>
      </c>
      <c r="C998">
        <v>0.10958904109589</v>
      </c>
    </row>
    <row r="999" spans="1:3" x14ac:dyDescent="0.25">
      <c r="A999" t="s">
        <v>186</v>
      </c>
      <c r="B999">
        <v>11</v>
      </c>
      <c r="C999">
        <v>3.5616438356164397E-2</v>
      </c>
    </row>
    <row r="1000" spans="1:3" x14ac:dyDescent="0.25">
      <c r="A1000" t="s">
        <v>287</v>
      </c>
      <c r="B1000">
        <v>12</v>
      </c>
      <c r="C1000">
        <v>1.3698630136986301E-2</v>
      </c>
    </row>
    <row r="1001" spans="1:3" x14ac:dyDescent="0.25">
      <c r="A1001" t="s">
        <v>312</v>
      </c>
      <c r="B1001">
        <v>21</v>
      </c>
      <c r="C1001">
        <v>3.2876712328767099E-2</v>
      </c>
    </row>
    <row r="1002" spans="1:3" x14ac:dyDescent="0.25">
      <c r="A1002" t="s">
        <v>38</v>
      </c>
      <c r="B1002">
        <v>2</v>
      </c>
      <c r="C1002">
        <v>2.7397260273972599E-3</v>
      </c>
    </row>
    <row r="1003" spans="1:3" x14ac:dyDescent="0.25">
      <c r="A1003" t="s">
        <v>186</v>
      </c>
      <c r="B1003">
        <v>15</v>
      </c>
      <c r="C1003">
        <v>5.75342465753425E-2</v>
      </c>
    </row>
    <row r="1004" spans="1:3" x14ac:dyDescent="0.25">
      <c r="A1004" t="s">
        <v>62</v>
      </c>
      <c r="B1004">
        <v>1</v>
      </c>
      <c r="C1004">
        <v>2.46575342465753E-2</v>
      </c>
    </row>
    <row r="1005" spans="1:3" x14ac:dyDescent="0.25">
      <c r="A1005" t="s">
        <v>26</v>
      </c>
      <c r="B1005">
        <v>3</v>
      </c>
      <c r="C1005">
        <v>2.7397260273972599E-3</v>
      </c>
    </row>
    <row r="1006" spans="1:3" x14ac:dyDescent="0.25">
      <c r="A1006" t="s">
        <v>393</v>
      </c>
      <c r="B1006">
        <v>3</v>
      </c>
      <c r="C1006">
        <v>8.21917808219178E-3</v>
      </c>
    </row>
    <row r="1007" spans="1:3" x14ac:dyDescent="0.25">
      <c r="A1007" t="s">
        <v>21</v>
      </c>
      <c r="B1007">
        <v>4</v>
      </c>
      <c r="C1007">
        <v>2.7397260273972599E-3</v>
      </c>
    </row>
    <row r="1008" spans="1:3" x14ac:dyDescent="0.25">
      <c r="A1008" t="s">
        <v>17</v>
      </c>
      <c r="B1008">
        <v>7</v>
      </c>
      <c r="C1008">
        <v>4.1095890410958902E-2</v>
      </c>
    </row>
    <row r="1009" spans="1:3" x14ac:dyDescent="0.25">
      <c r="A1009" t="s">
        <v>310</v>
      </c>
      <c r="B1009">
        <v>12</v>
      </c>
      <c r="C1009">
        <v>3.2876712328767099E-2</v>
      </c>
    </row>
    <row r="1010" spans="1:3" x14ac:dyDescent="0.25">
      <c r="A1010" t="s">
        <v>321</v>
      </c>
      <c r="B1010">
        <v>12</v>
      </c>
      <c r="C1010">
        <v>4.1095890410958902E-2</v>
      </c>
    </row>
    <row r="1011" spans="1:3" x14ac:dyDescent="0.25">
      <c r="A1011" t="s">
        <v>72</v>
      </c>
      <c r="B1011">
        <v>14</v>
      </c>
      <c r="C1011">
        <v>2.46575342465753E-2</v>
      </c>
    </row>
    <row r="1012" spans="1:3" x14ac:dyDescent="0.25">
      <c r="A1012" t="s">
        <v>79</v>
      </c>
      <c r="B1012">
        <v>22</v>
      </c>
      <c r="C1012">
        <v>0</v>
      </c>
    </row>
    <row r="1013" spans="1:3" x14ac:dyDescent="0.25">
      <c r="A1013" t="s">
        <v>26</v>
      </c>
      <c r="B1013">
        <v>0</v>
      </c>
      <c r="C1013">
        <v>2.46575342465753E-2</v>
      </c>
    </row>
    <row r="1014" spans="1:3" x14ac:dyDescent="0.25">
      <c r="A1014" t="s">
        <v>296</v>
      </c>
      <c r="B1014">
        <v>1</v>
      </c>
      <c r="C1014">
        <v>8.21917808219178E-3</v>
      </c>
    </row>
    <row r="1015" spans="1:3" x14ac:dyDescent="0.25">
      <c r="A1015" t="s">
        <v>183</v>
      </c>
      <c r="B1015">
        <v>4</v>
      </c>
      <c r="C1015">
        <v>1.3698630136986301E-2</v>
      </c>
    </row>
    <row r="1016" spans="1:3" x14ac:dyDescent="0.25">
      <c r="A1016" t="s">
        <v>66</v>
      </c>
      <c r="B1016">
        <v>5</v>
      </c>
      <c r="C1016">
        <v>1.3698630136986301E-2</v>
      </c>
    </row>
    <row r="1017" spans="1:3" x14ac:dyDescent="0.25">
      <c r="A1017" t="s">
        <v>187</v>
      </c>
      <c r="B1017">
        <v>5</v>
      </c>
      <c r="C1017">
        <v>1.0958904109589E-2</v>
      </c>
    </row>
    <row r="1018" spans="1:3" x14ac:dyDescent="0.25">
      <c r="A1018" t="s">
        <v>309</v>
      </c>
      <c r="B1018">
        <v>6</v>
      </c>
      <c r="C1018">
        <v>1.0958904109589E-2</v>
      </c>
    </row>
    <row r="1019" spans="1:3" x14ac:dyDescent="0.25">
      <c r="A1019" t="s">
        <v>76</v>
      </c>
      <c r="B1019">
        <v>8</v>
      </c>
      <c r="C1019">
        <v>4.65753424657534E-2</v>
      </c>
    </row>
    <row r="1020" spans="1:3" x14ac:dyDescent="0.25">
      <c r="A1020" t="s">
        <v>394</v>
      </c>
      <c r="B1020">
        <v>20</v>
      </c>
      <c r="C1020">
        <v>2.19178082191781E-2</v>
      </c>
    </row>
    <row r="1021" spans="1:3" x14ac:dyDescent="0.25">
      <c r="A1021" t="s">
        <v>393</v>
      </c>
      <c r="B1021">
        <v>22</v>
      </c>
      <c r="C1021">
        <v>4.65753424657534E-2</v>
      </c>
    </row>
    <row r="1022" spans="1:3" x14ac:dyDescent="0.25">
      <c r="A1022" t="s">
        <v>73</v>
      </c>
      <c r="B1022">
        <v>22</v>
      </c>
      <c r="C1022">
        <v>5.4794520547945197E-3</v>
      </c>
    </row>
    <row r="1023" spans="1:3" x14ac:dyDescent="0.25">
      <c r="A1023" t="s">
        <v>67</v>
      </c>
      <c r="B1023">
        <v>22</v>
      </c>
      <c r="C1023">
        <v>2.46575342465753E-2</v>
      </c>
    </row>
    <row r="1024" spans="1:3" x14ac:dyDescent="0.25">
      <c r="A1024" t="s">
        <v>187</v>
      </c>
      <c r="B1024">
        <v>23</v>
      </c>
      <c r="C1024">
        <v>1.3698630136986301E-2</v>
      </c>
    </row>
    <row r="1025" spans="1:3" x14ac:dyDescent="0.25">
      <c r="A1025" t="s">
        <v>318</v>
      </c>
      <c r="B1025">
        <v>2</v>
      </c>
      <c r="C1025">
        <v>2.7397260273972599E-3</v>
      </c>
    </row>
    <row r="1026" spans="1:3" x14ac:dyDescent="0.25">
      <c r="A1026" t="s">
        <v>26</v>
      </c>
      <c r="B1026">
        <v>5</v>
      </c>
      <c r="C1026">
        <v>1.3698630136986301E-2</v>
      </c>
    </row>
    <row r="1027" spans="1:3" x14ac:dyDescent="0.25">
      <c r="A1027" t="s">
        <v>308</v>
      </c>
      <c r="B1027">
        <v>14</v>
      </c>
      <c r="C1027">
        <v>2.19178082191781E-2</v>
      </c>
    </row>
    <row r="1028" spans="1:3" x14ac:dyDescent="0.25">
      <c r="A1028" t="s">
        <v>184</v>
      </c>
      <c r="B1028">
        <v>2</v>
      </c>
      <c r="C1028">
        <v>1.9178082191780799E-2</v>
      </c>
    </row>
    <row r="1029" spans="1:3" x14ac:dyDescent="0.25">
      <c r="A1029" t="s">
        <v>38</v>
      </c>
      <c r="B1029">
        <v>8</v>
      </c>
      <c r="C1029">
        <v>8.21917808219178E-3</v>
      </c>
    </row>
    <row r="1030" spans="1:3" x14ac:dyDescent="0.25">
      <c r="A1030" t="s">
        <v>313</v>
      </c>
      <c r="B1030">
        <v>21</v>
      </c>
      <c r="C1030">
        <v>1.9178082191780799E-2</v>
      </c>
    </row>
    <row r="1031" spans="1:3" x14ac:dyDescent="0.25">
      <c r="A1031" t="s">
        <v>318</v>
      </c>
      <c r="B1031">
        <v>20</v>
      </c>
      <c r="C1031">
        <v>8.21917808219178E-3</v>
      </c>
    </row>
    <row r="1032" spans="1:3" x14ac:dyDescent="0.25">
      <c r="A1032" t="s">
        <v>78</v>
      </c>
      <c r="B1032">
        <v>20</v>
      </c>
      <c r="C1032">
        <v>5.4794520547945197E-3</v>
      </c>
    </row>
    <row r="1033" spans="1:3" x14ac:dyDescent="0.25">
      <c r="A1033" t="s">
        <v>75</v>
      </c>
      <c r="B1033">
        <v>3</v>
      </c>
      <c r="C1033">
        <v>2.7397260273972599E-3</v>
      </c>
    </row>
    <row r="1034" spans="1:3" x14ac:dyDescent="0.25">
      <c r="A1034" t="s">
        <v>288</v>
      </c>
      <c r="B1034">
        <v>11</v>
      </c>
      <c r="C1034">
        <v>4.65753424657534E-2</v>
      </c>
    </row>
    <row r="1035" spans="1:3" x14ac:dyDescent="0.25">
      <c r="A1035" t="s">
        <v>313</v>
      </c>
      <c r="B1035">
        <v>15</v>
      </c>
      <c r="C1035">
        <v>1.0958904109589E-2</v>
      </c>
    </row>
    <row r="1036" spans="1:3" x14ac:dyDescent="0.25">
      <c r="A1036" t="s">
        <v>288</v>
      </c>
      <c r="B1036">
        <v>22</v>
      </c>
      <c r="C1036">
        <v>4.3835616438356199E-2</v>
      </c>
    </row>
    <row r="1037" spans="1:3" x14ac:dyDescent="0.25">
      <c r="A1037" t="s">
        <v>288</v>
      </c>
      <c r="B1037">
        <v>0</v>
      </c>
      <c r="C1037">
        <v>8.21917808219178E-3</v>
      </c>
    </row>
    <row r="1038" spans="1:3" x14ac:dyDescent="0.25">
      <c r="A1038" t="s">
        <v>37</v>
      </c>
      <c r="B1038">
        <v>1</v>
      </c>
      <c r="C1038">
        <v>1.0958904109589E-2</v>
      </c>
    </row>
    <row r="1039" spans="1:3" x14ac:dyDescent="0.25">
      <c r="A1039" t="s">
        <v>184</v>
      </c>
      <c r="B1039">
        <v>3</v>
      </c>
      <c r="C1039">
        <v>1.3698630136986301E-2</v>
      </c>
    </row>
    <row r="1040" spans="1:3" x14ac:dyDescent="0.25">
      <c r="A1040" t="s">
        <v>72</v>
      </c>
      <c r="B1040">
        <v>6</v>
      </c>
      <c r="C1040">
        <v>8.21917808219178E-3</v>
      </c>
    </row>
    <row r="1041" spans="1:3" x14ac:dyDescent="0.25">
      <c r="A1041" t="s">
        <v>289</v>
      </c>
      <c r="B1041">
        <v>19</v>
      </c>
      <c r="C1041">
        <v>3.5616438356164397E-2</v>
      </c>
    </row>
    <row r="1042" spans="1:3" x14ac:dyDescent="0.25">
      <c r="A1042" t="s">
        <v>313</v>
      </c>
      <c r="B1042">
        <v>0</v>
      </c>
      <c r="C1042">
        <v>1.6438356164383602E-2</v>
      </c>
    </row>
    <row r="1043" spans="1:3" x14ac:dyDescent="0.25">
      <c r="A1043" t="s">
        <v>186</v>
      </c>
      <c r="B1043">
        <v>3</v>
      </c>
      <c r="C1043">
        <v>8.21917808219178E-3</v>
      </c>
    </row>
    <row r="1044" spans="1:3" x14ac:dyDescent="0.25">
      <c r="A1044" t="s">
        <v>316</v>
      </c>
      <c r="B1044">
        <v>3</v>
      </c>
      <c r="C1044">
        <v>1.0958904109589E-2</v>
      </c>
    </row>
    <row r="1045" spans="1:3" x14ac:dyDescent="0.25">
      <c r="A1045" t="s">
        <v>17</v>
      </c>
      <c r="B1045">
        <v>3</v>
      </c>
      <c r="C1045">
        <v>1.6438356164383602E-2</v>
      </c>
    </row>
    <row r="1046" spans="1:3" x14ac:dyDescent="0.25">
      <c r="A1046" t="s">
        <v>17</v>
      </c>
      <c r="B1046">
        <v>4</v>
      </c>
      <c r="C1046">
        <v>5.4794520547945197E-3</v>
      </c>
    </row>
    <row r="1047" spans="1:3" x14ac:dyDescent="0.25">
      <c r="A1047" t="s">
        <v>317</v>
      </c>
      <c r="B1047">
        <v>2</v>
      </c>
      <c r="C1047">
        <v>4.9315068493150697E-2</v>
      </c>
    </row>
    <row r="1048" spans="1:3" x14ac:dyDescent="0.25">
      <c r="A1048" t="s">
        <v>188</v>
      </c>
      <c r="B1048">
        <v>7</v>
      </c>
      <c r="C1048">
        <v>2.19178082191781E-2</v>
      </c>
    </row>
    <row r="1049" spans="1:3" x14ac:dyDescent="0.25">
      <c r="A1049" t="s">
        <v>287</v>
      </c>
      <c r="B1049">
        <v>9</v>
      </c>
      <c r="C1049">
        <v>2.46575342465753E-2</v>
      </c>
    </row>
    <row r="1050" spans="1:3" x14ac:dyDescent="0.25">
      <c r="A1050" t="s">
        <v>308</v>
      </c>
      <c r="B1050">
        <v>19</v>
      </c>
      <c r="C1050">
        <v>4.3835616438356199E-2</v>
      </c>
    </row>
    <row r="1051" spans="1:3" x14ac:dyDescent="0.25">
      <c r="A1051" t="s">
        <v>21</v>
      </c>
      <c r="B1051">
        <v>23</v>
      </c>
      <c r="C1051">
        <v>2.19178082191781E-2</v>
      </c>
    </row>
    <row r="1052" spans="1:3" x14ac:dyDescent="0.25">
      <c r="A1052" t="s">
        <v>69</v>
      </c>
      <c r="B1052">
        <v>5</v>
      </c>
      <c r="C1052">
        <v>8.21917808219178E-3</v>
      </c>
    </row>
    <row r="1053" spans="1:3" x14ac:dyDescent="0.25">
      <c r="A1053" t="s">
        <v>296</v>
      </c>
      <c r="B1053">
        <v>22</v>
      </c>
      <c r="C1053">
        <v>1.0958904109589E-2</v>
      </c>
    </row>
    <row r="1054" spans="1:3" x14ac:dyDescent="0.25">
      <c r="A1054" t="s">
        <v>289</v>
      </c>
      <c r="B1054">
        <v>22</v>
      </c>
      <c r="C1054">
        <v>5.4794520547945197E-3</v>
      </c>
    </row>
    <row r="1055" spans="1:3" x14ac:dyDescent="0.25">
      <c r="A1055" t="s">
        <v>394</v>
      </c>
      <c r="B1055">
        <v>22</v>
      </c>
      <c r="C1055">
        <v>8.21917808219178E-3</v>
      </c>
    </row>
    <row r="1056" spans="1:3" x14ac:dyDescent="0.25">
      <c r="A1056" t="s">
        <v>65</v>
      </c>
      <c r="B1056">
        <v>0</v>
      </c>
      <c r="C1056">
        <v>3.0136986301369899E-2</v>
      </c>
    </row>
    <row r="1057" spans="1:3" x14ac:dyDescent="0.25">
      <c r="A1057" t="s">
        <v>318</v>
      </c>
      <c r="B1057">
        <v>8</v>
      </c>
      <c r="C1057">
        <v>1.6438356164383602E-2</v>
      </c>
    </row>
    <row r="1058" spans="1:3" x14ac:dyDescent="0.25">
      <c r="A1058" t="s">
        <v>75</v>
      </c>
      <c r="B1058">
        <v>12</v>
      </c>
      <c r="C1058">
        <v>3.8356164383561597E-2</v>
      </c>
    </row>
    <row r="1059" spans="1:3" x14ac:dyDescent="0.25">
      <c r="A1059" t="s">
        <v>78</v>
      </c>
      <c r="B1059">
        <v>1</v>
      </c>
      <c r="C1059">
        <v>2.7397260273972599E-3</v>
      </c>
    </row>
    <row r="1060" spans="1:3" x14ac:dyDescent="0.25">
      <c r="A1060" t="s">
        <v>393</v>
      </c>
      <c r="B1060">
        <v>12</v>
      </c>
      <c r="C1060">
        <v>5.2054794520547898E-2</v>
      </c>
    </row>
    <row r="1061" spans="1:3" x14ac:dyDescent="0.25">
      <c r="A1061" t="s">
        <v>309</v>
      </c>
      <c r="B1061">
        <v>13</v>
      </c>
      <c r="C1061">
        <v>4.65753424657534E-2</v>
      </c>
    </row>
    <row r="1062" spans="1:3" x14ac:dyDescent="0.25">
      <c r="A1062" t="s">
        <v>288</v>
      </c>
      <c r="B1062">
        <v>23</v>
      </c>
      <c r="C1062">
        <v>2.7397260273972599E-3</v>
      </c>
    </row>
    <row r="1063" spans="1:3" x14ac:dyDescent="0.25">
      <c r="A1063" t="s">
        <v>64</v>
      </c>
      <c r="B1063">
        <v>0</v>
      </c>
      <c r="C1063">
        <v>8.21917808219178E-3</v>
      </c>
    </row>
    <row r="1064" spans="1:3" x14ac:dyDescent="0.25">
      <c r="A1064" t="s">
        <v>316</v>
      </c>
      <c r="B1064">
        <v>4</v>
      </c>
      <c r="C1064">
        <v>1.3698630136986301E-2</v>
      </c>
    </row>
    <row r="1065" spans="1:3" x14ac:dyDescent="0.25">
      <c r="A1065" t="s">
        <v>189</v>
      </c>
      <c r="B1065">
        <v>13</v>
      </c>
      <c r="C1065">
        <v>5.75342465753425E-2</v>
      </c>
    </row>
    <row r="1066" spans="1:3" x14ac:dyDescent="0.25">
      <c r="A1066" t="s">
        <v>290</v>
      </c>
      <c r="B1066">
        <v>16</v>
      </c>
      <c r="C1066">
        <v>2.19178082191781E-2</v>
      </c>
    </row>
    <row r="1067" spans="1:3" x14ac:dyDescent="0.25">
      <c r="A1067" t="s">
        <v>28</v>
      </c>
      <c r="B1067">
        <v>21</v>
      </c>
      <c r="C1067">
        <v>1.9178082191780799E-2</v>
      </c>
    </row>
    <row r="1068" spans="1:3" x14ac:dyDescent="0.25">
      <c r="A1068" t="s">
        <v>32</v>
      </c>
      <c r="B1068">
        <v>23</v>
      </c>
      <c r="C1068">
        <v>8.21917808219178E-3</v>
      </c>
    </row>
    <row r="1069" spans="1:3" x14ac:dyDescent="0.25">
      <c r="A1069" t="s">
        <v>309</v>
      </c>
      <c r="B1069">
        <v>23</v>
      </c>
      <c r="C1069">
        <v>1.0958904109589E-2</v>
      </c>
    </row>
    <row r="1070" spans="1:3" x14ac:dyDescent="0.25">
      <c r="A1070" t="s">
        <v>190</v>
      </c>
      <c r="B1070">
        <v>1</v>
      </c>
      <c r="C1070">
        <v>5.4794520547945197E-3</v>
      </c>
    </row>
    <row r="1071" spans="1:3" x14ac:dyDescent="0.25">
      <c r="A1071" t="s">
        <v>289</v>
      </c>
      <c r="B1071">
        <v>1</v>
      </c>
      <c r="C1071">
        <v>1.3698630136986301E-2</v>
      </c>
    </row>
    <row r="1072" spans="1:3" x14ac:dyDescent="0.25">
      <c r="A1072" t="s">
        <v>320</v>
      </c>
      <c r="B1072">
        <v>2</v>
      </c>
      <c r="C1072">
        <v>2.7397260273972599E-3</v>
      </c>
    </row>
    <row r="1073" spans="1:3" x14ac:dyDescent="0.25">
      <c r="A1073" t="s">
        <v>76</v>
      </c>
      <c r="B1073">
        <v>2</v>
      </c>
      <c r="C1073">
        <v>5.4794520547945197E-3</v>
      </c>
    </row>
    <row r="1074" spans="1:3" x14ac:dyDescent="0.25">
      <c r="A1074" t="s">
        <v>21</v>
      </c>
      <c r="B1074">
        <v>3</v>
      </c>
      <c r="C1074">
        <v>2.7397260273972599E-3</v>
      </c>
    </row>
    <row r="1075" spans="1:3" x14ac:dyDescent="0.25">
      <c r="A1075" t="s">
        <v>28</v>
      </c>
      <c r="B1075">
        <v>4</v>
      </c>
      <c r="C1075">
        <v>5.4794520547945197E-3</v>
      </c>
    </row>
    <row r="1076" spans="1:3" x14ac:dyDescent="0.25">
      <c r="A1076" t="s">
        <v>19</v>
      </c>
      <c r="B1076">
        <v>5</v>
      </c>
      <c r="C1076">
        <v>1.0958904109589E-2</v>
      </c>
    </row>
    <row r="1077" spans="1:3" x14ac:dyDescent="0.25">
      <c r="A1077" t="s">
        <v>393</v>
      </c>
      <c r="B1077">
        <v>6</v>
      </c>
      <c r="C1077">
        <v>1.6438356164383602E-2</v>
      </c>
    </row>
    <row r="1078" spans="1:3" x14ac:dyDescent="0.25">
      <c r="A1078" t="s">
        <v>286</v>
      </c>
      <c r="B1078">
        <v>13</v>
      </c>
      <c r="C1078">
        <v>2.7397260273972599E-3</v>
      </c>
    </row>
    <row r="1079" spans="1:3" x14ac:dyDescent="0.25">
      <c r="A1079" t="s">
        <v>289</v>
      </c>
      <c r="B1079">
        <v>16</v>
      </c>
      <c r="C1079">
        <v>1.0958904109589E-2</v>
      </c>
    </row>
    <row r="1080" spans="1:3" x14ac:dyDescent="0.25">
      <c r="A1080" t="s">
        <v>64</v>
      </c>
      <c r="B1080">
        <v>23</v>
      </c>
      <c r="C1080">
        <v>3.2876712328767099E-2</v>
      </c>
    </row>
    <row r="1081" spans="1:3" x14ac:dyDescent="0.25">
      <c r="A1081" t="s">
        <v>75</v>
      </c>
      <c r="B1081">
        <v>2</v>
      </c>
      <c r="C1081">
        <v>0</v>
      </c>
    </row>
    <row r="1082" spans="1:3" x14ac:dyDescent="0.25">
      <c r="A1082" t="s">
        <v>60</v>
      </c>
      <c r="B1082">
        <v>4</v>
      </c>
      <c r="C1082">
        <v>1.6438356164383602E-2</v>
      </c>
    </row>
    <row r="1083" spans="1:3" x14ac:dyDescent="0.25">
      <c r="A1083" t="s">
        <v>63</v>
      </c>
      <c r="B1083">
        <v>5</v>
      </c>
      <c r="C1083">
        <v>1.0958904109589E-2</v>
      </c>
    </row>
    <row r="1084" spans="1:3" x14ac:dyDescent="0.25">
      <c r="A1084" t="s">
        <v>186</v>
      </c>
      <c r="B1084">
        <v>8</v>
      </c>
      <c r="C1084">
        <v>3.0136986301369899E-2</v>
      </c>
    </row>
    <row r="1085" spans="1:3" x14ac:dyDescent="0.25">
      <c r="A1085" t="s">
        <v>310</v>
      </c>
      <c r="B1085">
        <v>21</v>
      </c>
      <c r="C1085">
        <v>8.21917808219178E-3</v>
      </c>
    </row>
    <row r="1086" spans="1:3" x14ac:dyDescent="0.25">
      <c r="A1086" t="s">
        <v>186</v>
      </c>
      <c r="B1086">
        <v>4</v>
      </c>
      <c r="C1086">
        <v>0</v>
      </c>
    </row>
    <row r="1087" spans="1:3" x14ac:dyDescent="0.25">
      <c r="A1087" t="s">
        <v>21</v>
      </c>
      <c r="B1087">
        <v>21</v>
      </c>
      <c r="C1087">
        <v>2.19178082191781E-2</v>
      </c>
    </row>
    <row r="1088" spans="1:3" x14ac:dyDescent="0.25">
      <c r="A1088" t="s">
        <v>187</v>
      </c>
      <c r="B1088">
        <v>7</v>
      </c>
      <c r="C1088">
        <v>4.9315068493150697E-2</v>
      </c>
    </row>
    <row r="1089" spans="1:3" x14ac:dyDescent="0.25">
      <c r="A1089" t="s">
        <v>309</v>
      </c>
      <c r="B1089">
        <v>9</v>
      </c>
      <c r="C1089">
        <v>3.5616438356164397E-2</v>
      </c>
    </row>
    <row r="1090" spans="1:3" x14ac:dyDescent="0.25">
      <c r="A1090" t="s">
        <v>310</v>
      </c>
      <c r="B1090">
        <v>9</v>
      </c>
      <c r="C1090">
        <v>2.46575342465753E-2</v>
      </c>
    </row>
    <row r="1091" spans="1:3" x14ac:dyDescent="0.25">
      <c r="A1091" t="s">
        <v>394</v>
      </c>
      <c r="B1091">
        <v>15</v>
      </c>
      <c r="C1091">
        <v>2.7397260273972601E-2</v>
      </c>
    </row>
    <row r="1092" spans="1:3" x14ac:dyDescent="0.25">
      <c r="A1092" t="s">
        <v>321</v>
      </c>
      <c r="B1092">
        <v>15</v>
      </c>
      <c r="C1092">
        <v>2.46575342465753E-2</v>
      </c>
    </row>
    <row r="1093" spans="1:3" x14ac:dyDescent="0.25">
      <c r="A1093" t="s">
        <v>78</v>
      </c>
      <c r="B1093">
        <v>15</v>
      </c>
      <c r="C1093">
        <v>1.6438356164383602E-2</v>
      </c>
    </row>
    <row r="1094" spans="1:3" x14ac:dyDescent="0.25">
      <c r="A1094" t="s">
        <v>37</v>
      </c>
      <c r="B1094">
        <v>22</v>
      </c>
      <c r="C1094">
        <v>1.3698630136986301E-2</v>
      </c>
    </row>
    <row r="1095" spans="1:3" x14ac:dyDescent="0.25">
      <c r="A1095" t="s">
        <v>19</v>
      </c>
      <c r="B1095">
        <v>0</v>
      </c>
      <c r="C1095">
        <v>2.46575342465753E-2</v>
      </c>
    </row>
    <row r="1096" spans="1:3" x14ac:dyDescent="0.25">
      <c r="A1096" t="s">
        <v>309</v>
      </c>
      <c r="B1096">
        <v>8</v>
      </c>
      <c r="C1096">
        <v>1.3698630136986301E-2</v>
      </c>
    </row>
    <row r="1097" spans="1:3" x14ac:dyDescent="0.25">
      <c r="A1097" t="s">
        <v>297</v>
      </c>
      <c r="B1097">
        <v>8</v>
      </c>
      <c r="C1097">
        <v>5.4794520547945197E-3</v>
      </c>
    </row>
    <row r="1098" spans="1:3" x14ac:dyDescent="0.25">
      <c r="A1098" t="s">
        <v>310</v>
      </c>
      <c r="B1098">
        <v>15</v>
      </c>
      <c r="C1098">
        <v>5.4794520547945202E-2</v>
      </c>
    </row>
    <row r="1099" spans="1:3" x14ac:dyDescent="0.25">
      <c r="A1099" t="s">
        <v>79</v>
      </c>
      <c r="B1099">
        <v>18</v>
      </c>
      <c r="C1099">
        <v>2.7397260273972599E-3</v>
      </c>
    </row>
    <row r="1100" spans="1:3" x14ac:dyDescent="0.25">
      <c r="A1100" t="s">
        <v>186</v>
      </c>
      <c r="B1100">
        <v>1</v>
      </c>
      <c r="C1100">
        <v>8.21917808219178E-3</v>
      </c>
    </row>
    <row r="1101" spans="1:3" x14ac:dyDescent="0.25">
      <c r="A1101" t="s">
        <v>67</v>
      </c>
      <c r="B1101">
        <v>3</v>
      </c>
      <c r="C1101">
        <v>8.21917808219178E-3</v>
      </c>
    </row>
    <row r="1102" spans="1:3" x14ac:dyDescent="0.25">
      <c r="A1102" t="s">
        <v>189</v>
      </c>
      <c r="B1102">
        <v>3</v>
      </c>
      <c r="C1102">
        <v>8.21917808219178E-3</v>
      </c>
    </row>
    <row r="1103" spans="1:3" x14ac:dyDescent="0.25">
      <c r="A1103" t="s">
        <v>309</v>
      </c>
      <c r="B1103">
        <v>1</v>
      </c>
      <c r="C1103">
        <v>5.4794520547945197E-3</v>
      </c>
    </row>
    <row r="1104" spans="1:3" x14ac:dyDescent="0.25">
      <c r="A1104" t="s">
        <v>56</v>
      </c>
      <c r="B1104">
        <v>2</v>
      </c>
      <c r="C1104">
        <v>8.21917808219178E-3</v>
      </c>
    </row>
    <row r="1105" spans="1:3" x14ac:dyDescent="0.25">
      <c r="A1105" t="s">
        <v>28</v>
      </c>
      <c r="B1105">
        <v>7</v>
      </c>
      <c r="C1105">
        <v>3.8356164383561597E-2</v>
      </c>
    </row>
    <row r="1106" spans="1:3" x14ac:dyDescent="0.25">
      <c r="A1106" t="s">
        <v>309</v>
      </c>
      <c r="B1106">
        <v>18</v>
      </c>
      <c r="C1106">
        <v>4.3835616438356199E-2</v>
      </c>
    </row>
    <row r="1107" spans="1:3" x14ac:dyDescent="0.25">
      <c r="A1107" t="s">
        <v>28</v>
      </c>
      <c r="B1107">
        <v>20</v>
      </c>
      <c r="C1107">
        <v>3.5616438356164397E-2</v>
      </c>
    </row>
    <row r="1108" spans="1:3" x14ac:dyDescent="0.25">
      <c r="A1108" t="s">
        <v>184</v>
      </c>
      <c r="B1108">
        <v>4</v>
      </c>
      <c r="C1108">
        <v>8.21917808219178E-3</v>
      </c>
    </row>
    <row r="1109" spans="1:3" x14ac:dyDescent="0.25">
      <c r="A1109" t="s">
        <v>393</v>
      </c>
      <c r="B1109">
        <v>7</v>
      </c>
      <c r="C1109">
        <v>2.46575342465753E-2</v>
      </c>
    </row>
    <row r="1110" spans="1:3" x14ac:dyDescent="0.25">
      <c r="A1110" t="s">
        <v>297</v>
      </c>
      <c r="B1110">
        <v>15</v>
      </c>
      <c r="C1110">
        <v>1.6438356164383602E-2</v>
      </c>
    </row>
    <row r="1111" spans="1:3" x14ac:dyDescent="0.25">
      <c r="A1111" t="s">
        <v>297</v>
      </c>
      <c r="B1111">
        <v>19</v>
      </c>
      <c r="C1111">
        <v>8.21917808219178E-3</v>
      </c>
    </row>
    <row r="1112" spans="1:3" x14ac:dyDescent="0.25">
      <c r="A1112" t="s">
        <v>56</v>
      </c>
      <c r="B1112">
        <v>1</v>
      </c>
      <c r="C1112">
        <v>1.9178082191780799E-2</v>
      </c>
    </row>
    <row r="1113" spans="1:3" x14ac:dyDescent="0.25">
      <c r="A1113" t="s">
        <v>187</v>
      </c>
      <c r="B1113">
        <v>2</v>
      </c>
      <c r="C1113">
        <v>2.19178082191781E-2</v>
      </c>
    </row>
    <row r="1114" spans="1:3" x14ac:dyDescent="0.25">
      <c r="A1114" t="s">
        <v>320</v>
      </c>
      <c r="B1114">
        <v>7</v>
      </c>
      <c r="C1114">
        <v>2.46575342465753E-2</v>
      </c>
    </row>
    <row r="1115" spans="1:3" x14ac:dyDescent="0.25">
      <c r="A1115" t="s">
        <v>312</v>
      </c>
      <c r="B1115">
        <v>7</v>
      </c>
      <c r="C1115">
        <v>2.19178082191781E-2</v>
      </c>
    </row>
    <row r="1116" spans="1:3" x14ac:dyDescent="0.25">
      <c r="A1116" t="s">
        <v>319</v>
      </c>
      <c r="B1116">
        <v>20</v>
      </c>
      <c r="C1116">
        <v>2.7397260273972599E-3</v>
      </c>
    </row>
    <row r="1117" spans="1:3" x14ac:dyDescent="0.25">
      <c r="A1117" t="s">
        <v>190</v>
      </c>
      <c r="B1117">
        <v>13</v>
      </c>
      <c r="C1117">
        <v>3.5616438356164397E-2</v>
      </c>
    </row>
    <row r="1118" spans="1:3" x14ac:dyDescent="0.25">
      <c r="A1118" t="s">
        <v>77</v>
      </c>
      <c r="B1118">
        <v>0</v>
      </c>
      <c r="C1118">
        <v>2.7397260273972599E-3</v>
      </c>
    </row>
    <row r="1119" spans="1:3" x14ac:dyDescent="0.25">
      <c r="A1119" t="s">
        <v>79</v>
      </c>
      <c r="B1119">
        <v>5</v>
      </c>
      <c r="C1119">
        <v>2.7397260273972599E-3</v>
      </c>
    </row>
    <row r="1120" spans="1:3" x14ac:dyDescent="0.25">
      <c r="A1120" t="s">
        <v>186</v>
      </c>
      <c r="B1120">
        <v>7</v>
      </c>
      <c r="C1120">
        <v>1.0958904109589E-2</v>
      </c>
    </row>
    <row r="1121" spans="1:3" x14ac:dyDescent="0.25">
      <c r="A1121" t="s">
        <v>321</v>
      </c>
      <c r="B1121">
        <v>10</v>
      </c>
      <c r="C1121">
        <v>4.1095890410958902E-2</v>
      </c>
    </row>
    <row r="1122" spans="1:3" x14ac:dyDescent="0.25">
      <c r="A1122" t="s">
        <v>79</v>
      </c>
      <c r="B1122">
        <v>20</v>
      </c>
      <c r="C1122">
        <v>5.4794520547945197E-3</v>
      </c>
    </row>
    <row r="1123" spans="1:3" x14ac:dyDescent="0.25">
      <c r="A1123" t="s">
        <v>69</v>
      </c>
      <c r="B1123">
        <v>22</v>
      </c>
      <c r="C1123">
        <v>5.4794520547945197E-3</v>
      </c>
    </row>
    <row r="1124" spans="1:3" x14ac:dyDescent="0.25">
      <c r="A1124" t="s">
        <v>36</v>
      </c>
      <c r="B1124">
        <v>23</v>
      </c>
      <c r="C1124">
        <v>1.9178082191780799E-2</v>
      </c>
    </row>
    <row r="1125" spans="1:3" x14ac:dyDescent="0.25">
      <c r="A1125" t="s">
        <v>394</v>
      </c>
      <c r="B1125">
        <v>23</v>
      </c>
      <c r="C1125">
        <v>5.4794520547945197E-3</v>
      </c>
    </row>
    <row r="1126" spans="1:3" x14ac:dyDescent="0.25">
      <c r="A1126" t="s">
        <v>186</v>
      </c>
      <c r="B1126">
        <v>2</v>
      </c>
      <c r="C1126">
        <v>2.7397260273972599E-3</v>
      </c>
    </row>
    <row r="1127" spans="1:3" x14ac:dyDescent="0.25">
      <c r="A1127" t="s">
        <v>58</v>
      </c>
      <c r="B1127">
        <v>5</v>
      </c>
      <c r="C1127">
        <v>2.46575342465753E-2</v>
      </c>
    </row>
    <row r="1128" spans="1:3" x14ac:dyDescent="0.25">
      <c r="A1128" t="s">
        <v>26</v>
      </c>
      <c r="B1128">
        <v>6</v>
      </c>
      <c r="C1128">
        <v>1.0958904109589E-2</v>
      </c>
    </row>
    <row r="1129" spans="1:3" x14ac:dyDescent="0.25">
      <c r="A1129" t="s">
        <v>76</v>
      </c>
      <c r="B1129">
        <v>7</v>
      </c>
      <c r="C1129">
        <v>2.19178082191781E-2</v>
      </c>
    </row>
    <row r="1130" spans="1:3" x14ac:dyDescent="0.25">
      <c r="A1130" t="s">
        <v>318</v>
      </c>
      <c r="B1130">
        <v>7</v>
      </c>
      <c r="C1130">
        <v>1.6438356164383602E-2</v>
      </c>
    </row>
    <row r="1131" spans="1:3" x14ac:dyDescent="0.25">
      <c r="A1131" t="s">
        <v>77</v>
      </c>
      <c r="B1131">
        <v>7</v>
      </c>
      <c r="C1131">
        <v>1.6438356164383602E-2</v>
      </c>
    </row>
    <row r="1132" spans="1:3" x14ac:dyDescent="0.25">
      <c r="A1132" t="s">
        <v>318</v>
      </c>
      <c r="B1132">
        <v>18</v>
      </c>
      <c r="C1132">
        <v>5.4794520547945197E-3</v>
      </c>
    </row>
    <row r="1133" spans="1:3" x14ac:dyDescent="0.25">
      <c r="A1133" t="s">
        <v>68</v>
      </c>
      <c r="B1133">
        <v>2</v>
      </c>
      <c r="C1133">
        <v>1.6438356164383602E-2</v>
      </c>
    </row>
    <row r="1134" spans="1:3" x14ac:dyDescent="0.25">
      <c r="A1134" t="s">
        <v>79</v>
      </c>
      <c r="B1134">
        <v>4</v>
      </c>
      <c r="C1134">
        <v>5.4794520547945197E-3</v>
      </c>
    </row>
    <row r="1135" spans="1:3" x14ac:dyDescent="0.25">
      <c r="A1135" t="s">
        <v>78</v>
      </c>
      <c r="B1135">
        <v>14</v>
      </c>
      <c r="C1135">
        <v>1.3698630136986301E-2</v>
      </c>
    </row>
    <row r="1136" spans="1:3" x14ac:dyDescent="0.25">
      <c r="A1136" t="s">
        <v>290</v>
      </c>
      <c r="B1136">
        <v>7</v>
      </c>
      <c r="C1136">
        <v>1.9178082191780799E-2</v>
      </c>
    </row>
    <row r="1137" spans="1:3" x14ac:dyDescent="0.25">
      <c r="A1137" t="s">
        <v>313</v>
      </c>
      <c r="B1137">
        <v>20</v>
      </c>
      <c r="C1137">
        <v>1.6438356164383602E-2</v>
      </c>
    </row>
    <row r="1138" spans="1:3" x14ac:dyDescent="0.25">
      <c r="A1138" t="s">
        <v>26</v>
      </c>
      <c r="B1138">
        <v>2</v>
      </c>
      <c r="C1138">
        <v>2.46575342465753E-2</v>
      </c>
    </row>
    <row r="1139" spans="1:3" x14ac:dyDescent="0.25">
      <c r="A1139" t="s">
        <v>312</v>
      </c>
      <c r="B1139">
        <v>2</v>
      </c>
      <c r="C1139">
        <v>1.3698630136986301E-2</v>
      </c>
    </row>
    <row r="1140" spans="1:3" x14ac:dyDescent="0.25">
      <c r="A1140" t="s">
        <v>184</v>
      </c>
      <c r="B1140">
        <v>6</v>
      </c>
      <c r="C1140">
        <v>3.0136986301369899E-2</v>
      </c>
    </row>
    <row r="1141" spans="1:3" x14ac:dyDescent="0.25">
      <c r="A1141" t="s">
        <v>32</v>
      </c>
      <c r="B1141">
        <v>11</v>
      </c>
      <c r="C1141">
        <v>5.4794520547945197E-3</v>
      </c>
    </row>
    <row r="1142" spans="1:3" x14ac:dyDescent="0.25">
      <c r="A1142" t="s">
        <v>320</v>
      </c>
      <c r="B1142">
        <v>12</v>
      </c>
      <c r="C1142">
        <v>1.3698630136986301E-2</v>
      </c>
    </row>
    <row r="1143" spans="1:3" x14ac:dyDescent="0.25">
      <c r="A1143" t="s">
        <v>291</v>
      </c>
      <c r="B1143">
        <v>23</v>
      </c>
      <c r="C1143">
        <v>1.0958904109589E-2</v>
      </c>
    </row>
    <row r="1144" spans="1:3" x14ac:dyDescent="0.25">
      <c r="A1144" t="s">
        <v>313</v>
      </c>
      <c r="B1144">
        <v>2</v>
      </c>
      <c r="C1144">
        <v>1.0958904109589E-2</v>
      </c>
    </row>
    <row r="1145" spans="1:3" x14ac:dyDescent="0.25">
      <c r="A1145" t="s">
        <v>394</v>
      </c>
      <c r="B1145">
        <v>10</v>
      </c>
      <c r="C1145">
        <v>3.8356164383561597E-2</v>
      </c>
    </row>
    <row r="1146" spans="1:3" x14ac:dyDescent="0.25">
      <c r="A1146" t="s">
        <v>310</v>
      </c>
      <c r="B1146">
        <v>8</v>
      </c>
      <c r="C1146">
        <v>3.0136986301369899E-2</v>
      </c>
    </row>
    <row r="1147" spans="1:3" x14ac:dyDescent="0.25">
      <c r="A1147" t="s">
        <v>309</v>
      </c>
      <c r="B1147">
        <v>21</v>
      </c>
      <c r="C1147">
        <v>1.3698630136986301E-2</v>
      </c>
    </row>
    <row r="1148" spans="1:3" x14ac:dyDescent="0.25">
      <c r="A1148" t="s">
        <v>291</v>
      </c>
      <c r="B1148">
        <v>21</v>
      </c>
      <c r="C1148">
        <v>1.0958904109589E-2</v>
      </c>
    </row>
    <row r="1149" spans="1:3" x14ac:dyDescent="0.25">
      <c r="A1149" t="s">
        <v>21</v>
      </c>
      <c r="B1149">
        <v>2</v>
      </c>
      <c r="C1149">
        <v>0</v>
      </c>
    </row>
    <row r="1150" spans="1:3" x14ac:dyDescent="0.25">
      <c r="A1150" t="s">
        <v>291</v>
      </c>
      <c r="B1150">
        <v>4</v>
      </c>
      <c r="C1150">
        <v>5.4794520547945197E-3</v>
      </c>
    </row>
    <row r="1151" spans="1:3" x14ac:dyDescent="0.25">
      <c r="A1151" t="s">
        <v>74</v>
      </c>
      <c r="B1151">
        <v>6</v>
      </c>
      <c r="C1151">
        <v>5.4794520547945197E-3</v>
      </c>
    </row>
    <row r="1152" spans="1:3" x14ac:dyDescent="0.25">
      <c r="A1152" t="s">
        <v>317</v>
      </c>
      <c r="B1152">
        <v>1</v>
      </c>
      <c r="C1152">
        <v>4.3835616438356199E-2</v>
      </c>
    </row>
    <row r="1153" spans="1:3" x14ac:dyDescent="0.25">
      <c r="A1153" t="s">
        <v>312</v>
      </c>
      <c r="B1153">
        <v>6</v>
      </c>
      <c r="C1153">
        <v>8.21917808219178E-3</v>
      </c>
    </row>
    <row r="1154" spans="1:3" x14ac:dyDescent="0.25">
      <c r="A1154" t="s">
        <v>318</v>
      </c>
      <c r="B1154">
        <v>16</v>
      </c>
      <c r="C1154">
        <v>2.7397260273972601E-2</v>
      </c>
    </row>
    <row r="1155" spans="1:3" x14ac:dyDescent="0.25">
      <c r="A1155" t="s">
        <v>37</v>
      </c>
      <c r="B1155">
        <v>6</v>
      </c>
      <c r="C1155">
        <v>5.4794520547945197E-3</v>
      </c>
    </row>
    <row r="1156" spans="1:3" x14ac:dyDescent="0.25">
      <c r="A1156" t="s">
        <v>63</v>
      </c>
      <c r="B1156">
        <v>3</v>
      </c>
      <c r="C1156">
        <v>1.3698630136986301E-2</v>
      </c>
    </row>
    <row r="1157" spans="1:3" x14ac:dyDescent="0.25">
      <c r="A1157" t="s">
        <v>308</v>
      </c>
      <c r="B1157">
        <v>17</v>
      </c>
      <c r="C1157">
        <v>3.5616438356164397E-2</v>
      </c>
    </row>
    <row r="1158" spans="1:3" x14ac:dyDescent="0.25">
      <c r="A1158" t="s">
        <v>38</v>
      </c>
      <c r="B1158">
        <v>3</v>
      </c>
      <c r="C1158">
        <v>2.7397260273972599E-3</v>
      </c>
    </row>
    <row r="1159" spans="1:3" x14ac:dyDescent="0.25">
      <c r="A1159" t="s">
        <v>78</v>
      </c>
      <c r="B1159">
        <v>8</v>
      </c>
      <c r="C1159">
        <v>1.6438356164383602E-2</v>
      </c>
    </row>
    <row r="1160" spans="1:3" x14ac:dyDescent="0.25">
      <c r="A1160" t="s">
        <v>65</v>
      </c>
      <c r="B1160">
        <v>6</v>
      </c>
      <c r="C1160">
        <v>1.0958904109589E-2</v>
      </c>
    </row>
    <row r="1161" spans="1:3" x14ac:dyDescent="0.25">
      <c r="A1161" t="s">
        <v>75</v>
      </c>
      <c r="B1161">
        <v>21</v>
      </c>
      <c r="C1161">
        <v>1.9178082191780799E-2</v>
      </c>
    </row>
    <row r="1162" spans="1:3" x14ac:dyDescent="0.25">
      <c r="A1162" t="s">
        <v>73</v>
      </c>
      <c r="B1162">
        <v>1</v>
      </c>
      <c r="C1162">
        <v>1.3698630136986301E-2</v>
      </c>
    </row>
    <row r="1163" spans="1:3" x14ac:dyDescent="0.25">
      <c r="A1163" t="s">
        <v>64</v>
      </c>
      <c r="B1163">
        <v>2</v>
      </c>
      <c r="C1163">
        <v>5.4794520547945197E-3</v>
      </c>
    </row>
    <row r="1164" spans="1:3" x14ac:dyDescent="0.25">
      <c r="A1164" t="s">
        <v>296</v>
      </c>
      <c r="B1164">
        <v>20</v>
      </c>
      <c r="C1164">
        <v>1.6438356164383602E-2</v>
      </c>
    </row>
    <row r="1165" spans="1:3" x14ac:dyDescent="0.25">
      <c r="A1165" t="s">
        <v>74</v>
      </c>
      <c r="B1165">
        <v>23</v>
      </c>
      <c r="C1165">
        <v>1.0958904109589E-2</v>
      </c>
    </row>
    <row r="1166" spans="1:3" x14ac:dyDescent="0.25">
      <c r="A1166" t="s">
        <v>308</v>
      </c>
      <c r="B1166">
        <v>0</v>
      </c>
      <c r="C1166">
        <v>8.21917808219178E-3</v>
      </c>
    </row>
    <row r="1167" spans="1:3" x14ac:dyDescent="0.25">
      <c r="A1167" t="s">
        <v>36</v>
      </c>
      <c r="B1167">
        <v>3</v>
      </c>
      <c r="C1167">
        <v>0</v>
      </c>
    </row>
    <row r="1168" spans="1:3" x14ac:dyDescent="0.25">
      <c r="A1168" t="s">
        <v>69</v>
      </c>
      <c r="B1168">
        <v>3</v>
      </c>
      <c r="C1168">
        <v>0</v>
      </c>
    </row>
    <row r="1169" spans="1:3" x14ac:dyDescent="0.25">
      <c r="A1169" t="s">
        <v>28</v>
      </c>
      <c r="B1169">
        <v>5</v>
      </c>
      <c r="C1169">
        <v>5.4794520547945197E-3</v>
      </c>
    </row>
    <row r="1170" spans="1:3" x14ac:dyDescent="0.25">
      <c r="A1170" t="s">
        <v>320</v>
      </c>
      <c r="B1170">
        <v>6</v>
      </c>
      <c r="C1170">
        <v>2.7397260273972599E-3</v>
      </c>
    </row>
    <row r="1171" spans="1:3" x14ac:dyDescent="0.25">
      <c r="A1171" t="s">
        <v>287</v>
      </c>
      <c r="B1171">
        <v>7</v>
      </c>
      <c r="C1171">
        <v>2.7397260273972599E-3</v>
      </c>
    </row>
    <row r="1172" spans="1:3" x14ac:dyDescent="0.25">
      <c r="A1172" t="s">
        <v>318</v>
      </c>
      <c r="B1172">
        <v>13</v>
      </c>
      <c r="C1172">
        <v>8.21917808219178E-3</v>
      </c>
    </row>
    <row r="1173" spans="1:3" x14ac:dyDescent="0.25">
      <c r="A1173" t="s">
        <v>313</v>
      </c>
      <c r="B1173">
        <v>1</v>
      </c>
      <c r="C1173">
        <v>1.0958904109589E-2</v>
      </c>
    </row>
    <row r="1174" spans="1:3" x14ac:dyDescent="0.25">
      <c r="A1174" t="s">
        <v>394</v>
      </c>
      <c r="B1174">
        <v>21</v>
      </c>
      <c r="C1174">
        <v>3.0136986301369899E-2</v>
      </c>
    </row>
    <row r="1175" spans="1:3" x14ac:dyDescent="0.25">
      <c r="A1175" t="s">
        <v>28</v>
      </c>
      <c r="B1175">
        <v>1</v>
      </c>
      <c r="C1175">
        <v>8.21917808219178E-3</v>
      </c>
    </row>
    <row r="1176" spans="1:3" x14ac:dyDescent="0.25">
      <c r="A1176" t="s">
        <v>17</v>
      </c>
      <c r="B1176">
        <v>5</v>
      </c>
      <c r="C1176">
        <v>5.4794520547945197E-3</v>
      </c>
    </row>
    <row r="1177" spans="1:3" x14ac:dyDescent="0.25">
      <c r="A1177" t="s">
        <v>21</v>
      </c>
      <c r="B1177">
        <v>20</v>
      </c>
      <c r="C1177">
        <v>2.19178082191781E-2</v>
      </c>
    </row>
    <row r="1178" spans="1:3" x14ac:dyDescent="0.25">
      <c r="A1178" t="s">
        <v>289</v>
      </c>
      <c r="B1178">
        <v>10</v>
      </c>
      <c r="C1178">
        <v>8.21917808219178E-3</v>
      </c>
    </row>
    <row r="1179" spans="1:3" x14ac:dyDescent="0.25">
      <c r="A1179" t="s">
        <v>321</v>
      </c>
      <c r="B1179">
        <v>20</v>
      </c>
      <c r="C1179">
        <v>2.19178082191781E-2</v>
      </c>
    </row>
    <row r="1180" spans="1:3" x14ac:dyDescent="0.25">
      <c r="A1180" t="s">
        <v>394</v>
      </c>
      <c r="B1180">
        <v>0</v>
      </c>
      <c r="C1180">
        <v>1.3698630136986301E-2</v>
      </c>
    </row>
    <row r="1181" spans="1:3" x14ac:dyDescent="0.25">
      <c r="A1181" t="s">
        <v>287</v>
      </c>
      <c r="B1181">
        <v>0</v>
      </c>
      <c r="C1181">
        <v>2.7397260273972599E-3</v>
      </c>
    </row>
    <row r="1182" spans="1:3" x14ac:dyDescent="0.25">
      <c r="A1182" t="s">
        <v>289</v>
      </c>
      <c r="B1182">
        <v>8</v>
      </c>
      <c r="C1182">
        <v>1.0958904109589E-2</v>
      </c>
    </row>
    <row r="1183" spans="1:3" x14ac:dyDescent="0.25">
      <c r="A1183" t="s">
        <v>296</v>
      </c>
      <c r="B1183">
        <v>12</v>
      </c>
      <c r="C1183">
        <v>1.9178082191780799E-2</v>
      </c>
    </row>
    <row r="1184" spans="1:3" x14ac:dyDescent="0.25">
      <c r="A1184" t="s">
        <v>308</v>
      </c>
      <c r="B1184">
        <v>12</v>
      </c>
      <c r="C1184">
        <v>3.8356164383561597E-2</v>
      </c>
    </row>
    <row r="1185" spans="1:3" x14ac:dyDescent="0.25">
      <c r="A1185" t="s">
        <v>78</v>
      </c>
      <c r="B1185">
        <v>23</v>
      </c>
      <c r="C1185">
        <v>8.21917808219178E-3</v>
      </c>
    </row>
    <row r="1186" spans="1:3" x14ac:dyDescent="0.25">
      <c r="A1186" t="s">
        <v>310</v>
      </c>
      <c r="B1186">
        <v>1</v>
      </c>
      <c r="C1186">
        <v>2.7397260273972599E-3</v>
      </c>
    </row>
    <row r="1187" spans="1:3" x14ac:dyDescent="0.25">
      <c r="A1187" t="s">
        <v>286</v>
      </c>
      <c r="B1187">
        <v>7</v>
      </c>
      <c r="C1187">
        <v>5.4794520547945197E-3</v>
      </c>
    </row>
    <row r="1188" spans="1:3" x14ac:dyDescent="0.25">
      <c r="A1188" t="s">
        <v>76</v>
      </c>
      <c r="B1188">
        <v>4</v>
      </c>
      <c r="C1188">
        <v>2.7397260273972599E-3</v>
      </c>
    </row>
    <row r="1189" spans="1:3" x14ac:dyDescent="0.25">
      <c r="A1189" t="s">
        <v>289</v>
      </c>
      <c r="B1189">
        <v>23</v>
      </c>
      <c r="C1189">
        <v>8.21917808219178E-3</v>
      </c>
    </row>
    <row r="1190" spans="1:3" x14ac:dyDescent="0.25">
      <c r="A1190" t="s">
        <v>289</v>
      </c>
      <c r="B1190">
        <v>0</v>
      </c>
      <c r="C1190">
        <v>8.21917808219178E-3</v>
      </c>
    </row>
    <row r="1191" spans="1:3" x14ac:dyDescent="0.25">
      <c r="A1191" t="s">
        <v>310</v>
      </c>
      <c r="B1191">
        <v>20</v>
      </c>
      <c r="C1191">
        <v>1.9178082191780799E-2</v>
      </c>
    </row>
    <row r="1192" spans="1:3" x14ac:dyDescent="0.25">
      <c r="A1192" t="s">
        <v>297</v>
      </c>
      <c r="B1192">
        <v>22</v>
      </c>
      <c r="C1192">
        <v>5.4794520547945197E-3</v>
      </c>
    </row>
    <row r="1193" spans="1:3" x14ac:dyDescent="0.25">
      <c r="A1193" t="s">
        <v>187</v>
      </c>
      <c r="B1193">
        <v>1</v>
      </c>
      <c r="C1193">
        <v>1.9178082191780799E-2</v>
      </c>
    </row>
    <row r="1194" spans="1:3" x14ac:dyDescent="0.25">
      <c r="A1194" t="s">
        <v>71</v>
      </c>
      <c r="B1194">
        <v>5</v>
      </c>
      <c r="C1194">
        <v>2.7397260273972599E-3</v>
      </c>
    </row>
    <row r="1195" spans="1:3" x14ac:dyDescent="0.25">
      <c r="A1195" t="s">
        <v>394</v>
      </c>
      <c r="B1195">
        <v>7</v>
      </c>
      <c r="C1195">
        <v>1.0958904109589E-2</v>
      </c>
    </row>
    <row r="1196" spans="1:3" x14ac:dyDescent="0.25">
      <c r="A1196" t="s">
        <v>310</v>
      </c>
      <c r="B1196">
        <v>22</v>
      </c>
      <c r="C1196">
        <v>1.0958904109589E-2</v>
      </c>
    </row>
    <row r="1197" spans="1:3" x14ac:dyDescent="0.25">
      <c r="A1197" t="s">
        <v>21</v>
      </c>
      <c r="B1197">
        <v>12</v>
      </c>
      <c r="C1197">
        <v>8.21917808219178E-3</v>
      </c>
    </row>
    <row r="1198" spans="1:3" x14ac:dyDescent="0.25">
      <c r="A1198" t="s">
        <v>290</v>
      </c>
      <c r="B1198">
        <v>0</v>
      </c>
      <c r="C1198">
        <v>8.21917808219178E-3</v>
      </c>
    </row>
    <row r="1199" spans="1:3" x14ac:dyDescent="0.25">
      <c r="A1199" t="s">
        <v>321</v>
      </c>
      <c r="B1199">
        <v>3</v>
      </c>
      <c r="C1199">
        <v>2.7397260273972599E-3</v>
      </c>
    </row>
    <row r="1200" spans="1:3" x14ac:dyDescent="0.25">
      <c r="A1200" t="s">
        <v>288</v>
      </c>
      <c r="B1200">
        <v>7</v>
      </c>
      <c r="C1200">
        <v>8.21917808219178E-3</v>
      </c>
    </row>
    <row r="1201" spans="1:3" x14ac:dyDescent="0.25">
      <c r="A1201" t="s">
        <v>72</v>
      </c>
      <c r="B1201">
        <v>5</v>
      </c>
      <c r="C1201">
        <v>2.7397260273972599E-3</v>
      </c>
    </row>
    <row r="1202" spans="1:3" x14ac:dyDescent="0.25">
      <c r="A1202" t="s">
        <v>286</v>
      </c>
      <c r="B1202">
        <v>15</v>
      </c>
      <c r="C1202">
        <v>2.19178082191781E-2</v>
      </c>
    </row>
    <row r="1203" spans="1:3" x14ac:dyDescent="0.25">
      <c r="A1203" t="s">
        <v>286</v>
      </c>
      <c r="B1203">
        <v>16</v>
      </c>
      <c r="C1203">
        <v>1.3698630136986301E-2</v>
      </c>
    </row>
    <row r="1204" spans="1:3" x14ac:dyDescent="0.25">
      <c r="A1204" t="s">
        <v>187</v>
      </c>
      <c r="B1204">
        <v>4</v>
      </c>
      <c r="C1204">
        <v>1.6438356164383602E-2</v>
      </c>
    </row>
    <row r="1205" spans="1:3" x14ac:dyDescent="0.25">
      <c r="A1205" t="s">
        <v>32</v>
      </c>
      <c r="B1205">
        <v>16</v>
      </c>
      <c r="C1205">
        <v>1.3698630136986301E-2</v>
      </c>
    </row>
    <row r="1206" spans="1:3" x14ac:dyDescent="0.25">
      <c r="A1206" t="s">
        <v>78</v>
      </c>
      <c r="B1206">
        <v>21</v>
      </c>
      <c r="C1206">
        <v>5.4794520547945197E-3</v>
      </c>
    </row>
    <row r="1207" spans="1:3" x14ac:dyDescent="0.25">
      <c r="A1207" t="s">
        <v>66</v>
      </c>
      <c r="B1207">
        <v>23</v>
      </c>
      <c r="C1207">
        <v>1.3698630136986301E-2</v>
      </c>
    </row>
    <row r="1208" spans="1:3" x14ac:dyDescent="0.25">
      <c r="A1208" t="s">
        <v>32</v>
      </c>
      <c r="B1208">
        <v>7</v>
      </c>
      <c r="C1208">
        <v>2.7397260273972599E-3</v>
      </c>
    </row>
    <row r="1209" spans="1:3" x14ac:dyDescent="0.25">
      <c r="A1209" t="s">
        <v>319</v>
      </c>
      <c r="B1209">
        <v>10</v>
      </c>
      <c r="C1209">
        <v>1.3698630136986301E-2</v>
      </c>
    </row>
    <row r="1210" spans="1:3" x14ac:dyDescent="0.25">
      <c r="A1210" t="s">
        <v>37</v>
      </c>
      <c r="B1210">
        <v>2</v>
      </c>
      <c r="C1210">
        <v>0</v>
      </c>
    </row>
    <row r="1211" spans="1:3" x14ac:dyDescent="0.25">
      <c r="A1211" t="s">
        <v>286</v>
      </c>
      <c r="B1211">
        <v>19</v>
      </c>
      <c r="C1211">
        <v>3.2876712328767099E-2</v>
      </c>
    </row>
    <row r="1212" spans="1:3" x14ac:dyDescent="0.25">
      <c r="A1212" t="s">
        <v>65</v>
      </c>
      <c r="B1212">
        <v>2</v>
      </c>
      <c r="C1212">
        <v>8.21917808219178E-3</v>
      </c>
    </row>
    <row r="1213" spans="1:3" x14ac:dyDescent="0.25">
      <c r="A1213" t="s">
        <v>394</v>
      </c>
      <c r="B1213">
        <v>13</v>
      </c>
      <c r="C1213">
        <v>2.7397260273972601E-2</v>
      </c>
    </row>
    <row r="1214" spans="1:3" x14ac:dyDescent="0.25">
      <c r="A1214" t="s">
        <v>319</v>
      </c>
      <c r="B1214">
        <v>19</v>
      </c>
      <c r="C1214">
        <v>1.6438356164383602E-2</v>
      </c>
    </row>
    <row r="1215" spans="1:3" x14ac:dyDescent="0.25">
      <c r="A1215" t="s">
        <v>184</v>
      </c>
      <c r="B1215">
        <v>5</v>
      </c>
      <c r="C1215">
        <v>2.7397260273972599E-3</v>
      </c>
    </row>
    <row r="1216" spans="1:3" x14ac:dyDescent="0.25">
      <c r="A1216" t="s">
        <v>75</v>
      </c>
      <c r="B1216">
        <v>0</v>
      </c>
      <c r="C1216">
        <v>8.21917808219178E-3</v>
      </c>
    </row>
    <row r="1217" spans="1:3" x14ac:dyDescent="0.25">
      <c r="A1217" t="s">
        <v>72</v>
      </c>
      <c r="B1217">
        <v>12</v>
      </c>
      <c r="C1217">
        <v>2.7397260273972601E-2</v>
      </c>
    </row>
    <row r="1218" spans="1:3" x14ac:dyDescent="0.25">
      <c r="A1218" t="s">
        <v>79</v>
      </c>
      <c r="B1218">
        <v>7</v>
      </c>
      <c r="C1218">
        <v>1.0958904109589E-2</v>
      </c>
    </row>
    <row r="1219" spans="1:3" x14ac:dyDescent="0.25">
      <c r="A1219" t="s">
        <v>287</v>
      </c>
      <c r="B1219">
        <v>17</v>
      </c>
      <c r="C1219">
        <v>1.6438356164383602E-2</v>
      </c>
    </row>
    <row r="1220" spans="1:3" x14ac:dyDescent="0.25">
      <c r="A1220" t="s">
        <v>289</v>
      </c>
      <c r="B1220">
        <v>15</v>
      </c>
      <c r="C1220">
        <v>5.4794520547945197E-3</v>
      </c>
    </row>
    <row r="1221" spans="1:3" x14ac:dyDescent="0.25">
      <c r="A1221" t="s">
        <v>296</v>
      </c>
      <c r="B1221">
        <v>0</v>
      </c>
      <c r="C1221">
        <v>1.0958904109589E-2</v>
      </c>
    </row>
    <row r="1222" spans="1:3" x14ac:dyDescent="0.25">
      <c r="A1222" t="s">
        <v>28</v>
      </c>
      <c r="B1222">
        <v>2</v>
      </c>
      <c r="C1222">
        <v>8.21917808219178E-3</v>
      </c>
    </row>
    <row r="1223" spans="1:3" x14ac:dyDescent="0.25">
      <c r="A1223" t="s">
        <v>189</v>
      </c>
      <c r="B1223">
        <v>4</v>
      </c>
      <c r="C1223">
        <v>1.0958904109589E-2</v>
      </c>
    </row>
    <row r="1224" spans="1:3" x14ac:dyDescent="0.25">
      <c r="A1224" t="s">
        <v>19</v>
      </c>
      <c r="B1224">
        <v>22</v>
      </c>
      <c r="C1224">
        <v>2.7397260273972601E-2</v>
      </c>
    </row>
    <row r="1225" spans="1:3" x14ac:dyDescent="0.25">
      <c r="A1225" t="s">
        <v>288</v>
      </c>
      <c r="B1225">
        <v>10</v>
      </c>
      <c r="C1225">
        <v>2.19178082191781E-2</v>
      </c>
    </row>
    <row r="1226" spans="1:3" x14ac:dyDescent="0.25">
      <c r="A1226" t="s">
        <v>77</v>
      </c>
      <c r="B1226">
        <v>21</v>
      </c>
      <c r="C1226">
        <v>1.0958904109589E-2</v>
      </c>
    </row>
    <row r="1227" spans="1:3" x14ac:dyDescent="0.25">
      <c r="A1227" t="s">
        <v>19</v>
      </c>
      <c r="B1227">
        <v>1</v>
      </c>
      <c r="C1227">
        <v>5.4794520547945197E-3</v>
      </c>
    </row>
    <row r="1228" spans="1:3" x14ac:dyDescent="0.25">
      <c r="A1228" t="s">
        <v>297</v>
      </c>
      <c r="B1228">
        <v>11</v>
      </c>
      <c r="C1228">
        <v>8.21917808219178E-3</v>
      </c>
    </row>
    <row r="1229" spans="1:3" x14ac:dyDescent="0.25">
      <c r="A1229" t="s">
        <v>37</v>
      </c>
      <c r="B1229">
        <v>4</v>
      </c>
      <c r="C1229">
        <v>0</v>
      </c>
    </row>
    <row r="1230" spans="1:3" x14ac:dyDescent="0.25">
      <c r="A1230" t="s">
        <v>72</v>
      </c>
      <c r="B1230">
        <v>4</v>
      </c>
      <c r="C1230">
        <v>2.7397260273972599E-3</v>
      </c>
    </row>
    <row r="1231" spans="1:3" x14ac:dyDescent="0.25">
      <c r="A1231" t="s">
        <v>321</v>
      </c>
      <c r="B1231">
        <v>7</v>
      </c>
      <c r="C1231">
        <v>8.21917808219178E-3</v>
      </c>
    </row>
    <row r="1232" spans="1:3" x14ac:dyDescent="0.25">
      <c r="A1232" t="s">
        <v>320</v>
      </c>
      <c r="B1232">
        <v>23</v>
      </c>
      <c r="C1232">
        <v>3.0136986301369899E-2</v>
      </c>
    </row>
    <row r="1233" spans="1:3" x14ac:dyDescent="0.25">
      <c r="A1233" t="s">
        <v>297</v>
      </c>
      <c r="B1233">
        <v>1</v>
      </c>
      <c r="C1233">
        <v>1.9178082191780799E-2</v>
      </c>
    </row>
    <row r="1234" spans="1:3" x14ac:dyDescent="0.25">
      <c r="A1234" t="s">
        <v>188</v>
      </c>
      <c r="B1234">
        <v>3</v>
      </c>
      <c r="C1234">
        <v>0</v>
      </c>
    </row>
    <row r="1235" spans="1:3" x14ac:dyDescent="0.25">
      <c r="A1235" t="s">
        <v>73</v>
      </c>
      <c r="B1235">
        <v>6</v>
      </c>
      <c r="C1235">
        <v>8.21917808219178E-3</v>
      </c>
    </row>
    <row r="1236" spans="1:3" x14ac:dyDescent="0.25">
      <c r="A1236" t="s">
        <v>76</v>
      </c>
      <c r="B1236">
        <v>23</v>
      </c>
      <c r="C1236">
        <v>2.19178082191781E-2</v>
      </c>
    </row>
    <row r="1237" spans="1:3" x14ac:dyDescent="0.25">
      <c r="A1237" t="s">
        <v>309</v>
      </c>
      <c r="B1237">
        <v>3</v>
      </c>
      <c r="C1237">
        <v>2.7397260273972599E-3</v>
      </c>
    </row>
    <row r="1238" spans="1:3" x14ac:dyDescent="0.25">
      <c r="A1238" t="s">
        <v>38</v>
      </c>
      <c r="B1238">
        <v>13</v>
      </c>
      <c r="C1238">
        <v>5.4794520547945197E-3</v>
      </c>
    </row>
    <row r="1239" spans="1:3" x14ac:dyDescent="0.25">
      <c r="A1239" t="s">
        <v>288</v>
      </c>
      <c r="B1239">
        <v>21</v>
      </c>
      <c r="C1239">
        <v>1.3698630136986301E-2</v>
      </c>
    </row>
    <row r="1240" spans="1:3" x14ac:dyDescent="0.25">
      <c r="A1240" t="s">
        <v>313</v>
      </c>
      <c r="B1240">
        <v>22</v>
      </c>
      <c r="C1240">
        <v>8.21917808219178E-3</v>
      </c>
    </row>
    <row r="1241" spans="1:3" x14ac:dyDescent="0.25">
      <c r="A1241" t="s">
        <v>288</v>
      </c>
      <c r="B1241">
        <v>1</v>
      </c>
      <c r="C1241">
        <v>1.0958904109589E-2</v>
      </c>
    </row>
    <row r="1242" spans="1:3" x14ac:dyDescent="0.25">
      <c r="A1242" t="s">
        <v>290</v>
      </c>
      <c r="B1242">
        <v>2</v>
      </c>
      <c r="C1242">
        <v>2.7397260273972599E-3</v>
      </c>
    </row>
    <row r="1243" spans="1:3" x14ac:dyDescent="0.25">
      <c r="A1243" t="s">
        <v>288</v>
      </c>
      <c r="B1243">
        <v>2</v>
      </c>
      <c r="C1243">
        <v>2.7397260273972599E-3</v>
      </c>
    </row>
    <row r="1244" spans="1:3" x14ac:dyDescent="0.25">
      <c r="A1244" t="s">
        <v>290</v>
      </c>
      <c r="B1244">
        <v>4</v>
      </c>
      <c r="C1244">
        <v>5.4794520547945197E-3</v>
      </c>
    </row>
    <row r="1245" spans="1:3" x14ac:dyDescent="0.25">
      <c r="A1245" t="s">
        <v>288</v>
      </c>
      <c r="B1245">
        <v>6</v>
      </c>
      <c r="C1245">
        <v>1.3698630136986301E-2</v>
      </c>
    </row>
    <row r="1246" spans="1:3" x14ac:dyDescent="0.25">
      <c r="A1246" t="s">
        <v>319</v>
      </c>
      <c r="B1246">
        <v>15</v>
      </c>
      <c r="C1246">
        <v>1.3698630136986301E-2</v>
      </c>
    </row>
    <row r="1247" spans="1:3" x14ac:dyDescent="0.25">
      <c r="A1247" t="s">
        <v>288</v>
      </c>
      <c r="B1247">
        <v>13</v>
      </c>
      <c r="C1247">
        <v>1.3698630136986301E-2</v>
      </c>
    </row>
    <row r="1248" spans="1:3" x14ac:dyDescent="0.25">
      <c r="A1248" t="s">
        <v>78</v>
      </c>
      <c r="B1248">
        <v>9</v>
      </c>
      <c r="C1248">
        <v>5.4794520547945197E-3</v>
      </c>
    </row>
    <row r="1249" spans="1:3" x14ac:dyDescent="0.25">
      <c r="A1249" t="s">
        <v>289</v>
      </c>
      <c r="B1249">
        <v>18</v>
      </c>
      <c r="C1249">
        <v>5.4794520547945197E-3</v>
      </c>
    </row>
    <row r="1250" spans="1:3" x14ac:dyDescent="0.25">
      <c r="A1250" t="s">
        <v>312</v>
      </c>
      <c r="B1250">
        <v>4</v>
      </c>
      <c r="C1250">
        <v>1.0958904109589E-2</v>
      </c>
    </row>
    <row r="1251" spans="1:3" x14ac:dyDescent="0.25">
      <c r="A1251" t="s">
        <v>286</v>
      </c>
      <c r="B1251">
        <v>8</v>
      </c>
      <c r="C1251">
        <v>5.4794520547945197E-3</v>
      </c>
    </row>
    <row r="1252" spans="1:3" x14ac:dyDescent="0.25">
      <c r="A1252" t="s">
        <v>309</v>
      </c>
      <c r="B1252">
        <v>12</v>
      </c>
      <c r="C1252">
        <v>8.21917808219178E-3</v>
      </c>
    </row>
    <row r="1253" spans="1:3" x14ac:dyDescent="0.25">
      <c r="A1253" t="s">
        <v>17</v>
      </c>
      <c r="B1253">
        <v>1</v>
      </c>
      <c r="C1253">
        <v>1.3698630136986301E-2</v>
      </c>
    </row>
    <row r="1254" spans="1:3" x14ac:dyDescent="0.25">
      <c r="A1254" t="s">
        <v>70</v>
      </c>
      <c r="B1254">
        <v>5</v>
      </c>
      <c r="C1254">
        <v>2.7397260273972599E-3</v>
      </c>
    </row>
    <row r="1255" spans="1:3" x14ac:dyDescent="0.25">
      <c r="A1255" t="s">
        <v>286</v>
      </c>
      <c r="B1255">
        <v>18</v>
      </c>
      <c r="C1255">
        <v>8.21917808219178E-3</v>
      </c>
    </row>
    <row r="1256" spans="1:3" x14ac:dyDescent="0.25">
      <c r="A1256" t="s">
        <v>189</v>
      </c>
      <c r="B1256">
        <v>2</v>
      </c>
      <c r="C1256">
        <v>5.4794520547945197E-3</v>
      </c>
    </row>
    <row r="1257" spans="1:3" x14ac:dyDescent="0.25">
      <c r="A1257" t="s">
        <v>32</v>
      </c>
      <c r="B1257">
        <v>20</v>
      </c>
      <c r="C1257">
        <v>5.4794520547945197E-3</v>
      </c>
    </row>
    <row r="1258" spans="1:3" x14ac:dyDescent="0.25">
      <c r="A1258" t="s">
        <v>188</v>
      </c>
      <c r="B1258">
        <v>0</v>
      </c>
      <c r="C1258">
        <v>1.3698630136986301E-2</v>
      </c>
    </row>
    <row r="1259" spans="1:3" x14ac:dyDescent="0.25">
      <c r="A1259" t="s">
        <v>77</v>
      </c>
      <c r="B1259">
        <v>4</v>
      </c>
      <c r="C1259">
        <v>0</v>
      </c>
    </row>
    <row r="1260" spans="1:3" x14ac:dyDescent="0.25">
      <c r="A1260" t="s">
        <v>297</v>
      </c>
      <c r="B1260">
        <v>2</v>
      </c>
      <c r="C1260">
        <v>5.4794520547945197E-3</v>
      </c>
    </row>
    <row r="1261" spans="1:3" x14ac:dyDescent="0.25">
      <c r="A1261" t="s">
        <v>77</v>
      </c>
      <c r="B1261">
        <v>15</v>
      </c>
      <c r="C1261">
        <v>1.3698630136986301E-2</v>
      </c>
    </row>
    <row r="1262" spans="1:3" x14ac:dyDescent="0.25">
      <c r="A1262" t="s">
        <v>19</v>
      </c>
      <c r="B1262">
        <v>3</v>
      </c>
      <c r="C1262">
        <v>8.21917808219178E-3</v>
      </c>
    </row>
    <row r="1263" spans="1:3" x14ac:dyDescent="0.25">
      <c r="A1263" t="s">
        <v>38</v>
      </c>
      <c r="B1263">
        <v>19</v>
      </c>
      <c r="C1263">
        <v>2.7397260273972599E-3</v>
      </c>
    </row>
    <row r="1264" spans="1:3" x14ac:dyDescent="0.25">
      <c r="A1264" t="s">
        <v>297</v>
      </c>
      <c r="B1264">
        <v>20</v>
      </c>
      <c r="C1264">
        <v>1.0958904109589E-2</v>
      </c>
    </row>
    <row r="1265" spans="1:3" x14ac:dyDescent="0.25">
      <c r="A1265" t="s">
        <v>313</v>
      </c>
      <c r="B1265">
        <v>5</v>
      </c>
      <c r="C1265">
        <v>5.4794520547945197E-3</v>
      </c>
    </row>
    <row r="1266" spans="1:3" x14ac:dyDescent="0.25">
      <c r="A1266" t="s">
        <v>19</v>
      </c>
      <c r="B1266">
        <v>4</v>
      </c>
      <c r="C1266">
        <v>2.7397260273972599E-3</v>
      </c>
    </row>
    <row r="1267" spans="1:3" x14ac:dyDescent="0.25">
      <c r="A1267" t="s">
        <v>66</v>
      </c>
      <c r="B1267">
        <v>4</v>
      </c>
      <c r="C1267">
        <v>1.0958904109589E-2</v>
      </c>
    </row>
    <row r="1268" spans="1:3" x14ac:dyDescent="0.25">
      <c r="A1268" t="s">
        <v>73</v>
      </c>
      <c r="B1268">
        <v>3</v>
      </c>
      <c r="C1268">
        <v>2.7397260273972599E-3</v>
      </c>
    </row>
    <row r="1269" spans="1:3" x14ac:dyDescent="0.25">
      <c r="A1269" t="s">
        <v>291</v>
      </c>
      <c r="B1269">
        <v>1</v>
      </c>
      <c r="C1269">
        <v>1.3698630136986301E-2</v>
      </c>
    </row>
    <row r="1270" spans="1:3" x14ac:dyDescent="0.25">
      <c r="A1270" t="s">
        <v>76</v>
      </c>
      <c r="B1270">
        <v>15</v>
      </c>
      <c r="C1270">
        <v>2.46575342465753E-2</v>
      </c>
    </row>
    <row r="1271" spans="1:3" x14ac:dyDescent="0.25">
      <c r="A1271" t="s">
        <v>71</v>
      </c>
      <c r="B1271">
        <v>2</v>
      </c>
      <c r="C1271">
        <v>0</v>
      </c>
    </row>
    <row r="1272" spans="1:3" x14ac:dyDescent="0.25">
      <c r="A1272" t="s">
        <v>79</v>
      </c>
      <c r="B1272">
        <v>0</v>
      </c>
      <c r="C1272">
        <v>2.7397260273972599E-3</v>
      </c>
    </row>
    <row r="1273" spans="1:3" x14ac:dyDescent="0.25">
      <c r="A1273" t="s">
        <v>78</v>
      </c>
      <c r="B1273">
        <v>22</v>
      </c>
      <c r="C1273">
        <v>2.7397260273972599E-3</v>
      </c>
    </row>
    <row r="1274" spans="1:3" x14ac:dyDescent="0.25">
      <c r="A1274" t="s">
        <v>28</v>
      </c>
      <c r="B1274">
        <v>22</v>
      </c>
      <c r="C1274">
        <v>1.3698630136986301E-2</v>
      </c>
    </row>
    <row r="1275" spans="1:3" x14ac:dyDescent="0.25">
      <c r="A1275" t="s">
        <v>28</v>
      </c>
      <c r="B1275">
        <v>6</v>
      </c>
      <c r="C1275">
        <v>1.3698630136986301E-2</v>
      </c>
    </row>
    <row r="1276" spans="1:3" x14ac:dyDescent="0.25">
      <c r="A1276" t="s">
        <v>318</v>
      </c>
      <c r="B1276">
        <v>23</v>
      </c>
      <c r="C1276">
        <v>1.3698630136986301E-2</v>
      </c>
    </row>
    <row r="1277" spans="1:3" x14ac:dyDescent="0.25">
      <c r="A1277" t="s">
        <v>190</v>
      </c>
      <c r="B1277">
        <v>2</v>
      </c>
      <c r="C1277">
        <v>2.7397260273972599E-3</v>
      </c>
    </row>
    <row r="1278" spans="1:3" x14ac:dyDescent="0.25">
      <c r="A1278" t="s">
        <v>313</v>
      </c>
      <c r="B1278">
        <v>6</v>
      </c>
      <c r="C1278">
        <v>1.6438356164383602E-2</v>
      </c>
    </row>
    <row r="1279" spans="1:3" x14ac:dyDescent="0.25">
      <c r="A1279" t="s">
        <v>287</v>
      </c>
      <c r="B1279">
        <v>10</v>
      </c>
      <c r="C1279">
        <v>2.7397260273972599E-3</v>
      </c>
    </row>
    <row r="1280" spans="1:3" x14ac:dyDescent="0.25">
      <c r="A1280" t="s">
        <v>321</v>
      </c>
      <c r="B1280">
        <v>21</v>
      </c>
      <c r="C1280">
        <v>1.9178082191780799E-2</v>
      </c>
    </row>
    <row r="1281" spans="1:3" x14ac:dyDescent="0.25">
      <c r="A1281" t="s">
        <v>310</v>
      </c>
      <c r="B1281">
        <v>0</v>
      </c>
      <c r="C1281">
        <v>1.3698630136986301E-2</v>
      </c>
    </row>
    <row r="1282" spans="1:3" x14ac:dyDescent="0.25">
      <c r="A1282" t="s">
        <v>291</v>
      </c>
      <c r="B1282">
        <v>10</v>
      </c>
      <c r="C1282">
        <v>1.3698630136986301E-2</v>
      </c>
    </row>
    <row r="1283" spans="1:3" x14ac:dyDescent="0.25">
      <c r="A1283" t="s">
        <v>313</v>
      </c>
      <c r="B1283">
        <v>3</v>
      </c>
      <c r="C1283">
        <v>5.4794520547945197E-3</v>
      </c>
    </row>
    <row r="1284" spans="1:3" x14ac:dyDescent="0.25">
      <c r="A1284" t="s">
        <v>186</v>
      </c>
      <c r="B1284">
        <v>23</v>
      </c>
      <c r="C1284">
        <v>0</v>
      </c>
    </row>
    <row r="1285" spans="1:3" x14ac:dyDescent="0.25">
      <c r="A1285" t="s">
        <v>394</v>
      </c>
      <c r="B1285">
        <v>1</v>
      </c>
      <c r="C1285">
        <v>1.0958904109589E-2</v>
      </c>
    </row>
    <row r="1286" spans="1:3" x14ac:dyDescent="0.25">
      <c r="A1286" t="s">
        <v>297</v>
      </c>
      <c r="B1286">
        <v>4</v>
      </c>
      <c r="C1286">
        <v>2.7397260273972599E-3</v>
      </c>
    </row>
    <row r="1287" spans="1:3" x14ac:dyDescent="0.25">
      <c r="A1287" t="s">
        <v>290</v>
      </c>
      <c r="B1287">
        <v>20</v>
      </c>
      <c r="C1287">
        <v>2.19178082191781E-2</v>
      </c>
    </row>
    <row r="1288" spans="1:3" x14ac:dyDescent="0.25">
      <c r="A1288" t="s">
        <v>290</v>
      </c>
      <c r="B1288">
        <v>19</v>
      </c>
      <c r="C1288">
        <v>2.19178082191781E-2</v>
      </c>
    </row>
    <row r="1289" spans="1:3" x14ac:dyDescent="0.25">
      <c r="A1289" t="s">
        <v>70</v>
      </c>
      <c r="B1289">
        <v>4</v>
      </c>
      <c r="C1289">
        <v>2.7397260273972599E-3</v>
      </c>
    </row>
    <row r="1290" spans="1:3" x14ac:dyDescent="0.25">
      <c r="A1290" t="s">
        <v>190</v>
      </c>
      <c r="B1290">
        <v>14</v>
      </c>
      <c r="C1290">
        <v>1.6438356164383602E-2</v>
      </c>
    </row>
    <row r="1291" spans="1:3" x14ac:dyDescent="0.25">
      <c r="A1291" t="s">
        <v>318</v>
      </c>
      <c r="B1291">
        <v>0</v>
      </c>
      <c r="C1291">
        <v>2.7397260273972599E-3</v>
      </c>
    </row>
    <row r="1292" spans="1:3" x14ac:dyDescent="0.25">
      <c r="A1292" t="s">
        <v>286</v>
      </c>
      <c r="B1292">
        <v>4</v>
      </c>
      <c r="C1292">
        <v>5.4794520547945197E-3</v>
      </c>
    </row>
    <row r="1293" spans="1:3" x14ac:dyDescent="0.25">
      <c r="A1293" t="s">
        <v>319</v>
      </c>
      <c r="B1293">
        <v>6</v>
      </c>
      <c r="C1293">
        <v>2.7397260273972599E-3</v>
      </c>
    </row>
    <row r="1294" spans="1:3" x14ac:dyDescent="0.25">
      <c r="A1294" t="s">
        <v>320</v>
      </c>
      <c r="B1294">
        <v>0</v>
      </c>
      <c r="C1294">
        <v>5.4794520547945197E-3</v>
      </c>
    </row>
    <row r="1295" spans="1:3" x14ac:dyDescent="0.25">
      <c r="A1295" t="s">
        <v>64</v>
      </c>
      <c r="B1295">
        <v>1</v>
      </c>
      <c r="C1295">
        <v>1.3698630136986301E-2</v>
      </c>
    </row>
    <row r="1296" spans="1:3" x14ac:dyDescent="0.25">
      <c r="A1296" t="s">
        <v>291</v>
      </c>
      <c r="B1296">
        <v>3</v>
      </c>
      <c r="C1296">
        <v>2.7397260273972599E-3</v>
      </c>
    </row>
    <row r="1297" spans="1:3" x14ac:dyDescent="0.25">
      <c r="A1297" t="s">
        <v>321</v>
      </c>
      <c r="B1297">
        <v>6</v>
      </c>
      <c r="C1297">
        <v>2.7397260273972599E-3</v>
      </c>
    </row>
    <row r="1298" spans="1:3" x14ac:dyDescent="0.25">
      <c r="A1298" t="s">
        <v>297</v>
      </c>
      <c r="B1298">
        <v>7</v>
      </c>
      <c r="C1298">
        <v>8.21917808219178E-3</v>
      </c>
    </row>
    <row r="1299" spans="1:3" x14ac:dyDescent="0.25">
      <c r="A1299" t="s">
        <v>67</v>
      </c>
      <c r="B1299">
        <v>2</v>
      </c>
      <c r="C1299">
        <v>1.6438356164383602E-2</v>
      </c>
    </row>
    <row r="1300" spans="1:3" x14ac:dyDescent="0.25">
      <c r="A1300" t="s">
        <v>38</v>
      </c>
      <c r="B1300">
        <v>20</v>
      </c>
      <c r="C1300">
        <v>2.7397260273972599E-3</v>
      </c>
    </row>
    <row r="1301" spans="1:3" x14ac:dyDescent="0.25">
      <c r="A1301" t="s">
        <v>287</v>
      </c>
      <c r="B1301">
        <v>14</v>
      </c>
      <c r="C1301">
        <v>5.4794520547945197E-3</v>
      </c>
    </row>
    <row r="1302" spans="1:3" x14ac:dyDescent="0.25">
      <c r="A1302" t="s">
        <v>290</v>
      </c>
      <c r="B1302">
        <v>21</v>
      </c>
      <c r="C1302">
        <v>8.21917808219178E-3</v>
      </c>
    </row>
    <row r="1303" spans="1:3" x14ac:dyDescent="0.25">
      <c r="A1303" t="s">
        <v>289</v>
      </c>
      <c r="B1303">
        <v>13</v>
      </c>
      <c r="C1303">
        <v>5.4794520547945197E-3</v>
      </c>
    </row>
    <row r="1304" spans="1:3" x14ac:dyDescent="0.25">
      <c r="A1304" t="s">
        <v>321</v>
      </c>
      <c r="B1304">
        <v>4</v>
      </c>
      <c r="C1304">
        <v>2.7397260273972599E-3</v>
      </c>
    </row>
    <row r="1305" spans="1:3" x14ac:dyDescent="0.25">
      <c r="A1305" t="s">
        <v>73</v>
      </c>
      <c r="B1305">
        <v>2</v>
      </c>
      <c r="C1305">
        <v>0</v>
      </c>
    </row>
    <row r="1306" spans="1:3" x14ac:dyDescent="0.25">
      <c r="A1306" t="s">
        <v>394</v>
      </c>
      <c r="B1306">
        <v>3</v>
      </c>
      <c r="C1306">
        <v>2.7397260273972599E-3</v>
      </c>
    </row>
    <row r="1307" spans="1:3" x14ac:dyDescent="0.25">
      <c r="A1307" t="s">
        <v>77</v>
      </c>
      <c r="B1307">
        <v>23</v>
      </c>
      <c r="C1307">
        <v>2.7397260273972599E-3</v>
      </c>
    </row>
    <row r="1308" spans="1:3" x14ac:dyDescent="0.25">
      <c r="A1308" t="s">
        <v>288</v>
      </c>
      <c r="B1308">
        <v>4</v>
      </c>
      <c r="C1308">
        <v>8.21917808219178E-3</v>
      </c>
    </row>
    <row r="1309" spans="1:3" x14ac:dyDescent="0.25">
      <c r="A1309" t="s">
        <v>312</v>
      </c>
      <c r="B1309">
        <v>5</v>
      </c>
      <c r="C1309">
        <v>1.0958904109589E-2</v>
      </c>
    </row>
    <row r="1310" spans="1:3" x14ac:dyDescent="0.25">
      <c r="A1310" t="s">
        <v>308</v>
      </c>
      <c r="B1310">
        <v>2</v>
      </c>
      <c r="C1310">
        <v>2.7397260273972599E-3</v>
      </c>
    </row>
    <row r="1311" spans="1:3" x14ac:dyDescent="0.25">
      <c r="A1311" t="s">
        <v>308</v>
      </c>
      <c r="B1311">
        <v>3</v>
      </c>
      <c r="C1311">
        <v>8.21917808219178E-3</v>
      </c>
    </row>
    <row r="1312" spans="1:3" x14ac:dyDescent="0.25">
      <c r="A1312" t="s">
        <v>188</v>
      </c>
      <c r="B1312">
        <v>4</v>
      </c>
      <c r="C1312">
        <v>5.4794520547945197E-3</v>
      </c>
    </row>
    <row r="1313" spans="1:3" x14ac:dyDescent="0.25">
      <c r="A1313" t="s">
        <v>310</v>
      </c>
      <c r="B1313">
        <v>3</v>
      </c>
      <c r="C1313">
        <v>2.7397260273972599E-3</v>
      </c>
    </row>
    <row r="1314" spans="1:3" x14ac:dyDescent="0.25">
      <c r="A1314" t="s">
        <v>32</v>
      </c>
      <c r="B1314">
        <v>2</v>
      </c>
      <c r="C1314">
        <v>2.7397260273972599E-3</v>
      </c>
    </row>
    <row r="1315" spans="1:3" x14ac:dyDescent="0.25">
      <c r="A1315" t="s">
        <v>73</v>
      </c>
      <c r="B1315">
        <v>4</v>
      </c>
      <c r="C1315">
        <v>5.4794520547945197E-3</v>
      </c>
    </row>
    <row r="1316" spans="1:3" x14ac:dyDescent="0.25">
      <c r="A1316" t="s">
        <v>79</v>
      </c>
      <c r="B1316">
        <v>14</v>
      </c>
      <c r="C1316">
        <v>1.0958904109589E-2</v>
      </c>
    </row>
    <row r="1317" spans="1:3" x14ac:dyDescent="0.25">
      <c r="A1317" t="s">
        <v>79</v>
      </c>
      <c r="B1317">
        <v>15</v>
      </c>
      <c r="C1317">
        <v>5.4794520547945197E-3</v>
      </c>
    </row>
    <row r="1318" spans="1:3" x14ac:dyDescent="0.25">
      <c r="A1318" t="s">
        <v>320</v>
      </c>
      <c r="B1318">
        <v>22</v>
      </c>
      <c r="C1318">
        <v>2.7397260273972599E-3</v>
      </c>
    </row>
    <row r="1319" spans="1:3" x14ac:dyDescent="0.25">
      <c r="A1319" t="s">
        <v>291</v>
      </c>
      <c r="B1319">
        <v>6</v>
      </c>
      <c r="C1319">
        <v>5.4794520547945197E-3</v>
      </c>
    </row>
    <row r="1320" spans="1:3" x14ac:dyDescent="0.25">
      <c r="A1320" t="s">
        <v>19</v>
      </c>
      <c r="B1320">
        <v>6</v>
      </c>
      <c r="C1320">
        <v>5.4794520547945197E-3</v>
      </c>
    </row>
    <row r="1321" spans="1:3" x14ac:dyDescent="0.25">
      <c r="A1321" t="s">
        <v>313</v>
      </c>
      <c r="B1321">
        <v>7</v>
      </c>
      <c r="C1321">
        <v>5.4794520547945197E-3</v>
      </c>
    </row>
    <row r="1322" spans="1:3" x14ac:dyDescent="0.25">
      <c r="A1322" t="s">
        <v>287</v>
      </c>
      <c r="B1322">
        <v>18</v>
      </c>
      <c r="C1322">
        <v>5.4794520547945197E-3</v>
      </c>
    </row>
    <row r="1323" spans="1:3" x14ac:dyDescent="0.25">
      <c r="A1323" t="s">
        <v>21</v>
      </c>
      <c r="B1323">
        <v>6</v>
      </c>
      <c r="C1323">
        <v>0</v>
      </c>
    </row>
    <row r="1324" spans="1:3" x14ac:dyDescent="0.25">
      <c r="A1324" t="s">
        <v>290</v>
      </c>
      <c r="B1324">
        <v>3</v>
      </c>
      <c r="C1324">
        <v>2.7397260273972599E-3</v>
      </c>
    </row>
    <row r="1325" spans="1:3" x14ac:dyDescent="0.25">
      <c r="A1325" t="s">
        <v>77</v>
      </c>
      <c r="B1325">
        <v>1</v>
      </c>
      <c r="C1325">
        <v>0</v>
      </c>
    </row>
    <row r="1326" spans="1:3" x14ac:dyDescent="0.25">
      <c r="A1326" t="s">
        <v>287</v>
      </c>
      <c r="B1326">
        <v>1</v>
      </c>
      <c r="C1326">
        <v>5.4794520547945197E-3</v>
      </c>
    </row>
    <row r="1327" spans="1:3" x14ac:dyDescent="0.25">
      <c r="A1327" t="s">
        <v>78</v>
      </c>
      <c r="B1327">
        <v>13</v>
      </c>
      <c r="C1327">
        <v>5.4794520547945197E-3</v>
      </c>
    </row>
    <row r="1328" spans="1:3" x14ac:dyDescent="0.25">
      <c r="A1328" t="s">
        <v>190</v>
      </c>
      <c r="B1328">
        <v>4</v>
      </c>
      <c r="C1328">
        <v>0</v>
      </c>
    </row>
    <row r="1329" spans="1:3" x14ac:dyDescent="0.25">
      <c r="A1329" t="s">
        <v>186</v>
      </c>
      <c r="B1329">
        <v>0</v>
      </c>
      <c r="C1329">
        <v>5.4794520547945197E-3</v>
      </c>
    </row>
    <row r="1330" spans="1:3" x14ac:dyDescent="0.25">
      <c r="A1330" t="s">
        <v>186</v>
      </c>
      <c r="B1330">
        <v>5</v>
      </c>
      <c r="C1330">
        <v>2.7397260273972599E-3</v>
      </c>
    </row>
    <row r="1331" spans="1:3" x14ac:dyDescent="0.25">
      <c r="A1331" t="s">
        <v>287</v>
      </c>
      <c r="B1331">
        <v>8</v>
      </c>
      <c r="C1331">
        <v>2.7397260273972599E-3</v>
      </c>
    </row>
    <row r="1332" spans="1:3" x14ac:dyDescent="0.25">
      <c r="A1332" t="s">
        <v>77</v>
      </c>
      <c r="B1332">
        <v>6</v>
      </c>
      <c r="C1332">
        <v>0</v>
      </c>
    </row>
    <row r="1333" spans="1:3" x14ac:dyDescent="0.25">
      <c r="A1333" t="s">
        <v>319</v>
      </c>
      <c r="B1333">
        <v>13</v>
      </c>
      <c r="C1333">
        <v>5.4794520547945197E-3</v>
      </c>
    </row>
    <row r="1334" spans="1:3" x14ac:dyDescent="0.25">
      <c r="A1334" t="s">
        <v>393</v>
      </c>
      <c r="B1334">
        <v>1</v>
      </c>
      <c r="C1334">
        <v>1.0958904109589E-2</v>
      </c>
    </row>
    <row r="1335" spans="1:3" x14ac:dyDescent="0.25">
      <c r="A1335" t="s">
        <v>319</v>
      </c>
      <c r="B1335">
        <v>8</v>
      </c>
      <c r="C1335">
        <v>1.0958904109589E-2</v>
      </c>
    </row>
    <row r="1336" spans="1:3" x14ac:dyDescent="0.25">
      <c r="A1336" t="s">
        <v>21</v>
      </c>
      <c r="B1336">
        <v>5</v>
      </c>
      <c r="C1336">
        <v>5.4794520547945197E-3</v>
      </c>
    </row>
    <row r="1337" spans="1:3" x14ac:dyDescent="0.25">
      <c r="A1337" t="s">
        <v>32</v>
      </c>
      <c r="B1337">
        <v>4</v>
      </c>
      <c r="C1337">
        <v>0</v>
      </c>
    </row>
    <row r="1338" spans="1:3" x14ac:dyDescent="0.25">
      <c r="A1338" t="s">
        <v>310</v>
      </c>
      <c r="B1338">
        <v>5</v>
      </c>
      <c r="C1338">
        <v>5.4794520547945197E-3</v>
      </c>
    </row>
    <row r="1339" spans="1:3" x14ac:dyDescent="0.25">
      <c r="A1339" t="s">
        <v>318</v>
      </c>
      <c r="B1339">
        <v>22</v>
      </c>
      <c r="C1339">
        <v>5.4794520547945197E-3</v>
      </c>
    </row>
    <row r="1340" spans="1:3" x14ac:dyDescent="0.25">
      <c r="A1340" t="s">
        <v>310</v>
      </c>
      <c r="B1340">
        <v>23</v>
      </c>
      <c r="C1340">
        <v>1.3698630136986301E-2</v>
      </c>
    </row>
    <row r="1341" spans="1:3" x14ac:dyDescent="0.25">
      <c r="A1341" t="s">
        <v>308</v>
      </c>
      <c r="B1341">
        <v>5</v>
      </c>
      <c r="C1341">
        <v>2.7397260273972599E-3</v>
      </c>
    </row>
    <row r="1342" spans="1:3" x14ac:dyDescent="0.25">
      <c r="A1342" t="s">
        <v>319</v>
      </c>
      <c r="B1342">
        <v>12</v>
      </c>
      <c r="C1342">
        <v>8.21917808219178E-3</v>
      </c>
    </row>
    <row r="1343" spans="1:3" x14ac:dyDescent="0.25">
      <c r="A1343" t="s">
        <v>310</v>
      </c>
      <c r="B1343">
        <v>2</v>
      </c>
      <c r="C1343">
        <v>5.4794520547945197E-3</v>
      </c>
    </row>
    <row r="1344" spans="1:3" x14ac:dyDescent="0.25">
      <c r="A1344" t="s">
        <v>79</v>
      </c>
      <c r="B1344">
        <v>6</v>
      </c>
      <c r="C1344">
        <v>8.21917808219178E-3</v>
      </c>
    </row>
    <row r="1345" spans="1:3" x14ac:dyDescent="0.25">
      <c r="A1345" t="s">
        <v>21</v>
      </c>
      <c r="B1345">
        <v>1</v>
      </c>
      <c r="C1345">
        <v>0</v>
      </c>
    </row>
    <row r="1346" spans="1:3" x14ac:dyDescent="0.25">
      <c r="A1346" t="s">
        <v>77</v>
      </c>
      <c r="B1346">
        <v>3</v>
      </c>
      <c r="C1346">
        <v>0</v>
      </c>
    </row>
    <row r="1347" spans="1:3" x14ac:dyDescent="0.25">
      <c r="A1347" t="s">
        <v>32</v>
      </c>
      <c r="B1347">
        <v>3</v>
      </c>
      <c r="C1347">
        <v>2.7397260273972599E-3</v>
      </c>
    </row>
    <row r="1348" spans="1:3" x14ac:dyDescent="0.25">
      <c r="A1348" t="s">
        <v>309</v>
      </c>
      <c r="B1348">
        <v>2</v>
      </c>
      <c r="C1348">
        <v>2.7397260273972599E-3</v>
      </c>
    </row>
    <row r="1349" spans="1:3" x14ac:dyDescent="0.25">
      <c r="A1349" t="s">
        <v>393</v>
      </c>
      <c r="B1349">
        <v>2</v>
      </c>
      <c r="C1349">
        <v>5.4794520547945197E-3</v>
      </c>
    </row>
    <row r="1350" spans="1:3" x14ac:dyDescent="0.25">
      <c r="A1350" t="s">
        <v>318</v>
      </c>
      <c r="B1350">
        <v>14</v>
      </c>
      <c r="C1350">
        <v>1.0958904109589E-2</v>
      </c>
    </row>
    <row r="1351" spans="1:3" x14ac:dyDescent="0.25">
      <c r="A1351" t="s">
        <v>286</v>
      </c>
      <c r="B1351">
        <v>21</v>
      </c>
      <c r="C1351">
        <v>2.7397260273972599E-3</v>
      </c>
    </row>
    <row r="1352" spans="1:3" x14ac:dyDescent="0.25">
      <c r="A1352" t="s">
        <v>288</v>
      </c>
      <c r="B1352">
        <v>8</v>
      </c>
      <c r="C1352">
        <v>5.4794520547945197E-3</v>
      </c>
    </row>
    <row r="1353" spans="1:3" x14ac:dyDescent="0.25">
      <c r="A1353" t="s">
        <v>321</v>
      </c>
      <c r="B1353">
        <v>5</v>
      </c>
      <c r="C1353">
        <v>2.7397260273972599E-3</v>
      </c>
    </row>
    <row r="1354" spans="1:3" x14ac:dyDescent="0.25">
      <c r="A1354" t="s">
        <v>296</v>
      </c>
      <c r="B1354">
        <v>2</v>
      </c>
      <c r="C1354">
        <v>2.7397260273972599E-3</v>
      </c>
    </row>
    <row r="1355" spans="1:3" x14ac:dyDescent="0.25">
      <c r="A1355" t="s">
        <v>290</v>
      </c>
      <c r="B1355">
        <v>18</v>
      </c>
      <c r="C1355">
        <v>2.7397260273972599E-3</v>
      </c>
    </row>
    <row r="1356" spans="1:3" x14ac:dyDescent="0.25">
      <c r="A1356" t="s">
        <v>78</v>
      </c>
      <c r="B1356">
        <v>6</v>
      </c>
      <c r="C1356">
        <v>0</v>
      </c>
    </row>
    <row r="1357" spans="1:3" x14ac:dyDescent="0.25">
      <c r="A1357" t="s">
        <v>286</v>
      </c>
      <c r="B1357">
        <v>5</v>
      </c>
      <c r="C1357">
        <v>2.7397260273972599E-3</v>
      </c>
    </row>
    <row r="1358" spans="1:3" x14ac:dyDescent="0.25">
      <c r="A1358" t="s">
        <v>312</v>
      </c>
      <c r="B1358">
        <v>3</v>
      </c>
      <c r="C1358">
        <v>1.0958904109589E-2</v>
      </c>
    </row>
    <row r="1359" spans="1:3" x14ac:dyDescent="0.25">
      <c r="A1359" t="s">
        <v>79</v>
      </c>
      <c r="B1359">
        <v>3</v>
      </c>
      <c r="C1359">
        <v>2.7397260273972599E-3</v>
      </c>
    </row>
    <row r="1360" spans="1:3" x14ac:dyDescent="0.25">
      <c r="A1360" t="s">
        <v>319</v>
      </c>
      <c r="B1360">
        <v>7</v>
      </c>
      <c r="C1360">
        <v>2.7397260273972599E-3</v>
      </c>
    </row>
    <row r="1361" spans="1:3" x14ac:dyDescent="0.25">
      <c r="A1361" t="s">
        <v>36</v>
      </c>
      <c r="B1361">
        <v>4</v>
      </c>
      <c r="C1361">
        <v>2.7397260273972599E-3</v>
      </c>
    </row>
    <row r="1362" spans="1:3" x14ac:dyDescent="0.25">
      <c r="A1362" t="s">
        <v>394</v>
      </c>
      <c r="B1362">
        <v>4</v>
      </c>
      <c r="C1362">
        <v>2.7397260273972599E-3</v>
      </c>
    </row>
    <row r="1363" spans="1:3" x14ac:dyDescent="0.25">
      <c r="A1363" t="s">
        <v>73</v>
      </c>
      <c r="B1363">
        <v>5</v>
      </c>
      <c r="C1363">
        <v>5.4794520547945197E-3</v>
      </c>
    </row>
    <row r="1364" spans="1:3" x14ac:dyDescent="0.25">
      <c r="A1364" t="s">
        <v>190</v>
      </c>
      <c r="B1364">
        <v>6</v>
      </c>
      <c r="C1364">
        <v>2.7397260273972599E-3</v>
      </c>
    </row>
    <row r="1365" spans="1:3" x14ac:dyDescent="0.25">
      <c r="A1365" t="s">
        <v>310</v>
      </c>
      <c r="B1365">
        <v>4</v>
      </c>
      <c r="C1365">
        <v>2.7397260273972599E-3</v>
      </c>
    </row>
    <row r="1366" spans="1:3" x14ac:dyDescent="0.25">
      <c r="A1366" t="s">
        <v>296</v>
      </c>
      <c r="B1366">
        <v>6</v>
      </c>
      <c r="C1366">
        <v>5.4794520547945197E-3</v>
      </c>
    </row>
    <row r="1367" spans="1:3" x14ac:dyDescent="0.25">
      <c r="A1367" t="s">
        <v>312</v>
      </c>
      <c r="B1367">
        <v>1</v>
      </c>
      <c r="C1367">
        <v>2.7397260273972599E-3</v>
      </c>
    </row>
    <row r="1368" spans="1:3" x14ac:dyDescent="0.25">
      <c r="A1368" t="s">
        <v>188</v>
      </c>
      <c r="B1368">
        <v>2</v>
      </c>
      <c r="C1368">
        <v>0</v>
      </c>
    </row>
    <row r="1369" spans="1:3" x14ac:dyDescent="0.25">
      <c r="A1369" t="s">
        <v>394</v>
      </c>
      <c r="B1369">
        <v>2</v>
      </c>
      <c r="C1369">
        <v>5.4794520547945197E-3</v>
      </c>
    </row>
    <row r="1370" spans="1:3" x14ac:dyDescent="0.25">
      <c r="A1370" t="s">
        <v>38</v>
      </c>
      <c r="B1370">
        <v>21</v>
      </c>
      <c r="C1370">
        <v>2.7397260273972599E-3</v>
      </c>
    </row>
    <row r="1371" spans="1:3" x14ac:dyDescent="0.25">
      <c r="A1371" t="s">
        <v>70</v>
      </c>
      <c r="B1371">
        <v>3</v>
      </c>
      <c r="C1371">
        <v>2.7397260273972599E-3</v>
      </c>
    </row>
    <row r="1372" spans="1:3" x14ac:dyDescent="0.25">
      <c r="A1372" t="s">
        <v>38</v>
      </c>
      <c r="B1372">
        <v>22</v>
      </c>
      <c r="C1372">
        <v>2.7397260273972599E-3</v>
      </c>
    </row>
    <row r="1373" spans="1:3" x14ac:dyDescent="0.25">
      <c r="A1373" t="s">
        <v>309</v>
      </c>
      <c r="B1373">
        <v>22</v>
      </c>
      <c r="C1373">
        <v>2.7397260273972599E-3</v>
      </c>
    </row>
    <row r="1374" spans="1:3" x14ac:dyDescent="0.25">
      <c r="A1374" t="s">
        <v>289</v>
      </c>
      <c r="B1374">
        <v>2</v>
      </c>
      <c r="C1374">
        <v>2.7397260273972599E-3</v>
      </c>
    </row>
    <row r="1375" spans="1:3" x14ac:dyDescent="0.25">
      <c r="A1375" t="s">
        <v>190</v>
      </c>
      <c r="B1375">
        <v>3</v>
      </c>
      <c r="C1375">
        <v>2.7397260273972599E-3</v>
      </c>
    </row>
    <row r="1376" spans="1:3" x14ac:dyDescent="0.25">
      <c r="A1376" t="s">
        <v>297</v>
      </c>
      <c r="B1376">
        <v>6</v>
      </c>
      <c r="C1376">
        <v>2.7397260273972599E-3</v>
      </c>
    </row>
    <row r="1377" spans="1:3" x14ac:dyDescent="0.25">
      <c r="A1377" t="s">
        <v>287</v>
      </c>
      <c r="B1377">
        <v>23</v>
      </c>
      <c r="C1377">
        <v>2.7397260273972599E-3</v>
      </c>
    </row>
    <row r="1378" spans="1:3" x14ac:dyDescent="0.25">
      <c r="A1378" t="s">
        <v>69</v>
      </c>
      <c r="B1378">
        <v>4</v>
      </c>
      <c r="C1378">
        <v>0</v>
      </c>
    </row>
    <row r="1379" spans="1:3" x14ac:dyDescent="0.25">
      <c r="A1379" t="s">
        <v>37</v>
      </c>
      <c r="B1379">
        <v>5</v>
      </c>
      <c r="C1379">
        <v>2.7397260273972599E-3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1379"/>
  <sheetViews>
    <sheetView workbookViewId="0">
      <selection activeCell="A2" sqref="A2:D1379"/>
    </sheetView>
  </sheetViews>
  <sheetFormatPr defaultRowHeight="15" x14ac:dyDescent="0.25"/>
  <cols>
    <col min="1" max="1" width="37.5703125" bestFit="1" customWidth="1"/>
    <col min="2" max="2" width="4.85546875" bestFit="1" customWidth="1"/>
    <col min="3" max="3" width="21.42578125" bestFit="1" customWidth="1"/>
    <col min="4" max="4" width="16.28515625" bestFit="1" customWidth="1"/>
  </cols>
  <sheetData>
    <row r="1" spans="1:4" x14ac:dyDescent="0.25">
      <c r="A1" t="s">
        <v>8</v>
      </c>
      <c r="B1" t="s">
        <v>1</v>
      </c>
      <c r="C1" t="s">
        <v>98</v>
      </c>
      <c r="D1" t="s">
        <v>159</v>
      </c>
    </row>
    <row r="2" spans="1:4" x14ac:dyDescent="0.25">
      <c r="A2" t="s">
        <v>36</v>
      </c>
      <c r="B2">
        <v>2</v>
      </c>
      <c r="C2">
        <v>2.4657534246575342E-2</v>
      </c>
      <c r="D2">
        <v>10</v>
      </c>
    </row>
    <row r="3" spans="1:4" x14ac:dyDescent="0.25">
      <c r="A3" t="s">
        <v>287</v>
      </c>
      <c r="B3">
        <v>2</v>
      </c>
      <c r="C3">
        <v>2.7397260273972603E-3</v>
      </c>
      <c r="D3">
        <v>1</v>
      </c>
    </row>
    <row r="4" spans="1:4" x14ac:dyDescent="0.25">
      <c r="A4" t="s">
        <v>72</v>
      </c>
      <c r="B4">
        <v>3</v>
      </c>
      <c r="C4">
        <v>2.7397260273972601E-2</v>
      </c>
      <c r="D4">
        <v>10</v>
      </c>
    </row>
    <row r="5" spans="1:4" x14ac:dyDescent="0.25">
      <c r="A5" t="s">
        <v>287</v>
      </c>
      <c r="B5">
        <v>3</v>
      </c>
      <c r="C5">
        <v>5.4794520547945206E-3</v>
      </c>
      <c r="D5">
        <v>2</v>
      </c>
    </row>
    <row r="6" spans="1:4" x14ac:dyDescent="0.25">
      <c r="A6" t="s">
        <v>288</v>
      </c>
      <c r="B6">
        <v>5</v>
      </c>
      <c r="C6">
        <v>2.7397260273972603E-3</v>
      </c>
      <c r="D6">
        <v>1</v>
      </c>
    </row>
    <row r="7" spans="1:4" x14ac:dyDescent="0.25">
      <c r="A7" t="s">
        <v>67</v>
      </c>
      <c r="B7">
        <v>7</v>
      </c>
      <c r="C7">
        <v>9.3150684931506855E-2</v>
      </c>
      <c r="D7">
        <v>36</v>
      </c>
    </row>
    <row r="8" spans="1:4" x14ac:dyDescent="0.25">
      <c r="A8" t="s">
        <v>60</v>
      </c>
      <c r="B8">
        <v>7</v>
      </c>
      <c r="C8">
        <v>0.12602739726027398</v>
      </c>
      <c r="D8">
        <v>51</v>
      </c>
    </row>
    <row r="9" spans="1:4" x14ac:dyDescent="0.25">
      <c r="A9" t="s">
        <v>62</v>
      </c>
      <c r="B9">
        <v>7</v>
      </c>
      <c r="C9">
        <v>0.10136986301369863</v>
      </c>
      <c r="D9">
        <v>39</v>
      </c>
    </row>
    <row r="10" spans="1:4" x14ac:dyDescent="0.25">
      <c r="A10" t="s">
        <v>72</v>
      </c>
      <c r="B10">
        <v>7</v>
      </c>
      <c r="C10">
        <v>6.0273972602739728E-2</v>
      </c>
      <c r="D10">
        <v>23</v>
      </c>
    </row>
    <row r="11" spans="1:4" x14ac:dyDescent="0.25">
      <c r="A11" t="s">
        <v>58</v>
      </c>
      <c r="B11">
        <v>9</v>
      </c>
      <c r="C11">
        <v>0.21369863013698631</v>
      </c>
      <c r="D11">
        <v>94</v>
      </c>
    </row>
    <row r="12" spans="1:4" x14ac:dyDescent="0.25">
      <c r="A12" t="s">
        <v>183</v>
      </c>
      <c r="B12">
        <v>9</v>
      </c>
      <c r="C12">
        <v>0.25205479452054796</v>
      </c>
      <c r="D12">
        <v>115</v>
      </c>
    </row>
    <row r="13" spans="1:4" x14ac:dyDescent="0.25">
      <c r="A13" t="s">
        <v>184</v>
      </c>
      <c r="B13">
        <v>11</v>
      </c>
      <c r="C13">
        <v>0.18630136986301371</v>
      </c>
      <c r="D13">
        <v>80</v>
      </c>
    </row>
    <row r="14" spans="1:4" x14ac:dyDescent="0.25">
      <c r="A14" t="s">
        <v>320</v>
      </c>
      <c r="B14">
        <v>11</v>
      </c>
      <c r="C14">
        <v>5.4794520547945202E-2</v>
      </c>
      <c r="D14">
        <v>22</v>
      </c>
    </row>
    <row r="15" spans="1:4" x14ac:dyDescent="0.25">
      <c r="A15" t="s">
        <v>62</v>
      </c>
      <c r="B15">
        <v>13</v>
      </c>
      <c r="C15">
        <v>0.17260273972602741</v>
      </c>
      <c r="D15">
        <v>69</v>
      </c>
    </row>
    <row r="16" spans="1:4" x14ac:dyDescent="0.25">
      <c r="A16" t="s">
        <v>56</v>
      </c>
      <c r="B16">
        <v>13</v>
      </c>
      <c r="C16">
        <v>0.2</v>
      </c>
      <c r="D16">
        <v>91</v>
      </c>
    </row>
    <row r="17" spans="1:4" x14ac:dyDescent="0.25">
      <c r="A17" t="s">
        <v>320</v>
      </c>
      <c r="B17">
        <v>13</v>
      </c>
      <c r="C17">
        <v>3.5616438356164383E-2</v>
      </c>
      <c r="D17">
        <v>15</v>
      </c>
    </row>
    <row r="18" spans="1:4" x14ac:dyDescent="0.25">
      <c r="A18" t="s">
        <v>185</v>
      </c>
      <c r="B18">
        <v>13</v>
      </c>
      <c r="C18">
        <v>0.29041095890410956</v>
      </c>
      <c r="D18">
        <v>131</v>
      </c>
    </row>
    <row r="19" spans="1:4" x14ac:dyDescent="0.25">
      <c r="A19" t="s">
        <v>186</v>
      </c>
      <c r="B19">
        <v>14</v>
      </c>
      <c r="C19">
        <v>5.4794520547945202E-2</v>
      </c>
      <c r="D19">
        <v>21</v>
      </c>
    </row>
    <row r="20" spans="1:4" x14ac:dyDescent="0.25">
      <c r="A20" t="s">
        <v>187</v>
      </c>
      <c r="B20">
        <v>14</v>
      </c>
      <c r="C20">
        <v>0.11780821917808219</v>
      </c>
      <c r="D20">
        <v>48</v>
      </c>
    </row>
    <row r="21" spans="1:4" x14ac:dyDescent="0.25">
      <c r="A21" t="s">
        <v>185</v>
      </c>
      <c r="B21">
        <v>14</v>
      </c>
      <c r="C21">
        <v>0.30684931506849317</v>
      </c>
      <c r="D21">
        <v>135</v>
      </c>
    </row>
    <row r="22" spans="1:4" x14ac:dyDescent="0.25">
      <c r="A22" t="s">
        <v>184</v>
      </c>
      <c r="B22">
        <v>15</v>
      </c>
      <c r="C22">
        <v>0.19452054794520549</v>
      </c>
      <c r="D22">
        <v>99</v>
      </c>
    </row>
    <row r="23" spans="1:4" x14ac:dyDescent="0.25">
      <c r="A23" t="s">
        <v>183</v>
      </c>
      <c r="B23">
        <v>15</v>
      </c>
      <c r="C23">
        <v>0.21369863013698631</v>
      </c>
      <c r="D23">
        <v>97</v>
      </c>
    </row>
    <row r="24" spans="1:4" x14ac:dyDescent="0.25">
      <c r="A24" t="s">
        <v>73</v>
      </c>
      <c r="B24">
        <v>15</v>
      </c>
      <c r="C24">
        <v>8.7671232876712329E-2</v>
      </c>
      <c r="D24">
        <v>38</v>
      </c>
    </row>
    <row r="25" spans="1:4" x14ac:dyDescent="0.25">
      <c r="A25" t="s">
        <v>188</v>
      </c>
      <c r="B25">
        <v>15</v>
      </c>
      <c r="C25">
        <v>6.0273972602739728E-2</v>
      </c>
      <c r="D25">
        <v>24</v>
      </c>
    </row>
    <row r="26" spans="1:4" x14ac:dyDescent="0.25">
      <c r="A26" t="s">
        <v>60</v>
      </c>
      <c r="B26">
        <v>15</v>
      </c>
      <c r="C26">
        <v>0.24109589041095891</v>
      </c>
      <c r="D26">
        <v>103</v>
      </c>
    </row>
    <row r="27" spans="1:4" x14ac:dyDescent="0.25">
      <c r="A27" t="s">
        <v>36</v>
      </c>
      <c r="B27">
        <v>15</v>
      </c>
      <c r="C27">
        <v>7.6712328767123292E-2</v>
      </c>
      <c r="D27">
        <v>32</v>
      </c>
    </row>
    <row r="28" spans="1:4" x14ac:dyDescent="0.25">
      <c r="A28" t="s">
        <v>183</v>
      </c>
      <c r="B28">
        <v>16</v>
      </c>
      <c r="C28">
        <v>0.17808219178082191</v>
      </c>
      <c r="D28">
        <v>86</v>
      </c>
    </row>
    <row r="29" spans="1:4" x14ac:dyDescent="0.25">
      <c r="A29" t="s">
        <v>69</v>
      </c>
      <c r="B29">
        <v>16</v>
      </c>
      <c r="C29">
        <v>0.14794520547945206</v>
      </c>
      <c r="D29">
        <v>60</v>
      </c>
    </row>
    <row r="30" spans="1:4" x14ac:dyDescent="0.25">
      <c r="A30" t="s">
        <v>308</v>
      </c>
      <c r="B30">
        <v>16</v>
      </c>
      <c r="C30">
        <v>1.643835616438356E-2</v>
      </c>
      <c r="D30">
        <v>8</v>
      </c>
    </row>
    <row r="31" spans="1:4" x14ac:dyDescent="0.25">
      <c r="A31" t="s">
        <v>17</v>
      </c>
      <c r="B31">
        <v>16</v>
      </c>
      <c r="C31">
        <v>0.14794520547945206</v>
      </c>
      <c r="D31">
        <v>73</v>
      </c>
    </row>
    <row r="32" spans="1:4" x14ac:dyDescent="0.25">
      <c r="A32" t="s">
        <v>74</v>
      </c>
      <c r="B32">
        <v>16</v>
      </c>
      <c r="C32">
        <v>0.1095890410958904</v>
      </c>
      <c r="D32">
        <v>45</v>
      </c>
    </row>
    <row r="33" spans="1:4" x14ac:dyDescent="0.25">
      <c r="A33" t="s">
        <v>189</v>
      </c>
      <c r="B33">
        <v>16</v>
      </c>
      <c r="C33">
        <v>0.14520547945205478</v>
      </c>
      <c r="D33">
        <v>59</v>
      </c>
    </row>
    <row r="34" spans="1:4" x14ac:dyDescent="0.25">
      <c r="A34" t="s">
        <v>186</v>
      </c>
      <c r="B34">
        <v>16</v>
      </c>
      <c r="C34">
        <v>5.4794520547945202E-2</v>
      </c>
      <c r="D34">
        <v>26</v>
      </c>
    </row>
    <row r="35" spans="1:4" x14ac:dyDescent="0.25">
      <c r="A35" t="s">
        <v>60</v>
      </c>
      <c r="B35">
        <v>17</v>
      </c>
      <c r="C35">
        <v>0.15890410958904111</v>
      </c>
      <c r="D35">
        <v>64</v>
      </c>
    </row>
    <row r="36" spans="1:4" x14ac:dyDescent="0.25">
      <c r="A36" t="s">
        <v>188</v>
      </c>
      <c r="B36">
        <v>17</v>
      </c>
      <c r="C36">
        <v>0.13972602739726028</v>
      </c>
      <c r="D36">
        <v>60</v>
      </c>
    </row>
    <row r="37" spans="1:4" x14ac:dyDescent="0.25">
      <c r="A37" t="s">
        <v>66</v>
      </c>
      <c r="B37">
        <v>17</v>
      </c>
      <c r="C37">
        <v>0.15342465753424658</v>
      </c>
      <c r="D37">
        <v>67</v>
      </c>
    </row>
    <row r="38" spans="1:4" x14ac:dyDescent="0.25">
      <c r="A38" t="s">
        <v>288</v>
      </c>
      <c r="B38">
        <v>17</v>
      </c>
      <c r="C38">
        <v>0.1095890410958904</v>
      </c>
      <c r="D38">
        <v>42</v>
      </c>
    </row>
    <row r="39" spans="1:4" x14ac:dyDescent="0.25">
      <c r="A39" t="s">
        <v>28</v>
      </c>
      <c r="B39">
        <v>17</v>
      </c>
      <c r="C39">
        <v>0.10136986301369863</v>
      </c>
      <c r="D39">
        <v>41</v>
      </c>
    </row>
    <row r="40" spans="1:4" x14ac:dyDescent="0.25">
      <c r="A40" t="s">
        <v>56</v>
      </c>
      <c r="B40">
        <v>18</v>
      </c>
      <c r="C40">
        <v>0.24109589041095891</v>
      </c>
      <c r="D40">
        <v>113</v>
      </c>
    </row>
    <row r="41" spans="1:4" x14ac:dyDescent="0.25">
      <c r="A41" t="s">
        <v>68</v>
      </c>
      <c r="B41">
        <v>18</v>
      </c>
      <c r="C41">
        <v>0.18082191780821918</v>
      </c>
      <c r="D41">
        <v>77</v>
      </c>
    </row>
    <row r="42" spans="1:4" x14ac:dyDescent="0.25">
      <c r="A42" t="s">
        <v>71</v>
      </c>
      <c r="B42">
        <v>18</v>
      </c>
      <c r="C42">
        <v>8.7671232876712329E-2</v>
      </c>
      <c r="D42">
        <v>36</v>
      </c>
    </row>
    <row r="43" spans="1:4" x14ac:dyDescent="0.25">
      <c r="A43" t="s">
        <v>65</v>
      </c>
      <c r="B43">
        <v>18</v>
      </c>
      <c r="C43">
        <v>0.17808219178082191</v>
      </c>
      <c r="D43">
        <v>84</v>
      </c>
    </row>
    <row r="44" spans="1:4" x14ac:dyDescent="0.25">
      <c r="A44" t="s">
        <v>308</v>
      </c>
      <c r="B44">
        <v>18</v>
      </c>
      <c r="C44">
        <v>9.8630136986301367E-2</v>
      </c>
      <c r="D44">
        <v>40</v>
      </c>
    </row>
    <row r="45" spans="1:4" x14ac:dyDescent="0.25">
      <c r="A45" t="s">
        <v>183</v>
      </c>
      <c r="B45">
        <v>18</v>
      </c>
      <c r="C45">
        <v>0.21643835616438356</v>
      </c>
      <c r="D45">
        <v>101</v>
      </c>
    </row>
    <row r="46" spans="1:4" x14ac:dyDescent="0.25">
      <c r="A46" t="s">
        <v>64</v>
      </c>
      <c r="B46">
        <v>18</v>
      </c>
      <c r="C46">
        <v>0.22465753424657534</v>
      </c>
      <c r="D46">
        <v>100</v>
      </c>
    </row>
    <row r="47" spans="1:4" x14ac:dyDescent="0.25">
      <c r="A47" t="s">
        <v>58</v>
      </c>
      <c r="B47">
        <v>18</v>
      </c>
      <c r="C47">
        <v>0.23561643835616439</v>
      </c>
      <c r="D47">
        <v>98</v>
      </c>
    </row>
    <row r="48" spans="1:4" x14ac:dyDescent="0.25">
      <c r="A48" t="s">
        <v>64</v>
      </c>
      <c r="B48">
        <v>19</v>
      </c>
      <c r="C48">
        <v>0.15068493150684931</v>
      </c>
      <c r="D48">
        <v>66</v>
      </c>
    </row>
    <row r="49" spans="1:4" x14ac:dyDescent="0.25">
      <c r="A49" t="s">
        <v>185</v>
      </c>
      <c r="B49">
        <v>19</v>
      </c>
      <c r="C49">
        <v>0.32054794520547947</v>
      </c>
      <c r="D49">
        <v>150</v>
      </c>
    </row>
    <row r="50" spans="1:4" x14ac:dyDescent="0.25">
      <c r="A50" t="s">
        <v>288</v>
      </c>
      <c r="B50">
        <v>19</v>
      </c>
      <c r="C50">
        <v>6.8493150684931503E-2</v>
      </c>
      <c r="D50">
        <v>27</v>
      </c>
    </row>
    <row r="51" spans="1:4" x14ac:dyDescent="0.25">
      <c r="A51" t="s">
        <v>183</v>
      </c>
      <c r="B51">
        <v>19</v>
      </c>
      <c r="C51">
        <v>0.23287671232876711</v>
      </c>
      <c r="D51">
        <v>114</v>
      </c>
    </row>
    <row r="52" spans="1:4" x14ac:dyDescent="0.25">
      <c r="A52" t="s">
        <v>67</v>
      </c>
      <c r="B52">
        <v>20</v>
      </c>
      <c r="C52">
        <v>0.14794520547945206</v>
      </c>
      <c r="D52">
        <v>65</v>
      </c>
    </row>
    <row r="53" spans="1:4" x14ac:dyDescent="0.25">
      <c r="A53" t="s">
        <v>63</v>
      </c>
      <c r="B53">
        <v>20</v>
      </c>
      <c r="C53">
        <v>0.1095890410958904</v>
      </c>
      <c r="D53">
        <v>46</v>
      </c>
    </row>
    <row r="54" spans="1:4" x14ac:dyDescent="0.25">
      <c r="A54" t="s">
        <v>393</v>
      </c>
      <c r="B54">
        <v>20</v>
      </c>
      <c r="C54">
        <v>5.4794520547945202E-2</v>
      </c>
      <c r="D54">
        <v>22</v>
      </c>
    </row>
    <row r="55" spans="1:4" x14ac:dyDescent="0.25">
      <c r="A55" t="s">
        <v>62</v>
      </c>
      <c r="B55">
        <v>20</v>
      </c>
      <c r="C55">
        <v>9.5890410958904104E-2</v>
      </c>
      <c r="D55">
        <v>42</v>
      </c>
    </row>
    <row r="56" spans="1:4" x14ac:dyDescent="0.25">
      <c r="A56" t="s">
        <v>62</v>
      </c>
      <c r="B56">
        <v>21</v>
      </c>
      <c r="C56">
        <v>0.12328767123287671</v>
      </c>
      <c r="D56">
        <v>48</v>
      </c>
    </row>
    <row r="57" spans="1:4" x14ac:dyDescent="0.25">
      <c r="A57" t="s">
        <v>184</v>
      </c>
      <c r="B57">
        <v>22</v>
      </c>
      <c r="C57">
        <v>9.0410958904109592E-2</v>
      </c>
      <c r="D57">
        <v>37</v>
      </c>
    </row>
    <row r="58" spans="1:4" x14ac:dyDescent="0.25">
      <c r="A58" t="s">
        <v>189</v>
      </c>
      <c r="B58">
        <v>22</v>
      </c>
      <c r="C58">
        <v>8.4931506849315067E-2</v>
      </c>
      <c r="D58">
        <v>33</v>
      </c>
    </row>
    <row r="59" spans="1:4" x14ac:dyDescent="0.25">
      <c r="A59" t="s">
        <v>62</v>
      </c>
      <c r="B59">
        <v>22</v>
      </c>
      <c r="C59">
        <v>4.9315068493150684E-2</v>
      </c>
      <c r="D59">
        <v>23</v>
      </c>
    </row>
    <row r="60" spans="1:4" x14ac:dyDescent="0.25">
      <c r="A60" t="s">
        <v>188</v>
      </c>
      <c r="B60">
        <v>22</v>
      </c>
      <c r="C60">
        <v>5.4794520547945202E-2</v>
      </c>
      <c r="D60">
        <v>21</v>
      </c>
    </row>
    <row r="61" spans="1:4" x14ac:dyDescent="0.25">
      <c r="A61" t="s">
        <v>312</v>
      </c>
      <c r="B61">
        <v>22</v>
      </c>
      <c r="C61">
        <v>5.2054794520547946E-2</v>
      </c>
      <c r="D61">
        <v>20</v>
      </c>
    </row>
    <row r="62" spans="1:4" x14ac:dyDescent="0.25">
      <c r="A62" t="s">
        <v>66</v>
      </c>
      <c r="B62">
        <v>22</v>
      </c>
      <c r="C62">
        <v>5.7534246575342465E-2</v>
      </c>
      <c r="D62">
        <v>21</v>
      </c>
    </row>
    <row r="63" spans="1:4" x14ac:dyDescent="0.25">
      <c r="A63" t="s">
        <v>79</v>
      </c>
      <c r="B63">
        <v>23</v>
      </c>
      <c r="C63">
        <v>1.0958904109589041E-2</v>
      </c>
      <c r="D63">
        <v>4</v>
      </c>
    </row>
    <row r="64" spans="1:4" x14ac:dyDescent="0.25">
      <c r="A64" t="s">
        <v>61</v>
      </c>
      <c r="B64">
        <v>23</v>
      </c>
      <c r="C64">
        <v>6.8493150684931503E-2</v>
      </c>
      <c r="D64">
        <v>33</v>
      </c>
    </row>
    <row r="65" spans="1:4" x14ac:dyDescent="0.25">
      <c r="A65" t="s">
        <v>38</v>
      </c>
      <c r="B65">
        <v>23</v>
      </c>
      <c r="C65">
        <v>2.7397260273972603E-3</v>
      </c>
      <c r="D65">
        <v>1</v>
      </c>
    </row>
    <row r="66" spans="1:4" x14ac:dyDescent="0.25">
      <c r="A66" t="s">
        <v>67</v>
      </c>
      <c r="B66">
        <v>0</v>
      </c>
      <c r="C66">
        <v>7.1232876712328766E-2</v>
      </c>
      <c r="D66">
        <v>31</v>
      </c>
    </row>
    <row r="67" spans="1:4" x14ac:dyDescent="0.25">
      <c r="A67" t="s">
        <v>183</v>
      </c>
      <c r="B67">
        <v>0</v>
      </c>
      <c r="C67">
        <v>4.1095890410958902E-2</v>
      </c>
      <c r="D67">
        <v>18</v>
      </c>
    </row>
    <row r="68" spans="1:4" x14ac:dyDescent="0.25">
      <c r="A68" t="s">
        <v>68</v>
      </c>
      <c r="B68">
        <v>3</v>
      </c>
      <c r="C68">
        <v>3.5616438356164383E-2</v>
      </c>
      <c r="D68">
        <v>13</v>
      </c>
    </row>
    <row r="69" spans="1:4" x14ac:dyDescent="0.25">
      <c r="A69" t="s">
        <v>296</v>
      </c>
      <c r="B69">
        <v>4</v>
      </c>
      <c r="C69">
        <v>8.21917808219178E-3</v>
      </c>
      <c r="D69">
        <v>4</v>
      </c>
    </row>
    <row r="70" spans="1:4" x14ac:dyDescent="0.25">
      <c r="A70" t="s">
        <v>60</v>
      </c>
      <c r="B70">
        <v>5</v>
      </c>
      <c r="C70">
        <v>4.3835616438356165E-2</v>
      </c>
      <c r="D70">
        <v>19</v>
      </c>
    </row>
    <row r="71" spans="1:4" x14ac:dyDescent="0.25">
      <c r="A71" t="s">
        <v>183</v>
      </c>
      <c r="B71">
        <v>7</v>
      </c>
      <c r="C71">
        <v>0.10136986301369863</v>
      </c>
      <c r="D71">
        <v>40</v>
      </c>
    </row>
    <row r="72" spans="1:4" x14ac:dyDescent="0.25">
      <c r="A72" t="s">
        <v>63</v>
      </c>
      <c r="B72">
        <v>7</v>
      </c>
      <c r="C72">
        <v>7.3972602739726029E-2</v>
      </c>
      <c r="D72">
        <v>31</v>
      </c>
    </row>
    <row r="73" spans="1:4" x14ac:dyDescent="0.25">
      <c r="A73" t="s">
        <v>65</v>
      </c>
      <c r="B73">
        <v>7</v>
      </c>
      <c r="C73">
        <v>9.3150684931506855E-2</v>
      </c>
      <c r="D73">
        <v>41</v>
      </c>
    </row>
    <row r="74" spans="1:4" x14ac:dyDescent="0.25">
      <c r="A74" t="s">
        <v>68</v>
      </c>
      <c r="B74">
        <v>7</v>
      </c>
      <c r="C74">
        <v>8.4931506849315067E-2</v>
      </c>
      <c r="D74">
        <v>35</v>
      </c>
    </row>
    <row r="75" spans="1:4" x14ac:dyDescent="0.25">
      <c r="A75" t="s">
        <v>316</v>
      </c>
      <c r="B75">
        <v>8</v>
      </c>
      <c r="C75">
        <v>0.10410958904109589</v>
      </c>
      <c r="D75">
        <v>45</v>
      </c>
    </row>
    <row r="76" spans="1:4" x14ac:dyDescent="0.25">
      <c r="A76" t="s">
        <v>65</v>
      </c>
      <c r="B76">
        <v>8</v>
      </c>
      <c r="C76">
        <v>0.16986301369863013</v>
      </c>
      <c r="D76">
        <v>74</v>
      </c>
    </row>
    <row r="77" spans="1:4" x14ac:dyDescent="0.25">
      <c r="A77" t="s">
        <v>184</v>
      </c>
      <c r="B77">
        <v>8</v>
      </c>
      <c r="C77">
        <v>0.18904109589041096</v>
      </c>
      <c r="D77">
        <v>80</v>
      </c>
    </row>
    <row r="78" spans="1:4" x14ac:dyDescent="0.25">
      <c r="A78" t="s">
        <v>26</v>
      </c>
      <c r="B78">
        <v>8</v>
      </c>
      <c r="C78">
        <v>0.11780821917808219</v>
      </c>
      <c r="D78">
        <v>45</v>
      </c>
    </row>
    <row r="79" spans="1:4" x14ac:dyDescent="0.25">
      <c r="A79" t="s">
        <v>183</v>
      </c>
      <c r="B79">
        <v>8</v>
      </c>
      <c r="C79">
        <v>0.15616438356164383</v>
      </c>
      <c r="D79">
        <v>68</v>
      </c>
    </row>
    <row r="80" spans="1:4" x14ac:dyDescent="0.25">
      <c r="A80" t="s">
        <v>26</v>
      </c>
      <c r="B80">
        <v>9</v>
      </c>
      <c r="C80">
        <v>0.12602739726027398</v>
      </c>
      <c r="D80">
        <v>52</v>
      </c>
    </row>
    <row r="81" spans="1:4" x14ac:dyDescent="0.25">
      <c r="A81" t="s">
        <v>187</v>
      </c>
      <c r="B81">
        <v>9</v>
      </c>
      <c r="C81">
        <v>0.12054794520547946</v>
      </c>
      <c r="D81">
        <v>50</v>
      </c>
    </row>
    <row r="82" spans="1:4" x14ac:dyDescent="0.25">
      <c r="A82" t="s">
        <v>56</v>
      </c>
      <c r="B82">
        <v>9</v>
      </c>
      <c r="C82">
        <v>0.13972602739726028</v>
      </c>
      <c r="D82">
        <v>61</v>
      </c>
    </row>
    <row r="83" spans="1:4" x14ac:dyDescent="0.25">
      <c r="A83" t="s">
        <v>73</v>
      </c>
      <c r="B83">
        <v>9</v>
      </c>
      <c r="C83">
        <v>7.3972602739726029E-2</v>
      </c>
      <c r="D83">
        <v>31</v>
      </c>
    </row>
    <row r="84" spans="1:4" x14ac:dyDescent="0.25">
      <c r="A84" t="s">
        <v>313</v>
      </c>
      <c r="B84">
        <v>9</v>
      </c>
      <c r="C84">
        <v>0.10684931506849316</v>
      </c>
      <c r="D84">
        <v>42</v>
      </c>
    </row>
    <row r="85" spans="1:4" x14ac:dyDescent="0.25">
      <c r="A85" t="s">
        <v>60</v>
      </c>
      <c r="B85">
        <v>9</v>
      </c>
      <c r="C85">
        <v>0.17534246575342466</v>
      </c>
      <c r="D85">
        <v>73</v>
      </c>
    </row>
    <row r="86" spans="1:4" x14ac:dyDescent="0.25">
      <c r="A86" t="s">
        <v>188</v>
      </c>
      <c r="B86">
        <v>9</v>
      </c>
      <c r="C86">
        <v>0.10136986301369863</v>
      </c>
      <c r="D86">
        <v>40</v>
      </c>
    </row>
    <row r="87" spans="1:4" x14ac:dyDescent="0.25">
      <c r="A87" t="s">
        <v>74</v>
      </c>
      <c r="B87">
        <v>9</v>
      </c>
      <c r="C87">
        <v>8.2191780821917804E-2</v>
      </c>
      <c r="D87">
        <v>31</v>
      </c>
    </row>
    <row r="88" spans="1:4" x14ac:dyDescent="0.25">
      <c r="A88" t="s">
        <v>312</v>
      </c>
      <c r="B88">
        <v>10</v>
      </c>
      <c r="C88">
        <v>0.11506849315068493</v>
      </c>
      <c r="D88">
        <v>48</v>
      </c>
    </row>
    <row r="89" spans="1:4" x14ac:dyDescent="0.25">
      <c r="A89" t="s">
        <v>28</v>
      </c>
      <c r="B89">
        <v>10</v>
      </c>
      <c r="C89">
        <v>0.13972602739726028</v>
      </c>
      <c r="D89">
        <v>62</v>
      </c>
    </row>
    <row r="90" spans="1:4" x14ac:dyDescent="0.25">
      <c r="A90" t="s">
        <v>60</v>
      </c>
      <c r="B90">
        <v>10</v>
      </c>
      <c r="C90">
        <v>0.26301369863013696</v>
      </c>
      <c r="D90">
        <v>123</v>
      </c>
    </row>
    <row r="91" spans="1:4" x14ac:dyDescent="0.25">
      <c r="A91" t="s">
        <v>184</v>
      </c>
      <c r="B91">
        <v>10</v>
      </c>
      <c r="C91">
        <v>0.25205479452054796</v>
      </c>
      <c r="D91">
        <v>107</v>
      </c>
    </row>
    <row r="92" spans="1:4" x14ac:dyDescent="0.25">
      <c r="A92" t="s">
        <v>66</v>
      </c>
      <c r="B92">
        <v>10</v>
      </c>
      <c r="C92">
        <v>0.25205479452054796</v>
      </c>
      <c r="D92">
        <v>108</v>
      </c>
    </row>
    <row r="93" spans="1:4" x14ac:dyDescent="0.25">
      <c r="A93" t="s">
        <v>37</v>
      </c>
      <c r="B93">
        <v>10</v>
      </c>
      <c r="C93">
        <v>4.9315068493150684E-2</v>
      </c>
      <c r="D93">
        <v>20</v>
      </c>
    </row>
    <row r="94" spans="1:4" x14ac:dyDescent="0.25">
      <c r="A94" t="s">
        <v>189</v>
      </c>
      <c r="B94">
        <v>11</v>
      </c>
      <c r="C94">
        <v>9.8630136986301367E-2</v>
      </c>
      <c r="D94">
        <v>37</v>
      </c>
    </row>
    <row r="95" spans="1:4" x14ac:dyDescent="0.25">
      <c r="A95" t="s">
        <v>68</v>
      </c>
      <c r="B95">
        <v>11</v>
      </c>
      <c r="C95">
        <v>0.13150684931506848</v>
      </c>
      <c r="D95">
        <v>59</v>
      </c>
    </row>
    <row r="96" spans="1:4" x14ac:dyDescent="0.25">
      <c r="A96" t="s">
        <v>17</v>
      </c>
      <c r="B96">
        <v>11</v>
      </c>
      <c r="C96">
        <v>0.11232876712328767</v>
      </c>
      <c r="D96">
        <v>52</v>
      </c>
    </row>
    <row r="97" spans="1:4" x14ac:dyDescent="0.25">
      <c r="A97" t="s">
        <v>185</v>
      </c>
      <c r="B97">
        <v>11</v>
      </c>
      <c r="C97">
        <v>0.34520547945205482</v>
      </c>
      <c r="D97">
        <v>164</v>
      </c>
    </row>
    <row r="98" spans="1:4" x14ac:dyDescent="0.25">
      <c r="A98" t="s">
        <v>67</v>
      </c>
      <c r="B98">
        <v>11</v>
      </c>
      <c r="C98">
        <v>0.20547945205479451</v>
      </c>
      <c r="D98">
        <v>95</v>
      </c>
    </row>
    <row r="99" spans="1:4" x14ac:dyDescent="0.25">
      <c r="A99" t="s">
        <v>185</v>
      </c>
      <c r="B99">
        <v>12</v>
      </c>
      <c r="C99">
        <v>0.20547945205479451</v>
      </c>
      <c r="D99">
        <v>87</v>
      </c>
    </row>
    <row r="100" spans="1:4" x14ac:dyDescent="0.25">
      <c r="A100" t="s">
        <v>58</v>
      </c>
      <c r="B100">
        <v>12</v>
      </c>
      <c r="C100">
        <v>0.23013698630136986</v>
      </c>
      <c r="D100">
        <v>103</v>
      </c>
    </row>
    <row r="101" spans="1:4" x14ac:dyDescent="0.25">
      <c r="A101" t="s">
        <v>183</v>
      </c>
      <c r="B101">
        <v>12</v>
      </c>
      <c r="C101">
        <v>0.25753424657534246</v>
      </c>
      <c r="D101">
        <v>118</v>
      </c>
    </row>
    <row r="102" spans="1:4" x14ac:dyDescent="0.25">
      <c r="A102" t="s">
        <v>60</v>
      </c>
      <c r="B102">
        <v>12</v>
      </c>
      <c r="C102">
        <v>0.27123287671232876</v>
      </c>
      <c r="D102">
        <v>127</v>
      </c>
    </row>
    <row r="103" spans="1:4" x14ac:dyDescent="0.25">
      <c r="A103" t="s">
        <v>63</v>
      </c>
      <c r="B103">
        <v>13</v>
      </c>
      <c r="C103">
        <v>8.2191780821917804E-2</v>
      </c>
      <c r="D103">
        <v>34</v>
      </c>
    </row>
    <row r="104" spans="1:4" x14ac:dyDescent="0.25">
      <c r="A104" t="s">
        <v>184</v>
      </c>
      <c r="B104">
        <v>14</v>
      </c>
      <c r="C104">
        <v>0.13424657534246576</v>
      </c>
      <c r="D104">
        <v>55</v>
      </c>
    </row>
    <row r="105" spans="1:4" x14ac:dyDescent="0.25">
      <c r="A105" t="s">
        <v>75</v>
      </c>
      <c r="B105">
        <v>14</v>
      </c>
      <c r="C105">
        <v>6.575342465753424E-2</v>
      </c>
      <c r="D105">
        <v>27</v>
      </c>
    </row>
    <row r="106" spans="1:4" x14ac:dyDescent="0.25">
      <c r="A106" t="s">
        <v>60</v>
      </c>
      <c r="B106">
        <v>14</v>
      </c>
      <c r="C106">
        <v>0.18630136986301371</v>
      </c>
      <c r="D106">
        <v>84</v>
      </c>
    </row>
    <row r="107" spans="1:4" x14ac:dyDescent="0.25">
      <c r="A107" t="s">
        <v>73</v>
      </c>
      <c r="B107">
        <v>14</v>
      </c>
      <c r="C107">
        <v>0.10136986301369863</v>
      </c>
      <c r="D107">
        <v>43</v>
      </c>
    </row>
    <row r="108" spans="1:4" x14ac:dyDescent="0.25">
      <c r="A108" t="s">
        <v>316</v>
      </c>
      <c r="B108">
        <v>14</v>
      </c>
      <c r="C108">
        <v>7.9452054794520555E-2</v>
      </c>
      <c r="D108">
        <v>33</v>
      </c>
    </row>
    <row r="109" spans="1:4" x14ac:dyDescent="0.25">
      <c r="A109" t="s">
        <v>68</v>
      </c>
      <c r="B109">
        <v>14</v>
      </c>
      <c r="C109">
        <v>0.1095890410958904</v>
      </c>
      <c r="D109">
        <v>41</v>
      </c>
    </row>
    <row r="110" spans="1:4" x14ac:dyDescent="0.25">
      <c r="A110" t="s">
        <v>26</v>
      </c>
      <c r="B110">
        <v>15</v>
      </c>
      <c r="C110">
        <v>0.17534246575342466</v>
      </c>
      <c r="D110">
        <v>72</v>
      </c>
    </row>
    <row r="111" spans="1:4" x14ac:dyDescent="0.25">
      <c r="A111" t="s">
        <v>320</v>
      </c>
      <c r="B111">
        <v>15</v>
      </c>
      <c r="C111">
        <v>7.3972602739726029E-2</v>
      </c>
      <c r="D111">
        <v>28</v>
      </c>
    </row>
    <row r="112" spans="1:4" x14ac:dyDescent="0.25">
      <c r="A112" t="s">
        <v>58</v>
      </c>
      <c r="B112">
        <v>15</v>
      </c>
      <c r="C112">
        <v>0.30684931506849317</v>
      </c>
      <c r="D112">
        <v>135</v>
      </c>
    </row>
    <row r="113" spans="1:4" x14ac:dyDescent="0.25">
      <c r="A113" t="s">
        <v>66</v>
      </c>
      <c r="B113">
        <v>16</v>
      </c>
      <c r="C113">
        <v>0.20821917808219179</v>
      </c>
      <c r="D113">
        <v>86</v>
      </c>
    </row>
    <row r="114" spans="1:4" x14ac:dyDescent="0.25">
      <c r="A114" t="s">
        <v>58</v>
      </c>
      <c r="B114">
        <v>16</v>
      </c>
      <c r="C114">
        <v>0.31232876712328766</v>
      </c>
      <c r="D114">
        <v>146</v>
      </c>
    </row>
    <row r="115" spans="1:4" x14ac:dyDescent="0.25">
      <c r="A115" t="s">
        <v>187</v>
      </c>
      <c r="B115">
        <v>16</v>
      </c>
      <c r="C115">
        <v>0.19726027397260273</v>
      </c>
      <c r="D115">
        <v>81</v>
      </c>
    </row>
    <row r="116" spans="1:4" x14ac:dyDescent="0.25">
      <c r="A116" t="s">
        <v>71</v>
      </c>
      <c r="B116">
        <v>16</v>
      </c>
      <c r="C116">
        <v>7.6712328767123292E-2</v>
      </c>
      <c r="D116">
        <v>29</v>
      </c>
    </row>
    <row r="117" spans="1:4" x14ac:dyDescent="0.25">
      <c r="A117" t="s">
        <v>36</v>
      </c>
      <c r="B117">
        <v>16</v>
      </c>
      <c r="C117">
        <v>9.5890410958904104E-2</v>
      </c>
      <c r="D117">
        <v>43</v>
      </c>
    </row>
    <row r="118" spans="1:4" x14ac:dyDescent="0.25">
      <c r="A118" t="s">
        <v>38</v>
      </c>
      <c r="B118">
        <v>16</v>
      </c>
      <c r="C118">
        <v>8.21917808219178E-3</v>
      </c>
      <c r="D118">
        <v>3</v>
      </c>
    </row>
    <row r="119" spans="1:4" x14ac:dyDescent="0.25">
      <c r="A119" t="s">
        <v>61</v>
      </c>
      <c r="B119">
        <v>16</v>
      </c>
      <c r="C119">
        <v>0.18356164383561643</v>
      </c>
      <c r="D119">
        <v>85</v>
      </c>
    </row>
    <row r="120" spans="1:4" x14ac:dyDescent="0.25">
      <c r="A120" t="s">
        <v>288</v>
      </c>
      <c r="B120">
        <v>16</v>
      </c>
      <c r="C120">
        <v>3.0136986301369864E-2</v>
      </c>
      <c r="D120">
        <v>11</v>
      </c>
    </row>
    <row r="121" spans="1:4" x14ac:dyDescent="0.25">
      <c r="A121" t="s">
        <v>185</v>
      </c>
      <c r="B121">
        <v>17</v>
      </c>
      <c r="C121">
        <v>0.32602739726027397</v>
      </c>
      <c r="D121">
        <v>144</v>
      </c>
    </row>
    <row r="122" spans="1:4" x14ac:dyDescent="0.25">
      <c r="A122" t="s">
        <v>187</v>
      </c>
      <c r="B122">
        <v>17</v>
      </c>
      <c r="C122">
        <v>0.13698630136986301</v>
      </c>
      <c r="D122">
        <v>57</v>
      </c>
    </row>
    <row r="123" spans="1:4" x14ac:dyDescent="0.25">
      <c r="A123" t="s">
        <v>65</v>
      </c>
      <c r="B123">
        <v>17</v>
      </c>
      <c r="C123">
        <v>0.12328767123287671</v>
      </c>
      <c r="D123">
        <v>49</v>
      </c>
    </row>
    <row r="124" spans="1:4" x14ac:dyDescent="0.25">
      <c r="A124" t="s">
        <v>183</v>
      </c>
      <c r="B124">
        <v>17</v>
      </c>
      <c r="C124">
        <v>0.33424657534246577</v>
      </c>
      <c r="D124">
        <v>151</v>
      </c>
    </row>
    <row r="125" spans="1:4" x14ac:dyDescent="0.25">
      <c r="A125" t="s">
        <v>58</v>
      </c>
      <c r="B125">
        <v>17</v>
      </c>
      <c r="C125">
        <v>0.28493150684931506</v>
      </c>
      <c r="D125">
        <v>137</v>
      </c>
    </row>
    <row r="126" spans="1:4" x14ac:dyDescent="0.25">
      <c r="A126" t="s">
        <v>296</v>
      </c>
      <c r="B126">
        <v>17</v>
      </c>
      <c r="C126">
        <v>4.1095890410958902E-2</v>
      </c>
      <c r="D126">
        <v>17</v>
      </c>
    </row>
    <row r="127" spans="1:4" x14ac:dyDescent="0.25">
      <c r="A127" t="s">
        <v>26</v>
      </c>
      <c r="B127">
        <v>18</v>
      </c>
      <c r="C127">
        <v>0.18904109589041096</v>
      </c>
      <c r="D127">
        <v>90</v>
      </c>
    </row>
    <row r="128" spans="1:4" x14ac:dyDescent="0.25">
      <c r="A128" t="s">
        <v>17</v>
      </c>
      <c r="B128">
        <v>18</v>
      </c>
      <c r="C128">
        <v>0.18630136986301371</v>
      </c>
      <c r="D128">
        <v>93</v>
      </c>
    </row>
    <row r="129" spans="1:4" x14ac:dyDescent="0.25">
      <c r="A129" t="s">
        <v>66</v>
      </c>
      <c r="B129">
        <v>18</v>
      </c>
      <c r="C129">
        <v>0.23287671232876711</v>
      </c>
      <c r="D129">
        <v>107</v>
      </c>
    </row>
    <row r="130" spans="1:4" x14ac:dyDescent="0.25">
      <c r="A130" t="s">
        <v>187</v>
      </c>
      <c r="B130">
        <v>18</v>
      </c>
      <c r="C130">
        <v>0.18630136986301371</v>
      </c>
      <c r="D130">
        <v>77</v>
      </c>
    </row>
    <row r="131" spans="1:4" x14ac:dyDescent="0.25">
      <c r="A131" t="s">
        <v>61</v>
      </c>
      <c r="B131">
        <v>18</v>
      </c>
      <c r="C131">
        <v>0.17808219178082191</v>
      </c>
      <c r="D131">
        <v>84</v>
      </c>
    </row>
    <row r="132" spans="1:4" x14ac:dyDescent="0.25">
      <c r="A132" t="s">
        <v>62</v>
      </c>
      <c r="B132">
        <v>18</v>
      </c>
      <c r="C132">
        <v>0.20821917808219179</v>
      </c>
      <c r="D132">
        <v>90</v>
      </c>
    </row>
    <row r="133" spans="1:4" x14ac:dyDescent="0.25">
      <c r="A133" t="s">
        <v>21</v>
      </c>
      <c r="B133">
        <v>18</v>
      </c>
      <c r="C133">
        <v>6.575342465753424E-2</v>
      </c>
      <c r="D133">
        <v>28</v>
      </c>
    </row>
    <row r="134" spans="1:4" x14ac:dyDescent="0.25">
      <c r="A134" t="s">
        <v>314</v>
      </c>
      <c r="B134">
        <v>18</v>
      </c>
      <c r="C134">
        <v>7.1232876712328766E-2</v>
      </c>
      <c r="D134">
        <v>27</v>
      </c>
    </row>
    <row r="135" spans="1:4" x14ac:dyDescent="0.25">
      <c r="A135" t="s">
        <v>60</v>
      </c>
      <c r="B135">
        <v>18</v>
      </c>
      <c r="C135">
        <v>0.29863013698630136</v>
      </c>
      <c r="D135">
        <v>139</v>
      </c>
    </row>
    <row r="136" spans="1:4" x14ac:dyDescent="0.25">
      <c r="A136" t="s">
        <v>21</v>
      </c>
      <c r="B136">
        <v>19</v>
      </c>
      <c r="C136">
        <v>7.6712328767123292E-2</v>
      </c>
      <c r="D136">
        <v>32</v>
      </c>
    </row>
    <row r="137" spans="1:4" x14ac:dyDescent="0.25">
      <c r="A137" t="s">
        <v>68</v>
      </c>
      <c r="B137">
        <v>19</v>
      </c>
      <c r="C137">
        <v>0.10136986301369863</v>
      </c>
      <c r="D137">
        <v>39</v>
      </c>
    </row>
    <row r="138" spans="1:4" x14ac:dyDescent="0.25">
      <c r="A138" t="s">
        <v>318</v>
      </c>
      <c r="B138">
        <v>19</v>
      </c>
      <c r="C138">
        <v>3.5616438356164383E-2</v>
      </c>
      <c r="D138">
        <v>13</v>
      </c>
    </row>
    <row r="139" spans="1:4" x14ac:dyDescent="0.25">
      <c r="A139" t="s">
        <v>62</v>
      </c>
      <c r="B139">
        <v>19</v>
      </c>
      <c r="C139">
        <v>0.21095890410958903</v>
      </c>
      <c r="D139">
        <v>84</v>
      </c>
    </row>
    <row r="140" spans="1:4" x14ac:dyDescent="0.25">
      <c r="A140" t="s">
        <v>60</v>
      </c>
      <c r="B140">
        <v>19</v>
      </c>
      <c r="C140">
        <v>0.24383561643835616</v>
      </c>
      <c r="D140">
        <v>106</v>
      </c>
    </row>
    <row r="141" spans="1:4" x14ac:dyDescent="0.25">
      <c r="A141" t="s">
        <v>67</v>
      </c>
      <c r="B141">
        <v>19</v>
      </c>
      <c r="C141">
        <v>0.15068493150684931</v>
      </c>
      <c r="D141">
        <v>60</v>
      </c>
    </row>
    <row r="142" spans="1:4" x14ac:dyDescent="0.25">
      <c r="A142" t="s">
        <v>314</v>
      </c>
      <c r="B142">
        <v>19</v>
      </c>
      <c r="C142">
        <v>6.8493150684931503E-2</v>
      </c>
      <c r="D142">
        <v>25</v>
      </c>
    </row>
    <row r="143" spans="1:4" x14ac:dyDescent="0.25">
      <c r="A143" t="s">
        <v>317</v>
      </c>
      <c r="B143">
        <v>20</v>
      </c>
      <c r="C143">
        <v>9.0410958904109592E-2</v>
      </c>
      <c r="D143">
        <v>37</v>
      </c>
    </row>
    <row r="144" spans="1:4" x14ac:dyDescent="0.25">
      <c r="A144" t="s">
        <v>58</v>
      </c>
      <c r="B144">
        <v>20</v>
      </c>
      <c r="C144">
        <v>0.18082191780821918</v>
      </c>
      <c r="D144">
        <v>79</v>
      </c>
    </row>
    <row r="145" spans="1:4" x14ac:dyDescent="0.25">
      <c r="A145" t="s">
        <v>66</v>
      </c>
      <c r="B145">
        <v>20</v>
      </c>
      <c r="C145">
        <v>8.2191780821917804E-2</v>
      </c>
      <c r="D145">
        <v>34</v>
      </c>
    </row>
    <row r="146" spans="1:4" x14ac:dyDescent="0.25">
      <c r="A146" t="s">
        <v>69</v>
      </c>
      <c r="B146">
        <v>21</v>
      </c>
      <c r="C146">
        <v>5.4794520547945202E-2</v>
      </c>
      <c r="D146">
        <v>21</v>
      </c>
    </row>
    <row r="147" spans="1:4" x14ac:dyDescent="0.25">
      <c r="A147" t="s">
        <v>70</v>
      </c>
      <c r="B147">
        <v>21</v>
      </c>
      <c r="C147">
        <v>5.2054794520547946E-2</v>
      </c>
      <c r="D147">
        <v>20</v>
      </c>
    </row>
    <row r="148" spans="1:4" x14ac:dyDescent="0.25">
      <c r="A148" t="s">
        <v>60</v>
      </c>
      <c r="B148">
        <v>22</v>
      </c>
      <c r="C148">
        <v>9.0410958904109592E-2</v>
      </c>
      <c r="D148">
        <v>39</v>
      </c>
    </row>
    <row r="149" spans="1:4" x14ac:dyDescent="0.25">
      <c r="A149" t="s">
        <v>393</v>
      </c>
      <c r="B149">
        <v>23</v>
      </c>
      <c r="C149">
        <v>3.5616438356164383E-2</v>
      </c>
      <c r="D149">
        <v>16</v>
      </c>
    </row>
    <row r="150" spans="1:4" x14ac:dyDescent="0.25">
      <c r="A150" t="s">
        <v>74</v>
      </c>
      <c r="B150">
        <v>0</v>
      </c>
      <c r="C150">
        <v>3.5616438356164383E-2</v>
      </c>
      <c r="D150">
        <v>13</v>
      </c>
    </row>
    <row r="151" spans="1:4" x14ac:dyDescent="0.25">
      <c r="A151" t="s">
        <v>66</v>
      </c>
      <c r="B151">
        <v>0</v>
      </c>
      <c r="C151">
        <v>7.6712328767123292E-2</v>
      </c>
      <c r="D151">
        <v>30</v>
      </c>
    </row>
    <row r="152" spans="1:4" x14ac:dyDescent="0.25">
      <c r="A152" t="s">
        <v>185</v>
      </c>
      <c r="B152">
        <v>1</v>
      </c>
      <c r="C152">
        <v>0.10410958904109589</v>
      </c>
      <c r="D152">
        <v>41</v>
      </c>
    </row>
    <row r="153" spans="1:4" x14ac:dyDescent="0.25">
      <c r="A153" t="s">
        <v>66</v>
      </c>
      <c r="B153">
        <v>1</v>
      </c>
      <c r="C153">
        <v>4.3835616438356165E-2</v>
      </c>
      <c r="D153">
        <v>16</v>
      </c>
    </row>
    <row r="154" spans="1:4" x14ac:dyDescent="0.25">
      <c r="A154" t="s">
        <v>71</v>
      </c>
      <c r="B154">
        <v>4</v>
      </c>
      <c r="C154">
        <v>1.9178082191780823E-2</v>
      </c>
      <c r="D154">
        <v>7</v>
      </c>
    </row>
    <row r="155" spans="1:4" x14ac:dyDescent="0.25">
      <c r="A155" t="s">
        <v>61</v>
      </c>
      <c r="B155">
        <v>7</v>
      </c>
      <c r="C155">
        <v>0.12602739726027398</v>
      </c>
      <c r="D155">
        <v>53</v>
      </c>
    </row>
    <row r="156" spans="1:4" x14ac:dyDescent="0.25">
      <c r="A156" t="s">
        <v>26</v>
      </c>
      <c r="B156">
        <v>7</v>
      </c>
      <c r="C156">
        <v>9.8630136986301367E-2</v>
      </c>
      <c r="D156">
        <v>39</v>
      </c>
    </row>
    <row r="157" spans="1:4" x14ac:dyDescent="0.25">
      <c r="A157" t="s">
        <v>70</v>
      </c>
      <c r="B157">
        <v>7</v>
      </c>
      <c r="C157">
        <v>7.6712328767123292E-2</v>
      </c>
      <c r="D157">
        <v>31</v>
      </c>
    </row>
    <row r="158" spans="1:4" x14ac:dyDescent="0.25">
      <c r="A158" t="s">
        <v>78</v>
      </c>
      <c r="B158">
        <v>7</v>
      </c>
      <c r="C158">
        <v>1.3698630136986301E-2</v>
      </c>
      <c r="D158">
        <v>5</v>
      </c>
    </row>
    <row r="159" spans="1:4" x14ac:dyDescent="0.25">
      <c r="A159" t="s">
        <v>312</v>
      </c>
      <c r="B159">
        <v>8</v>
      </c>
      <c r="C159">
        <v>0.13972602739726028</v>
      </c>
      <c r="D159">
        <v>59</v>
      </c>
    </row>
    <row r="160" spans="1:4" x14ac:dyDescent="0.25">
      <c r="A160" t="s">
        <v>308</v>
      </c>
      <c r="B160">
        <v>8</v>
      </c>
      <c r="C160">
        <v>3.287671232876712E-2</v>
      </c>
      <c r="D160">
        <v>14</v>
      </c>
    </row>
    <row r="161" spans="1:4" x14ac:dyDescent="0.25">
      <c r="A161" t="s">
        <v>188</v>
      </c>
      <c r="B161">
        <v>8</v>
      </c>
      <c r="C161">
        <v>6.575342465753424E-2</v>
      </c>
      <c r="D161">
        <v>25</v>
      </c>
    </row>
    <row r="162" spans="1:4" x14ac:dyDescent="0.25">
      <c r="A162" t="s">
        <v>58</v>
      </c>
      <c r="B162">
        <v>8</v>
      </c>
      <c r="C162">
        <v>0.18356164383561643</v>
      </c>
      <c r="D162">
        <v>73</v>
      </c>
    </row>
    <row r="163" spans="1:4" x14ac:dyDescent="0.25">
      <c r="A163" t="s">
        <v>60</v>
      </c>
      <c r="B163">
        <v>8</v>
      </c>
      <c r="C163">
        <v>0.24657534246575341</v>
      </c>
      <c r="D163">
        <v>113</v>
      </c>
    </row>
    <row r="164" spans="1:4" x14ac:dyDescent="0.25">
      <c r="A164" t="s">
        <v>71</v>
      </c>
      <c r="B164">
        <v>8</v>
      </c>
      <c r="C164">
        <v>7.3972602739726029E-2</v>
      </c>
      <c r="D164">
        <v>27</v>
      </c>
    </row>
    <row r="165" spans="1:4" x14ac:dyDescent="0.25">
      <c r="A165" t="s">
        <v>56</v>
      </c>
      <c r="B165">
        <v>8</v>
      </c>
      <c r="C165">
        <v>0.16986301369863013</v>
      </c>
      <c r="D165">
        <v>69</v>
      </c>
    </row>
    <row r="166" spans="1:4" x14ac:dyDescent="0.25">
      <c r="A166" t="s">
        <v>185</v>
      </c>
      <c r="B166">
        <v>8</v>
      </c>
      <c r="C166">
        <v>0.18904109589041096</v>
      </c>
      <c r="D166">
        <v>89</v>
      </c>
    </row>
    <row r="167" spans="1:4" x14ac:dyDescent="0.25">
      <c r="A167" t="s">
        <v>17</v>
      </c>
      <c r="B167">
        <v>9</v>
      </c>
      <c r="C167">
        <v>0.19726027397260273</v>
      </c>
      <c r="D167">
        <v>83</v>
      </c>
    </row>
    <row r="168" spans="1:4" x14ac:dyDescent="0.25">
      <c r="A168" t="s">
        <v>36</v>
      </c>
      <c r="B168">
        <v>9</v>
      </c>
      <c r="C168">
        <v>9.3150684931506855E-2</v>
      </c>
      <c r="D168">
        <v>41</v>
      </c>
    </row>
    <row r="169" spans="1:4" x14ac:dyDescent="0.25">
      <c r="A169" t="s">
        <v>66</v>
      </c>
      <c r="B169">
        <v>9</v>
      </c>
      <c r="C169">
        <v>0.12054794520547946</v>
      </c>
      <c r="D169">
        <v>50</v>
      </c>
    </row>
    <row r="170" spans="1:4" x14ac:dyDescent="0.25">
      <c r="A170" t="s">
        <v>316</v>
      </c>
      <c r="B170">
        <v>9</v>
      </c>
      <c r="C170">
        <v>0.20821917808219179</v>
      </c>
      <c r="D170">
        <v>97</v>
      </c>
    </row>
    <row r="171" spans="1:4" x14ac:dyDescent="0.25">
      <c r="A171" t="s">
        <v>67</v>
      </c>
      <c r="B171">
        <v>9</v>
      </c>
      <c r="C171">
        <v>0.14246575342465753</v>
      </c>
      <c r="D171">
        <v>59</v>
      </c>
    </row>
    <row r="172" spans="1:4" x14ac:dyDescent="0.25">
      <c r="A172" t="s">
        <v>185</v>
      </c>
      <c r="B172">
        <v>9</v>
      </c>
      <c r="C172">
        <v>0.27123287671232876</v>
      </c>
      <c r="D172">
        <v>119</v>
      </c>
    </row>
    <row r="173" spans="1:4" x14ac:dyDescent="0.25">
      <c r="A173" t="s">
        <v>64</v>
      </c>
      <c r="B173">
        <v>10</v>
      </c>
      <c r="C173">
        <v>0.18904109589041096</v>
      </c>
      <c r="D173">
        <v>72</v>
      </c>
    </row>
    <row r="174" spans="1:4" x14ac:dyDescent="0.25">
      <c r="A174" t="s">
        <v>56</v>
      </c>
      <c r="B174">
        <v>10</v>
      </c>
      <c r="C174">
        <v>0.20547945205479451</v>
      </c>
      <c r="D174">
        <v>89</v>
      </c>
    </row>
    <row r="175" spans="1:4" x14ac:dyDescent="0.25">
      <c r="A175" t="s">
        <v>316</v>
      </c>
      <c r="B175">
        <v>10</v>
      </c>
      <c r="C175">
        <v>0.18904109589041096</v>
      </c>
      <c r="D175">
        <v>79</v>
      </c>
    </row>
    <row r="176" spans="1:4" x14ac:dyDescent="0.25">
      <c r="A176" t="s">
        <v>78</v>
      </c>
      <c r="B176">
        <v>11</v>
      </c>
      <c r="C176">
        <v>4.9315068493150684E-2</v>
      </c>
      <c r="D176">
        <v>19</v>
      </c>
    </row>
    <row r="177" spans="1:4" x14ac:dyDescent="0.25">
      <c r="A177" t="s">
        <v>73</v>
      </c>
      <c r="B177">
        <v>11</v>
      </c>
      <c r="C177">
        <v>7.6712328767123292E-2</v>
      </c>
      <c r="D177">
        <v>38</v>
      </c>
    </row>
    <row r="178" spans="1:4" x14ac:dyDescent="0.25">
      <c r="A178" t="s">
        <v>70</v>
      </c>
      <c r="B178">
        <v>12</v>
      </c>
      <c r="C178">
        <v>0.10684931506849316</v>
      </c>
      <c r="D178">
        <v>45</v>
      </c>
    </row>
    <row r="179" spans="1:4" x14ac:dyDescent="0.25">
      <c r="A179" t="s">
        <v>316</v>
      </c>
      <c r="B179">
        <v>12</v>
      </c>
      <c r="C179">
        <v>9.0410958904109592E-2</v>
      </c>
      <c r="D179">
        <v>41</v>
      </c>
    </row>
    <row r="180" spans="1:4" x14ac:dyDescent="0.25">
      <c r="A180" t="s">
        <v>71</v>
      </c>
      <c r="B180">
        <v>12</v>
      </c>
      <c r="C180">
        <v>8.7671232876712329E-2</v>
      </c>
      <c r="D180">
        <v>35</v>
      </c>
    </row>
    <row r="181" spans="1:4" x14ac:dyDescent="0.25">
      <c r="A181" t="s">
        <v>26</v>
      </c>
      <c r="B181">
        <v>12</v>
      </c>
      <c r="C181">
        <v>0.14794520547945206</v>
      </c>
      <c r="D181">
        <v>59</v>
      </c>
    </row>
    <row r="182" spans="1:4" x14ac:dyDescent="0.25">
      <c r="A182" t="s">
        <v>70</v>
      </c>
      <c r="B182">
        <v>13</v>
      </c>
      <c r="C182">
        <v>9.0410958904109592E-2</v>
      </c>
      <c r="D182">
        <v>38</v>
      </c>
    </row>
    <row r="183" spans="1:4" x14ac:dyDescent="0.25">
      <c r="A183" t="s">
        <v>64</v>
      </c>
      <c r="B183">
        <v>13</v>
      </c>
      <c r="C183">
        <v>0.18630136986301371</v>
      </c>
      <c r="D183">
        <v>80</v>
      </c>
    </row>
    <row r="184" spans="1:4" x14ac:dyDescent="0.25">
      <c r="A184" t="s">
        <v>69</v>
      </c>
      <c r="B184">
        <v>13</v>
      </c>
      <c r="C184">
        <v>9.3150684931506855E-2</v>
      </c>
      <c r="D184">
        <v>34</v>
      </c>
    </row>
    <row r="185" spans="1:4" x14ac:dyDescent="0.25">
      <c r="A185" t="s">
        <v>65</v>
      </c>
      <c r="B185">
        <v>13</v>
      </c>
      <c r="C185">
        <v>0.17808219178082191</v>
      </c>
      <c r="D185">
        <v>74</v>
      </c>
    </row>
    <row r="186" spans="1:4" x14ac:dyDescent="0.25">
      <c r="A186" t="s">
        <v>317</v>
      </c>
      <c r="B186">
        <v>14</v>
      </c>
      <c r="C186">
        <v>0.12876712328767123</v>
      </c>
      <c r="D186">
        <v>55</v>
      </c>
    </row>
    <row r="187" spans="1:4" x14ac:dyDescent="0.25">
      <c r="A187" t="s">
        <v>69</v>
      </c>
      <c r="B187">
        <v>14</v>
      </c>
      <c r="C187">
        <v>8.2191780821917804E-2</v>
      </c>
      <c r="D187">
        <v>33</v>
      </c>
    </row>
    <row r="188" spans="1:4" x14ac:dyDescent="0.25">
      <c r="A188" t="s">
        <v>188</v>
      </c>
      <c r="B188">
        <v>14</v>
      </c>
      <c r="C188">
        <v>0.10410958904109589</v>
      </c>
      <c r="D188">
        <v>44</v>
      </c>
    </row>
    <row r="189" spans="1:4" x14ac:dyDescent="0.25">
      <c r="A189" t="s">
        <v>32</v>
      </c>
      <c r="B189">
        <v>14</v>
      </c>
      <c r="C189">
        <v>1.3698630136986301E-2</v>
      </c>
      <c r="D189">
        <v>5</v>
      </c>
    </row>
    <row r="190" spans="1:4" x14ac:dyDescent="0.25">
      <c r="A190" t="s">
        <v>317</v>
      </c>
      <c r="B190">
        <v>16</v>
      </c>
      <c r="C190">
        <v>0.11780821917808219</v>
      </c>
      <c r="D190">
        <v>52</v>
      </c>
    </row>
    <row r="191" spans="1:4" x14ac:dyDescent="0.25">
      <c r="A191" t="s">
        <v>67</v>
      </c>
      <c r="B191">
        <v>16</v>
      </c>
      <c r="C191">
        <v>0.17260273972602741</v>
      </c>
      <c r="D191">
        <v>70</v>
      </c>
    </row>
    <row r="192" spans="1:4" x14ac:dyDescent="0.25">
      <c r="A192" t="s">
        <v>72</v>
      </c>
      <c r="B192">
        <v>16</v>
      </c>
      <c r="C192">
        <v>0.13150684931506848</v>
      </c>
      <c r="D192">
        <v>52</v>
      </c>
    </row>
    <row r="193" spans="1:4" x14ac:dyDescent="0.25">
      <c r="A193" t="s">
        <v>189</v>
      </c>
      <c r="B193">
        <v>17</v>
      </c>
      <c r="C193">
        <v>0.18356164383561643</v>
      </c>
      <c r="D193">
        <v>74</v>
      </c>
    </row>
    <row r="194" spans="1:4" x14ac:dyDescent="0.25">
      <c r="A194" t="s">
        <v>67</v>
      </c>
      <c r="B194">
        <v>17</v>
      </c>
      <c r="C194">
        <v>0.18082191780821918</v>
      </c>
      <c r="D194">
        <v>79</v>
      </c>
    </row>
    <row r="195" spans="1:4" x14ac:dyDescent="0.25">
      <c r="A195" t="s">
        <v>316</v>
      </c>
      <c r="B195">
        <v>17</v>
      </c>
      <c r="C195">
        <v>0.22465753424657534</v>
      </c>
      <c r="D195">
        <v>100</v>
      </c>
    </row>
    <row r="196" spans="1:4" x14ac:dyDescent="0.25">
      <c r="A196" t="s">
        <v>393</v>
      </c>
      <c r="B196">
        <v>17</v>
      </c>
      <c r="C196">
        <v>0.16164383561643836</v>
      </c>
      <c r="D196">
        <v>64</v>
      </c>
    </row>
    <row r="197" spans="1:4" x14ac:dyDescent="0.25">
      <c r="A197" t="s">
        <v>312</v>
      </c>
      <c r="B197">
        <v>18</v>
      </c>
      <c r="C197">
        <v>0.10684931506849316</v>
      </c>
      <c r="D197">
        <v>43</v>
      </c>
    </row>
    <row r="198" spans="1:4" x14ac:dyDescent="0.25">
      <c r="A198" t="s">
        <v>36</v>
      </c>
      <c r="B198">
        <v>18</v>
      </c>
      <c r="C198">
        <v>0.13424657534246576</v>
      </c>
      <c r="D198">
        <v>58</v>
      </c>
    </row>
    <row r="199" spans="1:4" x14ac:dyDescent="0.25">
      <c r="A199" t="s">
        <v>56</v>
      </c>
      <c r="B199">
        <v>19</v>
      </c>
      <c r="C199">
        <v>0.21369863013698631</v>
      </c>
      <c r="D199">
        <v>94</v>
      </c>
    </row>
    <row r="200" spans="1:4" x14ac:dyDescent="0.25">
      <c r="A200" t="s">
        <v>189</v>
      </c>
      <c r="B200">
        <v>19</v>
      </c>
      <c r="C200">
        <v>0.13424657534246576</v>
      </c>
      <c r="D200">
        <v>61</v>
      </c>
    </row>
    <row r="201" spans="1:4" x14ac:dyDescent="0.25">
      <c r="A201" t="s">
        <v>19</v>
      </c>
      <c r="B201">
        <v>19</v>
      </c>
      <c r="C201">
        <v>0.2</v>
      </c>
      <c r="D201">
        <v>88</v>
      </c>
    </row>
    <row r="202" spans="1:4" x14ac:dyDescent="0.25">
      <c r="A202" t="s">
        <v>321</v>
      </c>
      <c r="B202">
        <v>19</v>
      </c>
      <c r="C202">
        <v>4.6575342465753428E-2</v>
      </c>
      <c r="D202">
        <v>23</v>
      </c>
    </row>
    <row r="203" spans="1:4" x14ac:dyDescent="0.25">
      <c r="A203" t="s">
        <v>71</v>
      </c>
      <c r="B203">
        <v>20</v>
      </c>
      <c r="C203">
        <v>9.0410958904109592E-2</v>
      </c>
      <c r="D203">
        <v>38</v>
      </c>
    </row>
    <row r="204" spans="1:4" x14ac:dyDescent="0.25">
      <c r="A204" t="s">
        <v>186</v>
      </c>
      <c r="B204">
        <v>20</v>
      </c>
      <c r="C204">
        <v>5.4794520547945202E-2</v>
      </c>
      <c r="D204">
        <v>21</v>
      </c>
    </row>
    <row r="205" spans="1:4" x14ac:dyDescent="0.25">
      <c r="A205" t="s">
        <v>73</v>
      </c>
      <c r="B205">
        <v>20</v>
      </c>
      <c r="C205">
        <v>7.1232876712328766E-2</v>
      </c>
      <c r="D205">
        <v>27</v>
      </c>
    </row>
    <row r="206" spans="1:4" x14ac:dyDescent="0.25">
      <c r="A206" t="s">
        <v>73</v>
      </c>
      <c r="B206">
        <v>21</v>
      </c>
      <c r="C206">
        <v>5.4794520547945202E-2</v>
      </c>
      <c r="D206">
        <v>25</v>
      </c>
    </row>
    <row r="207" spans="1:4" x14ac:dyDescent="0.25">
      <c r="A207" t="s">
        <v>186</v>
      </c>
      <c r="B207">
        <v>21</v>
      </c>
      <c r="C207">
        <v>6.3013698630136991E-2</v>
      </c>
      <c r="D207">
        <v>25</v>
      </c>
    </row>
    <row r="208" spans="1:4" x14ac:dyDescent="0.25">
      <c r="A208" t="s">
        <v>58</v>
      </c>
      <c r="B208">
        <v>21</v>
      </c>
      <c r="C208">
        <v>9.3150684931506855E-2</v>
      </c>
      <c r="D208">
        <v>43</v>
      </c>
    </row>
    <row r="209" spans="1:4" x14ac:dyDescent="0.25">
      <c r="A209" t="s">
        <v>71</v>
      </c>
      <c r="B209">
        <v>21</v>
      </c>
      <c r="C209">
        <v>4.9315068493150684E-2</v>
      </c>
      <c r="D209">
        <v>18</v>
      </c>
    </row>
    <row r="210" spans="1:4" x14ac:dyDescent="0.25">
      <c r="A210" t="s">
        <v>19</v>
      </c>
      <c r="B210">
        <v>21</v>
      </c>
      <c r="C210">
        <v>6.3013698630136991E-2</v>
      </c>
      <c r="D210">
        <v>32</v>
      </c>
    </row>
    <row r="211" spans="1:4" x14ac:dyDescent="0.25">
      <c r="A211" t="s">
        <v>185</v>
      </c>
      <c r="B211">
        <v>21</v>
      </c>
      <c r="C211">
        <v>0.19726027397260273</v>
      </c>
      <c r="D211">
        <v>84</v>
      </c>
    </row>
    <row r="212" spans="1:4" x14ac:dyDescent="0.25">
      <c r="A212" t="s">
        <v>316</v>
      </c>
      <c r="B212">
        <v>21</v>
      </c>
      <c r="C212">
        <v>7.1232876712328766E-2</v>
      </c>
      <c r="D212">
        <v>33</v>
      </c>
    </row>
    <row r="213" spans="1:4" x14ac:dyDescent="0.25">
      <c r="A213" t="s">
        <v>63</v>
      </c>
      <c r="B213">
        <v>22</v>
      </c>
      <c r="C213">
        <v>6.3013698630136991E-2</v>
      </c>
      <c r="D213">
        <v>27</v>
      </c>
    </row>
    <row r="214" spans="1:4" x14ac:dyDescent="0.25">
      <c r="A214" t="s">
        <v>189</v>
      </c>
      <c r="B214">
        <v>23</v>
      </c>
      <c r="C214">
        <v>4.9315068493150684E-2</v>
      </c>
      <c r="D214">
        <v>18</v>
      </c>
    </row>
    <row r="215" spans="1:4" x14ac:dyDescent="0.25">
      <c r="A215" t="s">
        <v>75</v>
      </c>
      <c r="B215">
        <v>23</v>
      </c>
      <c r="C215">
        <v>1.643835616438356E-2</v>
      </c>
      <c r="D215">
        <v>6</v>
      </c>
    </row>
    <row r="216" spans="1:4" x14ac:dyDescent="0.25">
      <c r="A216" t="s">
        <v>73</v>
      </c>
      <c r="B216">
        <v>23</v>
      </c>
      <c r="C216">
        <v>2.1917808219178082E-2</v>
      </c>
      <c r="D216">
        <v>8</v>
      </c>
    </row>
    <row r="217" spans="1:4" x14ac:dyDescent="0.25">
      <c r="A217" t="s">
        <v>286</v>
      </c>
      <c r="B217">
        <v>23</v>
      </c>
      <c r="C217">
        <v>5.4794520547945206E-3</v>
      </c>
      <c r="D217">
        <v>2</v>
      </c>
    </row>
    <row r="218" spans="1:4" x14ac:dyDescent="0.25">
      <c r="A218" t="s">
        <v>68</v>
      </c>
      <c r="B218">
        <v>0</v>
      </c>
      <c r="C218">
        <v>5.4794520547945202E-2</v>
      </c>
      <c r="D218">
        <v>21</v>
      </c>
    </row>
    <row r="219" spans="1:4" x14ac:dyDescent="0.25">
      <c r="A219" t="s">
        <v>28</v>
      </c>
      <c r="B219">
        <v>0</v>
      </c>
      <c r="C219">
        <v>4.1095890410958902E-2</v>
      </c>
      <c r="D219">
        <v>16</v>
      </c>
    </row>
    <row r="220" spans="1:4" x14ac:dyDescent="0.25">
      <c r="A220" t="s">
        <v>58</v>
      </c>
      <c r="B220">
        <v>1</v>
      </c>
      <c r="C220">
        <v>9.3150684931506855E-2</v>
      </c>
      <c r="D220">
        <v>36</v>
      </c>
    </row>
    <row r="221" spans="1:4" x14ac:dyDescent="0.25">
      <c r="A221" t="s">
        <v>58</v>
      </c>
      <c r="B221">
        <v>2</v>
      </c>
      <c r="C221">
        <v>3.287671232876712E-2</v>
      </c>
      <c r="D221">
        <v>12</v>
      </c>
    </row>
    <row r="222" spans="1:4" x14ac:dyDescent="0.25">
      <c r="A222" t="s">
        <v>183</v>
      </c>
      <c r="B222">
        <v>5</v>
      </c>
      <c r="C222">
        <v>1.9178082191780823E-2</v>
      </c>
      <c r="D222">
        <v>7</v>
      </c>
    </row>
    <row r="223" spans="1:4" x14ac:dyDescent="0.25">
      <c r="A223" t="s">
        <v>185</v>
      </c>
      <c r="B223">
        <v>5</v>
      </c>
      <c r="C223">
        <v>6.0273972602739728E-2</v>
      </c>
      <c r="D223">
        <v>23</v>
      </c>
    </row>
    <row r="224" spans="1:4" x14ac:dyDescent="0.25">
      <c r="A224" t="s">
        <v>189</v>
      </c>
      <c r="B224">
        <v>7</v>
      </c>
      <c r="C224">
        <v>7.1232876712328766E-2</v>
      </c>
      <c r="D224">
        <v>29</v>
      </c>
    </row>
    <row r="225" spans="1:4" x14ac:dyDescent="0.25">
      <c r="A225" t="s">
        <v>56</v>
      </c>
      <c r="B225">
        <v>7</v>
      </c>
      <c r="C225">
        <v>0.16438356164383561</v>
      </c>
      <c r="D225">
        <v>67</v>
      </c>
    </row>
    <row r="226" spans="1:4" x14ac:dyDescent="0.25">
      <c r="A226" t="s">
        <v>72</v>
      </c>
      <c r="B226">
        <v>8</v>
      </c>
      <c r="C226">
        <v>0.10136986301369863</v>
      </c>
      <c r="D226">
        <v>44</v>
      </c>
    </row>
    <row r="227" spans="1:4" x14ac:dyDescent="0.25">
      <c r="A227" t="s">
        <v>67</v>
      </c>
      <c r="B227">
        <v>8</v>
      </c>
      <c r="C227">
        <v>0.12876712328767123</v>
      </c>
      <c r="D227">
        <v>54</v>
      </c>
    </row>
    <row r="228" spans="1:4" x14ac:dyDescent="0.25">
      <c r="A228" t="s">
        <v>63</v>
      </c>
      <c r="B228">
        <v>9</v>
      </c>
      <c r="C228">
        <v>0.24109589041095891</v>
      </c>
      <c r="D228">
        <v>107</v>
      </c>
    </row>
    <row r="229" spans="1:4" x14ac:dyDescent="0.25">
      <c r="A229" t="s">
        <v>77</v>
      </c>
      <c r="B229">
        <v>9</v>
      </c>
      <c r="C229">
        <v>1.9178082191780823E-2</v>
      </c>
      <c r="D229">
        <v>7</v>
      </c>
    </row>
    <row r="230" spans="1:4" x14ac:dyDescent="0.25">
      <c r="A230" t="s">
        <v>17</v>
      </c>
      <c r="B230">
        <v>10</v>
      </c>
      <c r="C230">
        <v>0.16712328767123288</v>
      </c>
      <c r="D230">
        <v>82</v>
      </c>
    </row>
    <row r="231" spans="1:4" x14ac:dyDescent="0.25">
      <c r="A231" t="s">
        <v>26</v>
      </c>
      <c r="B231">
        <v>10</v>
      </c>
      <c r="C231">
        <v>0.11780821917808219</v>
      </c>
      <c r="D231">
        <v>48</v>
      </c>
    </row>
    <row r="232" spans="1:4" x14ac:dyDescent="0.25">
      <c r="A232" t="s">
        <v>74</v>
      </c>
      <c r="B232">
        <v>10</v>
      </c>
      <c r="C232">
        <v>0.10136986301369863</v>
      </c>
      <c r="D232">
        <v>40</v>
      </c>
    </row>
    <row r="233" spans="1:4" x14ac:dyDescent="0.25">
      <c r="A233" t="s">
        <v>75</v>
      </c>
      <c r="B233">
        <v>11</v>
      </c>
      <c r="C233">
        <v>9.8630136986301367E-2</v>
      </c>
      <c r="D233">
        <v>38</v>
      </c>
    </row>
    <row r="234" spans="1:4" x14ac:dyDescent="0.25">
      <c r="A234" t="s">
        <v>70</v>
      </c>
      <c r="B234">
        <v>11</v>
      </c>
      <c r="C234">
        <v>6.575342465753424E-2</v>
      </c>
      <c r="D234">
        <v>27</v>
      </c>
    </row>
    <row r="235" spans="1:4" x14ac:dyDescent="0.25">
      <c r="A235" t="s">
        <v>183</v>
      </c>
      <c r="B235">
        <v>11</v>
      </c>
      <c r="C235">
        <v>0.24931506849315069</v>
      </c>
      <c r="D235">
        <v>110</v>
      </c>
    </row>
    <row r="236" spans="1:4" x14ac:dyDescent="0.25">
      <c r="A236" t="s">
        <v>290</v>
      </c>
      <c r="B236">
        <v>11</v>
      </c>
      <c r="C236">
        <v>3.5616438356164383E-2</v>
      </c>
      <c r="D236">
        <v>13</v>
      </c>
    </row>
    <row r="237" spans="1:4" x14ac:dyDescent="0.25">
      <c r="A237" t="s">
        <v>63</v>
      </c>
      <c r="B237">
        <v>12</v>
      </c>
      <c r="C237">
        <v>0.16164383561643836</v>
      </c>
      <c r="D237">
        <v>73</v>
      </c>
    </row>
    <row r="238" spans="1:4" x14ac:dyDescent="0.25">
      <c r="A238" t="s">
        <v>314</v>
      </c>
      <c r="B238">
        <v>12</v>
      </c>
      <c r="C238">
        <v>3.0136986301369864E-2</v>
      </c>
      <c r="D238">
        <v>11</v>
      </c>
    </row>
    <row r="239" spans="1:4" x14ac:dyDescent="0.25">
      <c r="A239" t="s">
        <v>66</v>
      </c>
      <c r="B239">
        <v>12</v>
      </c>
      <c r="C239">
        <v>0.10410958904109589</v>
      </c>
      <c r="D239">
        <v>51</v>
      </c>
    </row>
    <row r="240" spans="1:4" x14ac:dyDescent="0.25">
      <c r="A240" t="s">
        <v>38</v>
      </c>
      <c r="B240">
        <v>14</v>
      </c>
      <c r="C240">
        <v>8.21917808219178E-3</v>
      </c>
      <c r="D240">
        <v>3</v>
      </c>
    </row>
    <row r="241" spans="1:4" x14ac:dyDescent="0.25">
      <c r="A241" t="s">
        <v>19</v>
      </c>
      <c r="B241">
        <v>14</v>
      </c>
      <c r="C241">
        <v>7.3972602739726029E-2</v>
      </c>
      <c r="D241">
        <v>31</v>
      </c>
    </row>
    <row r="242" spans="1:4" x14ac:dyDescent="0.25">
      <c r="A242" t="s">
        <v>70</v>
      </c>
      <c r="B242">
        <v>14</v>
      </c>
      <c r="C242">
        <v>9.3150684931506855E-2</v>
      </c>
      <c r="D242">
        <v>36</v>
      </c>
    </row>
    <row r="243" spans="1:4" x14ac:dyDescent="0.25">
      <c r="A243" t="s">
        <v>38</v>
      </c>
      <c r="B243">
        <v>15</v>
      </c>
      <c r="C243">
        <v>1.0958904109589041E-2</v>
      </c>
      <c r="D243">
        <v>4</v>
      </c>
    </row>
    <row r="244" spans="1:4" x14ac:dyDescent="0.25">
      <c r="A244" t="s">
        <v>316</v>
      </c>
      <c r="B244">
        <v>15</v>
      </c>
      <c r="C244">
        <v>0.12328767123287671</v>
      </c>
      <c r="D244">
        <v>54</v>
      </c>
    </row>
    <row r="245" spans="1:4" x14ac:dyDescent="0.25">
      <c r="A245" t="s">
        <v>61</v>
      </c>
      <c r="B245">
        <v>15</v>
      </c>
      <c r="C245">
        <v>0.16986301369863013</v>
      </c>
      <c r="D245">
        <v>75</v>
      </c>
    </row>
    <row r="246" spans="1:4" x14ac:dyDescent="0.25">
      <c r="A246" t="s">
        <v>73</v>
      </c>
      <c r="B246">
        <v>16</v>
      </c>
      <c r="C246">
        <v>8.7671232876712329E-2</v>
      </c>
      <c r="D246">
        <v>37</v>
      </c>
    </row>
    <row r="247" spans="1:4" x14ac:dyDescent="0.25">
      <c r="A247" t="s">
        <v>63</v>
      </c>
      <c r="B247">
        <v>16</v>
      </c>
      <c r="C247">
        <v>9.5890410958904104E-2</v>
      </c>
      <c r="D247">
        <v>39</v>
      </c>
    </row>
    <row r="248" spans="1:4" x14ac:dyDescent="0.25">
      <c r="A248" t="s">
        <v>185</v>
      </c>
      <c r="B248">
        <v>16</v>
      </c>
      <c r="C248">
        <v>0.35890410958904112</v>
      </c>
      <c r="D248">
        <v>179</v>
      </c>
    </row>
    <row r="249" spans="1:4" x14ac:dyDescent="0.25">
      <c r="A249" t="s">
        <v>37</v>
      </c>
      <c r="B249">
        <v>17</v>
      </c>
      <c r="C249">
        <v>6.0273972602739728E-2</v>
      </c>
      <c r="D249">
        <v>25</v>
      </c>
    </row>
    <row r="250" spans="1:4" x14ac:dyDescent="0.25">
      <c r="A250" t="s">
        <v>62</v>
      </c>
      <c r="B250">
        <v>17</v>
      </c>
      <c r="C250">
        <v>0.14246575342465753</v>
      </c>
      <c r="D250">
        <v>60</v>
      </c>
    </row>
    <row r="251" spans="1:4" x14ac:dyDescent="0.25">
      <c r="A251" t="s">
        <v>74</v>
      </c>
      <c r="B251">
        <v>17</v>
      </c>
      <c r="C251">
        <v>8.4931506849315067E-2</v>
      </c>
      <c r="D251">
        <v>31</v>
      </c>
    </row>
    <row r="252" spans="1:4" x14ac:dyDescent="0.25">
      <c r="A252" t="s">
        <v>17</v>
      </c>
      <c r="B252">
        <v>17</v>
      </c>
      <c r="C252">
        <v>0.21369863013698631</v>
      </c>
      <c r="D252">
        <v>109</v>
      </c>
    </row>
    <row r="253" spans="1:4" x14ac:dyDescent="0.25">
      <c r="A253" t="s">
        <v>61</v>
      </c>
      <c r="B253">
        <v>17</v>
      </c>
      <c r="C253">
        <v>0.20547945205479451</v>
      </c>
      <c r="D253">
        <v>92</v>
      </c>
    </row>
    <row r="254" spans="1:4" x14ac:dyDescent="0.25">
      <c r="A254" t="s">
        <v>185</v>
      </c>
      <c r="B254">
        <v>18</v>
      </c>
      <c r="C254">
        <v>0.31232876712328766</v>
      </c>
      <c r="D254">
        <v>139</v>
      </c>
    </row>
    <row r="255" spans="1:4" x14ac:dyDescent="0.25">
      <c r="A255" t="s">
        <v>184</v>
      </c>
      <c r="B255">
        <v>18</v>
      </c>
      <c r="C255">
        <v>0.27397260273972601</v>
      </c>
      <c r="D255">
        <v>130</v>
      </c>
    </row>
    <row r="256" spans="1:4" x14ac:dyDescent="0.25">
      <c r="A256" t="s">
        <v>76</v>
      </c>
      <c r="B256">
        <v>18</v>
      </c>
      <c r="C256">
        <v>5.2054794520547946E-2</v>
      </c>
      <c r="D256">
        <v>19</v>
      </c>
    </row>
    <row r="257" spans="1:4" x14ac:dyDescent="0.25">
      <c r="A257" t="s">
        <v>32</v>
      </c>
      <c r="B257">
        <v>19</v>
      </c>
      <c r="C257">
        <v>8.21917808219178E-3</v>
      </c>
      <c r="D257">
        <v>3</v>
      </c>
    </row>
    <row r="258" spans="1:4" x14ac:dyDescent="0.25">
      <c r="A258" t="s">
        <v>312</v>
      </c>
      <c r="B258">
        <v>19</v>
      </c>
      <c r="C258">
        <v>0.11780821917808219</v>
      </c>
      <c r="D258">
        <v>50</v>
      </c>
    </row>
    <row r="259" spans="1:4" x14ac:dyDescent="0.25">
      <c r="A259" t="s">
        <v>313</v>
      </c>
      <c r="B259">
        <v>19</v>
      </c>
      <c r="C259">
        <v>5.2054794520547946E-2</v>
      </c>
      <c r="D259">
        <v>21</v>
      </c>
    </row>
    <row r="260" spans="1:4" x14ac:dyDescent="0.25">
      <c r="A260" t="s">
        <v>184</v>
      </c>
      <c r="B260">
        <v>19</v>
      </c>
      <c r="C260">
        <v>0.21917808219178081</v>
      </c>
      <c r="D260">
        <v>99</v>
      </c>
    </row>
    <row r="261" spans="1:4" x14ac:dyDescent="0.25">
      <c r="A261" t="s">
        <v>75</v>
      </c>
      <c r="B261">
        <v>19</v>
      </c>
      <c r="C261">
        <v>7.3972602739726029E-2</v>
      </c>
      <c r="D261">
        <v>27</v>
      </c>
    </row>
    <row r="262" spans="1:4" x14ac:dyDescent="0.25">
      <c r="A262" t="s">
        <v>74</v>
      </c>
      <c r="B262">
        <v>19</v>
      </c>
      <c r="C262">
        <v>9.3150684931506855E-2</v>
      </c>
      <c r="D262">
        <v>40</v>
      </c>
    </row>
    <row r="263" spans="1:4" x14ac:dyDescent="0.25">
      <c r="A263" t="s">
        <v>26</v>
      </c>
      <c r="B263">
        <v>19</v>
      </c>
      <c r="C263">
        <v>0.15342465753424658</v>
      </c>
      <c r="D263">
        <v>61</v>
      </c>
    </row>
    <row r="264" spans="1:4" x14ac:dyDescent="0.25">
      <c r="A264" t="s">
        <v>320</v>
      </c>
      <c r="B264">
        <v>20</v>
      </c>
      <c r="C264">
        <v>2.4657534246575342E-2</v>
      </c>
      <c r="D264">
        <v>11</v>
      </c>
    </row>
    <row r="265" spans="1:4" x14ac:dyDescent="0.25">
      <c r="A265" t="s">
        <v>76</v>
      </c>
      <c r="B265">
        <v>20</v>
      </c>
      <c r="C265">
        <v>6.0273972602739728E-2</v>
      </c>
      <c r="D265">
        <v>24</v>
      </c>
    </row>
    <row r="266" spans="1:4" x14ac:dyDescent="0.25">
      <c r="A266" t="s">
        <v>184</v>
      </c>
      <c r="B266">
        <v>20</v>
      </c>
      <c r="C266">
        <v>0.18082191780821918</v>
      </c>
      <c r="D266">
        <v>77</v>
      </c>
    </row>
    <row r="267" spans="1:4" x14ac:dyDescent="0.25">
      <c r="A267" t="s">
        <v>66</v>
      </c>
      <c r="B267">
        <v>21</v>
      </c>
      <c r="C267">
        <v>0.10684931506849316</v>
      </c>
      <c r="D267">
        <v>45</v>
      </c>
    </row>
    <row r="268" spans="1:4" x14ac:dyDescent="0.25">
      <c r="A268" t="s">
        <v>64</v>
      </c>
      <c r="B268">
        <v>22</v>
      </c>
      <c r="C268">
        <v>6.0273972602739728E-2</v>
      </c>
      <c r="D268">
        <v>23</v>
      </c>
    </row>
    <row r="269" spans="1:4" x14ac:dyDescent="0.25">
      <c r="A269" t="s">
        <v>77</v>
      </c>
      <c r="B269">
        <v>22</v>
      </c>
      <c r="C269">
        <v>3.0136986301369864E-2</v>
      </c>
      <c r="D269">
        <v>11</v>
      </c>
    </row>
    <row r="270" spans="1:4" x14ac:dyDescent="0.25">
      <c r="A270" t="s">
        <v>287</v>
      </c>
      <c r="B270">
        <v>22</v>
      </c>
      <c r="C270">
        <v>8.21917808219178E-3</v>
      </c>
      <c r="D270">
        <v>3</v>
      </c>
    </row>
    <row r="271" spans="1:4" x14ac:dyDescent="0.25">
      <c r="A271" t="s">
        <v>185</v>
      </c>
      <c r="B271">
        <v>22</v>
      </c>
      <c r="C271">
        <v>0.14520547945205478</v>
      </c>
      <c r="D271">
        <v>60</v>
      </c>
    </row>
    <row r="272" spans="1:4" x14ac:dyDescent="0.25">
      <c r="A272" t="s">
        <v>37</v>
      </c>
      <c r="B272">
        <v>23</v>
      </c>
      <c r="C272">
        <v>2.7397260273972601E-2</v>
      </c>
      <c r="D272">
        <v>11</v>
      </c>
    </row>
    <row r="273" spans="1:4" x14ac:dyDescent="0.25">
      <c r="A273" t="s">
        <v>19</v>
      </c>
      <c r="B273">
        <v>23</v>
      </c>
      <c r="C273">
        <v>3.5616438356164383E-2</v>
      </c>
      <c r="D273">
        <v>14</v>
      </c>
    </row>
    <row r="274" spans="1:4" x14ac:dyDescent="0.25">
      <c r="A274" t="s">
        <v>185</v>
      </c>
      <c r="B274">
        <v>23</v>
      </c>
      <c r="C274">
        <v>0.10136986301369863</v>
      </c>
      <c r="D274">
        <v>43</v>
      </c>
    </row>
    <row r="275" spans="1:4" x14ac:dyDescent="0.25">
      <c r="A275" t="s">
        <v>71</v>
      </c>
      <c r="B275">
        <v>0</v>
      </c>
      <c r="C275">
        <v>4.9315068493150684E-2</v>
      </c>
      <c r="D275">
        <v>22</v>
      </c>
    </row>
    <row r="276" spans="1:4" x14ac:dyDescent="0.25">
      <c r="A276" t="s">
        <v>60</v>
      </c>
      <c r="B276">
        <v>1</v>
      </c>
      <c r="C276">
        <v>6.3013698630136991E-2</v>
      </c>
      <c r="D276">
        <v>26</v>
      </c>
    </row>
    <row r="277" spans="1:4" x14ac:dyDescent="0.25">
      <c r="A277" t="s">
        <v>62</v>
      </c>
      <c r="B277">
        <v>3</v>
      </c>
      <c r="C277">
        <v>3.287671232876712E-2</v>
      </c>
      <c r="D277">
        <v>13</v>
      </c>
    </row>
    <row r="278" spans="1:4" x14ac:dyDescent="0.25">
      <c r="A278" t="s">
        <v>65</v>
      </c>
      <c r="B278">
        <v>3</v>
      </c>
      <c r="C278">
        <v>5.2054794520547946E-2</v>
      </c>
      <c r="D278">
        <v>20</v>
      </c>
    </row>
    <row r="279" spans="1:4" x14ac:dyDescent="0.25">
      <c r="A279" t="s">
        <v>316</v>
      </c>
      <c r="B279">
        <v>5</v>
      </c>
      <c r="C279">
        <v>1.643835616438356E-2</v>
      </c>
      <c r="D279">
        <v>7</v>
      </c>
    </row>
    <row r="280" spans="1:4" x14ac:dyDescent="0.25">
      <c r="A280" t="s">
        <v>185</v>
      </c>
      <c r="B280">
        <v>6</v>
      </c>
      <c r="C280">
        <v>6.8493150684931503E-2</v>
      </c>
      <c r="D280">
        <v>29</v>
      </c>
    </row>
    <row r="281" spans="1:4" x14ac:dyDescent="0.25">
      <c r="A281" t="s">
        <v>183</v>
      </c>
      <c r="B281">
        <v>6</v>
      </c>
      <c r="C281">
        <v>7.6712328767123292E-2</v>
      </c>
      <c r="D281">
        <v>32</v>
      </c>
    </row>
    <row r="282" spans="1:4" x14ac:dyDescent="0.25">
      <c r="A282" t="s">
        <v>58</v>
      </c>
      <c r="B282">
        <v>7</v>
      </c>
      <c r="C282">
        <v>0.16164383561643836</v>
      </c>
      <c r="D282">
        <v>70</v>
      </c>
    </row>
    <row r="283" spans="1:4" x14ac:dyDescent="0.25">
      <c r="A283" t="s">
        <v>73</v>
      </c>
      <c r="B283">
        <v>8</v>
      </c>
      <c r="C283">
        <v>4.9315068493150684E-2</v>
      </c>
      <c r="D283">
        <v>20</v>
      </c>
    </row>
    <row r="284" spans="1:4" x14ac:dyDescent="0.25">
      <c r="A284" t="s">
        <v>69</v>
      </c>
      <c r="B284">
        <v>8</v>
      </c>
      <c r="C284">
        <v>9.5890410958904104E-2</v>
      </c>
      <c r="D284">
        <v>39</v>
      </c>
    </row>
    <row r="285" spans="1:4" x14ac:dyDescent="0.25">
      <c r="A285" t="s">
        <v>61</v>
      </c>
      <c r="B285">
        <v>9</v>
      </c>
      <c r="C285">
        <v>0.16712328767123288</v>
      </c>
      <c r="D285">
        <v>75</v>
      </c>
    </row>
    <row r="286" spans="1:4" x14ac:dyDescent="0.25">
      <c r="A286" t="s">
        <v>183</v>
      </c>
      <c r="B286">
        <v>10</v>
      </c>
      <c r="C286">
        <v>0.16712328767123288</v>
      </c>
      <c r="D286">
        <v>70</v>
      </c>
    </row>
    <row r="287" spans="1:4" x14ac:dyDescent="0.25">
      <c r="A287" t="s">
        <v>190</v>
      </c>
      <c r="B287">
        <v>10</v>
      </c>
      <c r="C287">
        <v>1.9178082191780823E-2</v>
      </c>
      <c r="D287">
        <v>7</v>
      </c>
    </row>
    <row r="288" spans="1:4" x14ac:dyDescent="0.25">
      <c r="A288" t="s">
        <v>58</v>
      </c>
      <c r="B288">
        <v>10</v>
      </c>
      <c r="C288">
        <v>0.16438356164383561</v>
      </c>
      <c r="D288">
        <v>74</v>
      </c>
    </row>
    <row r="289" spans="1:4" x14ac:dyDescent="0.25">
      <c r="A289" t="s">
        <v>189</v>
      </c>
      <c r="B289">
        <v>10</v>
      </c>
      <c r="C289">
        <v>5.7534246575342465E-2</v>
      </c>
      <c r="D289">
        <v>25</v>
      </c>
    </row>
    <row r="290" spans="1:4" x14ac:dyDescent="0.25">
      <c r="A290" t="s">
        <v>72</v>
      </c>
      <c r="B290">
        <v>11</v>
      </c>
      <c r="C290">
        <v>9.8630136986301367E-2</v>
      </c>
      <c r="D290">
        <v>37</v>
      </c>
    </row>
    <row r="291" spans="1:4" x14ac:dyDescent="0.25">
      <c r="A291" t="s">
        <v>187</v>
      </c>
      <c r="B291">
        <v>11</v>
      </c>
      <c r="C291">
        <v>0.19452054794520549</v>
      </c>
      <c r="D291">
        <v>83</v>
      </c>
    </row>
    <row r="292" spans="1:4" x14ac:dyDescent="0.25">
      <c r="A292" t="s">
        <v>69</v>
      </c>
      <c r="B292">
        <v>12</v>
      </c>
      <c r="C292">
        <v>7.9452054794520555E-2</v>
      </c>
      <c r="D292">
        <v>34</v>
      </c>
    </row>
    <row r="293" spans="1:4" x14ac:dyDescent="0.25">
      <c r="A293" t="s">
        <v>188</v>
      </c>
      <c r="B293">
        <v>13</v>
      </c>
      <c r="C293">
        <v>0.12328767123287671</v>
      </c>
      <c r="D293">
        <v>54</v>
      </c>
    </row>
    <row r="294" spans="1:4" x14ac:dyDescent="0.25">
      <c r="A294" t="s">
        <v>187</v>
      </c>
      <c r="B294">
        <v>13</v>
      </c>
      <c r="C294">
        <v>0.15616438356164383</v>
      </c>
      <c r="D294">
        <v>73</v>
      </c>
    </row>
    <row r="295" spans="1:4" x14ac:dyDescent="0.25">
      <c r="A295" t="s">
        <v>72</v>
      </c>
      <c r="B295">
        <v>13</v>
      </c>
      <c r="C295">
        <v>0.10684931506849316</v>
      </c>
      <c r="D295">
        <v>41</v>
      </c>
    </row>
    <row r="296" spans="1:4" x14ac:dyDescent="0.25">
      <c r="A296" t="s">
        <v>17</v>
      </c>
      <c r="B296">
        <v>13</v>
      </c>
      <c r="C296">
        <v>0.11780821917808219</v>
      </c>
      <c r="D296">
        <v>54</v>
      </c>
    </row>
    <row r="297" spans="1:4" x14ac:dyDescent="0.25">
      <c r="A297" t="s">
        <v>290</v>
      </c>
      <c r="B297">
        <v>13</v>
      </c>
      <c r="C297">
        <v>1.643835616438356E-2</v>
      </c>
      <c r="D297">
        <v>6</v>
      </c>
    </row>
    <row r="298" spans="1:4" x14ac:dyDescent="0.25">
      <c r="A298" t="s">
        <v>73</v>
      </c>
      <c r="B298">
        <v>13</v>
      </c>
      <c r="C298">
        <v>6.0273972602739728E-2</v>
      </c>
      <c r="D298">
        <v>25</v>
      </c>
    </row>
    <row r="299" spans="1:4" x14ac:dyDescent="0.25">
      <c r="A299" t="s">
        <v>21</v>
      </c>
      <c r="B299">
        <v>14</v>
      </c>
      <c r="C299">
        <v>3.5616438356164383E-2</v>
      </c>
      <c r="D299">
        <v>14</v>
      </c>
    </row>
    <row r="300" spans="1:4" x14ac:dyDescent="0.25">
      <c r="A300" t="s">
        <v>66</v>
      </c>
      <c r="B300">
        <v>14</v>
      </c>
      <c r="C300">
        <v>0.12328767123287671</v>
      </c>
      <c r="D300">
        <v>53</v>
      </c>
    </row>
    <row r="301" spans="1:4" x14ac:dyDescent="0.25">
      <c r="A301" t="s">
        <v>58</v>
      </c>
      <c r="B301">
        <v>14</v>
      </c>
      <c r="C301">
        <v>0.20821917808219179</v>
      </c>
      <c r="D301">
        <v>94</v>
      </c>
    </row>
    <row r="302" spans="1:4" x14ac:dyDescent="0.25">
      <c r="A302" t="s">
        <v>288</v>
      </c>
      <c r="B302">
        <v>15</v>
      </c>
      <c r="C302">
        <v>4.1095890410958902E-2</v>
      </c>
      <c r="D302">
        <v>16</v>
      </c>
    </row>
    <row r="303" spans="1:4" x14ac:dyDescent="0.25">
      <c r="A303" t="s">
        <v>37</v>
      </c>
      <c r="B303">
        <v>15</v>
      </c>
      <c r="C303">
        <v>6.575342465753424E-2</v>
      </c>
      <c r="D303">
        <v>26</v>
      </c>
    </row>
    <row r="304" spans="1:4" x14ac:dyDescent="0.25">
      <c r="A304" t="s">
        <v>309</v>
      </c>
      <c r="B304">
        <v>15</v>
      </c>
      <c r="C304">
        <v>3.5616438356164383E-2</v>
      </c>
      <c r="D304">
        <v>14</v>
      </c>
    </row>
    <row r="305" spans="1:4" x14ac:dyDescent="0.25">
      <c r="A305" t="s">
        <v>21</v>
      </c>
      <c r="B305">
        <v>15</v>
      </c>
      <c r="C305">
        <v>5.4794520547945202E-2</v>
      </c>
      <c r="D305">
        <v>21</v>
      </c>
    </row>
    <row r="306" spans="1:4" x14ac:dyDescent="0.25">
      <c r="A306" t="s">
        <v>21</v>
      </c>
      <c r="B306">
        <v>16</v>
      </c>
      <c r="C306">
        <v>4.6575342465753428E-2</v>
      </c>
      <c r="D306">
        <v>18</v>
      </c>
    </row>
    <row r="307" spans="1:4" x14ac:dyDescent="0.25">
      <c r="A307" t="s">
        <v>291</v>
      </c>
      <c r="B307">
        <v>16</v>
      </c>
      <c r="C307">
        <v>3.287671232876712E-2</v>
      </c>
      <c r="D307">
        <v>12</v>
      </c>
    </row>
    <row r="308" spans="1:4" x14ac:dyDescent="0.25">
      <c r="A308" t="s">
        <v>60</v>
      </c>
      <c r="B308">
        <v>16</v>
      </c>
      <c r="C308">
        <v>0.25479452054794521</v>
      </c>
      <c r="D308">
        <v>119</v>
      </c>
    </row>
    <row r="309" spans="1:4" x14ac:dyDescent="0.25">
      <c r="A309" t="s">
        <v>312</v>
      </c>
      <c r="B309">
        <v>16</v>
      </c>
      <c r="C309">
        <v>0.10410958904109589</v>
      </c>
      <c r="D309">
        <v>41</v>
      </c>
    </row>
    <row r="310" spans="1:4" x14ac:dyDescent="0.25">
      <c r="A310" t="s">
        <v>63</v>
      </c>
      <c r="B310">
        <v>17</v>
      </c>
      <c r="C310">
        <v>0.25753424657534246</v>
      </c>
      <c r="D310">
        <v>118</v>
      </c>
    </row>
    <row r="311" spans="1:4" x14ac:dyDescent="0.25">
      <c r="A311" t="s">
        <v>19</v>
      </c>
      <c r="B311">
        <v>17</v>
      </c>
      <c r="C311">
        <v>0.17260273972602741</v>
      </c>
      <c r="D311">
        <v>74</v>
      </c>
    </row>
    <row r="312" spans="1:4" x14ac:dyDescent="0.25">
      <c r="A312" t="s">
        <v>321</v>
      </c>
      <c r="B312">
        <v>18</v>
      </c>
      <c r="C312">
        <v>2.4657534246575342E-2</v>
      </c>
      <c r="D312">
        <v>13</v>
      </c>
    </row>
    <row r="313" spans="1:4" x14ac:dyDescent="0.25">
      <c r="A313" t="s">
        <v>28</v>
      </c>
      <c r="B313">
        <v>18</v>
      </c>
      <c r="C313">
        <v>0.12054794520547946</v>
      </c>
      <c r="D313">
        <v>45</v>
      </c>
    </row>
    <row r="314" spans="1:4" x14ac:dyDescent="0.25">
      <c r="A314" t="s">
        <v>17</v>
      </c>
      <c r="B314">
        <v>19</v>
      </c>
      <c r="C314">
        <v>0.18904109589041096</v>
      </c>
      <c r="D314">
        <v>91</v>
      </c>
    </row>
    <row r="315" spans="1:4" x14ac:dyDescent="0.25">
      <c r="A315" t="s">
        <v>70</v>
      </c>
      <c r="B315">
        <v>19</v>
      </c>
      <c r="C315">
        <v>7.3972602739726029E-2</v>
      </c>
      <c r="D315">
        <v>31</v>
      </c>
    </row>
    <row r="316" spans="1:4" x14ac:dyDescent="0.25">
      <c r="A316" t="s">
        <v>60</v>
      </c>
      <c r="B316">
        <v>20</v>
      </c>
      <c r="C316">
        <v>0.19726027397260273</v>
      </c>
      <c r="D316">
        <v>93</v>
      </c>
    </row>
    <row r="317" spans="1:4" x14ac:dyDescent="0.25">
      <c r="A317" t="s">
        <v>70</v>
      </c>
      <c r="B317">
        <v>20</v>
      </c>
      <c r="C317">
        <v>0.10136986301369863</v>
      </c>
      <c r="D317">
        <v>39</v>
      </c>
    </row>
    <row r="318" spans="1:4" x14ac:dyDescent="0.25">
      <c r="A318" t="s">
        <v>184</v>
      </c>
      <c r="B318">
        <v>21</v>
      </c>
      <c r="C318">
        <v>0.10136986301369863</v>
      </c>
      <c r="D318">
        <v>38</v>
      </c>
    </row>
    <row r="319" spans="1:4" x14ac:dyDescent="0.25">
      <c r="A319" t="s">
        <v>68</v>
      </c>
      <c r="B319">
        <v>21</v>
      </c>
      <c r="C319">
        <v>9.8630136986301367E-2</v>
      </c>
      <c r="D319">
        <v>42</v>
      </c>
    </row>
    <row r="320" spans="1:4" x14ac:dyDescent="0.25">
      <c r="A320" t="s">
        <v>393</v>
      </c>
      <c r="B320">
        <v>21</v>
      </c>
      <c r="C320">
        <v>4.1095890410958902E-2</v>
      </c>
      <c r="D320">
        <v>16</v>
      </c>
    </row>
    <row r="321" spans="1:4" x14ac:dyDescent="0.25">
      <c r="A321" t="s">
        <v>316</v>
      </c>
      <c r="B321">
        <v>22</v>
      </c>
      <c r="C321">
        <v>4.3835616438356165E-2</v>
      </c>
      <c r="D321">
        <v>17</v>
      </c>
    </row>
    <row r="322" spans="1:4" x14ac:dyDescent="0.25">
      <c r="A322" t="s">
        <v>313</v>
      </c>
      <c r="B322">
        <v>23</v>
      </c>
      <c r="C322">
        <v>8.21917808219178E-3</v>
      </c>
      <c r="D322">
        <v>3</v>
      </c>
    </row>
    <row r="323" spans="1:4" x14ac:dyDescent="0.25">
      <c r="A323" t="s">
        <v>17</v>
      </c>
      <c r="B323">
        <v>0</v>
      </c>
      <c r="C323">
        <v>7.3972602739726029E-2</v>
      </c>
      <c r="D323">
        <v>35</v>
      </c>
    </row>
    <row r="324" spans="1:4" x14ac:dyDescent="0.25">
      <c r="A324" t="s">
        <v>317</v>
      </c>
      <c r="B324">
        <v>3</v>
      </c>
      <c r="C324">
        <v>1.9178082191780823E-2</v>
      </c>
      <c r="D324">
        <v>8</v>
      </c>
    </row>
    <row r="325" spans="1:4" x14ac:dyDescent="0.25">
      <c r="A325" t="s">
        <v>73</v>
      </c>
      <c r="B325">
        <v>7</v>
      </c>
      <c r="C325">
        <v>4.9315068493150684E-2</v>
      </c>
      <c r="D325">
        <v>23</v>
      </c>
    </row>
    <row r="326" spans="1:4" x14ac:dyDescent="0.25">
      <c r="A326" t="s">
        <v>74</v>
      </c>
      <c r="B326">
        <v>8</v>
      </c>
      <c r="C326">
        <v>0.1095890410958904</v>
      </c>
      <c r="D326">
        <v>42</v>
      </c>
    </row>
    <row r="327" spans="1:4" x14ac:dyDescent="0.25">
      <c r="A327" t="s">
        <v>320</v>
      </c>
      <c r="B327">
        <v>9</v>
      </c>
      <c r="C327">
        <v>1.9178082191780823E-2</v>
      </c>
      <c r="D327">
        <v>7</v>
      </c>
    </row>
    <row r="328" spans="1:4" x14ac:dyDescent="0.25">
      <c r="A328" t="s">
        <v>317</v>
      </c>
      <c r="B328">
        <v>11</v>
      </c>
      <c r="C328">
        <v>0.11232876712328767</v>
      </c>
      <c r="D328">
        <v>45</v>
      </c>
    </row>
    <row r="329" spans="1:4" x14ac:dyDescent="0.25">
      <c r="A329" t="s">
        <v>291</v>
      </c>
      <c r="B329">
        <v>12</v>
      </c>
      <c r="C329">
        <v>2.4657534246575342E-2</v>
      </c>
      <c r="D329">
        <v>9</v>
      </c>
    </row>
    <row r="330" spans="1:4" x14ac:dyDescent="0.25">
      <c r="A330" t="s">
        <v>290</v>
      </c>
      <c r="B330">
        <v>12</v>
      </c>
      <c r="C330">
        <v>3.8356164383561646E-2</v>
      </c>
      <c r="D330">
        <v>16</v>
      </c>
    </row>
    <row r="331" spans="1:4" x14ac:dyDescent="0.25">
      <c r="A331" t="s">
        <v>61</v>
      </c>
      <c r="B331">
        <v>13</v>
      </c>
      <c r="C331">
        <v>0.15890410958904111</v>
      </c>
      <c r="D331">
        <v>61</v>
      </c>
    </row>
    <row r="332" spans="1:4" x14ac:dyDescent="0.25">
      <c r="A332" t="s">
        <v>296</v>
      </c>
      <c r="B332">
        <v>13</v>
      </c>
      <c r="C332">
        <v>7.9452054794520555E-2</v>
      </c>
      <c r="D332">
        <v>32</v>
      </c>
    </row>
    <row r="333" spans="1:4" x14ac:dyDescent="0.25">
      <c r="A333" t="s">
        <v>60</v>
      </c>
      <c r="B333">
        <v>13</v>
      </c>
      <c r="C333">
        <v>0.16712328767123288</v>
      </c>
      <c r="D333">
        <v>73</v>
      </c>
    </row>
    <row r="334" spans="1:4" x14ac:dyDescent="0.25">
      <c r="A334" t="s">
        <v>309</v>
      </c>
      <c r="B334">
        <v>14</v>
      </c>
      <c r="C334">
        <v>3.0136986301369864E-2</v>
      </c>
      <c r="D334">
        <v>11</v>
      </c>
    </row>
    <row r="335" spans="1:4" x14ac:dyDescent="0.25">
      <c r="A335" t="s">
        <v>56</v>
      </c>
      <c r="B335">
        <v>15</v>
      </c>
      <c r="C335">
        <v>0.26849315068493151</v>
      </c>
      <c r="D335">
        <v>123</v>
      </c>
    </row>
    <row r="336" spans="1:4" x14ac:dyDescent="0.25">
      <c r="A336" t="s">
        <v>70</v>
      </c>
      <c r="B336">
        <v>15</v>
      </c>
      <c r="C336">
        <v>0.13972602739726028</v>
      </c>
      <c r="D336">
        <v>56</v>
      </c>
    </row>
    <row r="337" spans="1:4" x14ac:dyDescent="0.25">
      <c r="A337" t="s">
        <v>28</v>
      </c>
      <c r="B337">
        <v>15</v>
      </c>
      <c r="C337">
        <v>0.13424657534246576</v>
      </c>
      <c r="D337">
        <v>59</v>
      </c>
    </row>
    <row r="338" spans="1:4" x14ac:dyDescent="0.25">
      <c r="A338" t="s">
        <v>62</v>
      </c>
      <c r="B338">
        <v>15</v>
      </c>
      <c r="C338">
        <v>0.13424657534246576</v>
      </c>
      <c r="D338">
        <v>57</v>
      </c>
    </row>
    <row r="339" spans="1:4" x14ac:dyDescent="0.25">
      <c r="A339" t="s">
        <v>68</v>
      </c>
      <c r="B339">
        <v>15</v>
      </c>
      <c r="C339">
        <v>0.13698630136986301</v>
      </c>
      <c r="D339">
        <v>54</v>
      </c>
    </row>
    <row r="340" spans="1:4" x14ac:dyDescent="0.25">
      <c r="A340" t="s">
        <v>320</v>
      </c>
      <c r="B340">
        <v>16</v>
      </c>
      <c r="C340">
        <v>2.7397260273972601E-2</v>
      </c>
      <c r="D340">
        <v>10</v>
      </c>
    </row>
    <row r="341" spans="1:4" x14ac:dyDescent="0.25">
      <c r="A341" t="s">
        <v>78</v>
      </c>
      <c r="B341">
        <v>17</v>
      </c>
      <c r="C341">
        <v>4.9315068493150684E-2</v>
      </c>
      <c r="D341">
        <v>18</v>
      </c>
    </row>
    <row r="342" spans="1:4" x14ac:dyDescent="0.25">
      <c r="A342" t="s">
        <v>36</v>
      </c>
      <c r="B342">
        <v>17</v>
      </c>
      <c r="C342">
        <v>0.11780821917808219</v>
      </c>
      <c r="D342">
        <v>54</v>
      </c>
    </row>
    <row r="343" spans="1:4" x14ac:dyDescent="0.25">
      <c r="A343" t="s">
        <v>297</v>
      </c>
      <c r="B343">
        <v>17</v>
      </c>
      <c r="C343">
        <v>3.287671232876712E-2</v>
      </c>
      <c r="D343">
        <v>13</v>
      </c>
    </row>
    <row r="344" spans="1:4" x14ac:dyDescent="0.25">
      <c r="A344" t="s">
        <v>286</v>
      </c>
      <c r="B344">
        <v>17</v>
      </c>
      <c r="C344">
        <v>6.0273972602739728E-2</v>
      </c>
      <c r="D344">
        <v>22</v>
      </c>
    </row>
    <row r="345" spans="1:4" x14ac:dyDescent="0.25">
      <c r="A345" t="s">
        <v>70</v>
      </c>
      <c r="B345">
        <v>18</v>
      </c>
      <c r="C345">
        <v>0.14246575342465753</v>
      </c>
      <c r="D345">
        <v>55</v>
      </c>
    </row>
    <row r="346" spans="1:4" x14ac:dyDescent="0.25">
      <c r="A346" t="s">
        <v>190</v>
      </c>
      <c r="B346">
        <v>18</v>
      </c>
      <c r="C346">
        <v>3.5616438356164383E-2</v>
      </c>
      <c r="D346">
        <v>13</v>
      </c>
    </row>
    <row r="347" spans="1:4" x14ac:dyDescent="0.25">
      <c r="A347" t="s">
        <v>19</v>
      </c>
      <c r="B347">
        <v>18</v>
      </c>
      <c r="C347">
        <v>0.16164383561643836</v>
      </c>
      <c r="D347">
        <v>69</v>
      </c>
    </row>
    <row r="348" spans="1:4" x14ac:dyDescent="0.25">
      <c r="A348" t="s">
        <v>73</v>
      </c>
      <c r="B348">
        <v>18</v>
      </c>
      <c r="C348">
        <v>8.7671232876712329E-2</v>
      </c>
      <c r="D348">
        <v>33</v>
      </c>
    </row>
    <row r="349" spans="1:4" x14ac:dyDescent="0.25">
      <c r="A349" t="s">
        <v>58</v>
      </c>
      <c r="B349">
        <v>19</v>
      </c>
      <c r="C349">
        <v>0.24931506849315069</v>
      </c>
      <c r="D349">
        <v>108</v>
      </c>
    </row>
    <row r="350" spans="1:4" x14ac:dyDescent="0.25">
      <c r="A350" t="s">
        <v>187</v>
      </c>
      <c r="B350">
        <v>22</v>
      </c>
      <c r="C350">
        <v>5.2054794520547946E-2</v>
      </c>
      <c r="D350">
        <v>20</v>
      </c>
    </row>
    <row r="351" spans="1:4" x14ac:dyDescent="0.25">
      <c r="A351" t="s">
        <v>68</v>
      </c>
      <c r="B351">
        <v>22</v>
      </c>
      <c r="C351">
        <v>4.3835616438356165E-2</v>
      </c>
      <c r="D351">
        <v>19</v>
      </c>
    </row>
    <row r="352" spans="1:4" x14ac:dyDescent="0.25">
      <c r="A352" t="s">
        <v>183</v>
      </c>
      <c r="B352">
        <v>22</v>
      </c>
      <c r="C352">
        <v>0.10136986301369863</v>
      </c>
      <c r="D352">
        <v>45</v>
      </c>
    </row>
    <row r="353" spans="1:4" x14ac:dyDescent="0.25">
      <c r="A353" t="s">
        <v>296</v>
      </c>
      <c r="B353">
        <v>23</v>
      </c>
      <c r="C353">
        <v>2.1917808219178082E-2</v>
      </c>
      <c r="D353">
        <v>8</v>
      </c>
    </row>
    <row r="354" spans="1:4" x14ac:dyDescent="0.25">
      <c r="A354" t="s">
        <v>183</v>
      </c>
      <c r="B354">
        <v>23</v>
      </c>
      <c r="C354">
        <v>6.3013698630136991E-2</v>
      </c>
      <c r="D354">
        <v>25</v>
      </c>
    </row>
    <row r="355" spans="1:4" x14ac:dyDescent="0.25">
      <c r="A355" t="s">
        <v>58</v>
      </c>
      <c r="B355">
        <v>23</v>
      </c>
      <c r="C355">
        <v>0.10136986301369863</v>
      </c>
      <c r="D355">
        <v>43</v>
      </c>
    </row>
    <row r="356" spans="1:4" x14ac:dyDescent="0.25">
      <c r="A356" t="s">
        <v>185</v>
      </c>
      <c r="B356">
        <v>0</v>
      </c>
      <c r="C356">
        <v>9.5890410958904104E-2</v>
      </c>
      <c r="D356">
        <v>39</v>
      </c>
    </row>
    <row r="357" spans="1:4" x14ac:dyDescent="0.25">
      <c r="A357" t="s">
        <v>26</v>
      </c>
      <c r="B357">
        <v>1</v>
      </c>
      <c r="C357">
        <v>2.4657534246575342E-2</v>
      </c>
      <c r="D357">
        <v>9</v>
      </c>
    </row>
    <row r="358" spans="1:4" x14ac:dyDescent="0.25">
      <c r="A358" t="s">
        <v>76</v>
      </c>
      <c r="B358">
        <v>1</v>
      </c>
      <c r="C358">
        <v>3.0136986301369864E-2</v>
      </c>
      <c r="D358">
        <v>11</v>
      </c>
    </row>
    <row r="359" spans="1:4" x14ac:dyDescent="0.25">
      <c r="A359" t="s">
        <v>56</v>
      </c>
      <c r="B359">
        <v>4</v>
      </c>
      <c r="C359">
        <v>4.1095890410958902E-2</v>
      </c>
      <c r="D359">
        <v>15</v>
      </c>
    </row>
    <row r="360" spans="1:4" x14ac:dyDescent="0.25">
      <c r="A360" t="s">
        <v>296</v>
      </c>
      <c r="B360">
        <v>5</v>
      </c>
      <c r="C360">
        <v>2.7397260273972603E-3</v>
      </c>
      <c r="D360">
        <v>1</v>
      </c>
    </row>
    <row r="361" spans="1:4" x14ac:dyDescent="0.25">
      <c r="A361" t="s">
        <v>65</v>
      </c>
      <c r="B361">
        <v>5</v>
      </c>
      <c r="C361">
        <v>2.7397260273972601E-2</v>
      </c>
      <c r="D361">
        <v>11</v>
      </c>
    </row>
    <row r="362" spans="1:4" x14ac:dyDescent="0.25">
      <c r="A362" t="s">
        <v>69</v>
      </c>
      <c r="B362">
        <v>6</v>
      </c>
      <c r="C362">
        <v>2.1917808219178082E-2</v>
      </c>
      <c r="D362">
        <v>8</v>
      </c>
    </row>
    <row r="363" spans="1:4" x14ac:dyDescent="0.25">
      <c r="A363" t="s">
        <v>316</v>
      </c>
      <c r="B363">
        <v>7</v>
      </c>
      <c r="C363">
        <v>6.3013698630136991E-2</v>
      </c>
      <c r="D363">
        <v>27</v>
      </c>
    </row>
    <row r="364" spans="1:4" x14ac:dyDescent="0.25">
      <c r="A364" t="s">
        <v>290</v>
      </c>
      <c r="B364">
        <v>8</v>
      </c>
      <c r="C364">
        <v>2.7397260273972601E-2</v>
      </c>
      <c r="D364">
        <v>11</v>
      </c>
    </row>
    <row r="365" spans="1:4" x14ac:dyDescent="0.25">
      <c r="A365" t="s">
        <v>313</v>
      </c>
      <c r="B365">
        <v>8</v>
      </c>
      <c r="C365">
        <v>9.5890410958904104E-2</v>
      </c>
      <c r="D365">
        <v>48</v>
      </c>
    </row>
    <row r="366" spans="1:4" x14ac:dyDescent="0.25">
      <c r="A366" t="s">
        <v>62</v>
      </c>
      <c r="B366">
        <v>8</v>
      </c>
      <c r="C366">
        <v>0.17534246575342466</v>
      </c>
      <c r="D366">
        <v>82</v>
      </c>
    </row>
    <row r="367" spans="1:4" x14ac:dyDescent="0.25">
      <c r="A367" t="s">
        <v>187</v>
      </c>
      <c r="B367">
        <v>8</v>
      </c>
      <c r="C367">
        <v>0.14794520547945206</v>
      </c>
      <c r="D367">
        <v>59</v>
      </c>
    </row>
    <row r="368" spans="1:4" x14ac:dyDescent="0.25">
      <c r="A368" t="s">
        <v>68</v>
      </c>
      <c r="B368">
        <v>9</v>
      </c>
      <c r="C368">
        <v>9.8630136986301367E-2</v>
      </c>
      <c r="D368">
        <v>41</v>
      </c>
    </row>
    <row r="369" spans="1:4" x14ac:dyDescent="0.25">
      <c r="A369" t="s">
        <v>286</v>
      </c>
      <c r="B369">
        <v>9</v>
      </c>
      <c r="C369">
        <v>4.1095890410958902E-2</v>
      </c>
      <c r="D369">
        <v>15</v>
      </c>
    </row>
    <row r="370" spans="1:4" x14ac:dyDescent="0.25">
      <c r="A370" t="s">
        <v>312</v>
      </c>
      <c r="B370">
        <v>9</v>
      </c>
      <c r="C370">
        <v>0.10684931506849316</v>
      </c>
      <c r="D370">
        <v>50</v>
      </c>
    </row>
    <row r="371" spans="1:4" x14ac:dyDescent="0.25">
      <c r="A371" t="s">
        <v>393</v>
      </c>
      <c r="B371">
        <v>9</v>
      </c>
      <c r="C371">
        <v>0.16164383561643836</v>
      </c>
      <c r="D371">
        <v>69</v>
      </c>
    </row>
    <row r="372" spans="1:4" x14ac:dyDescent="0.25">
      <c r="A372" t="s">
        <v>317</v>
      </c>
      <c r="B372">
        <v>9</v>
      </c>
      <c r="C372">
        <v>0.26027397260273971</v>
      </c>
      <c r="D372">
        <v>114</v>
      </c>
    </row>
    <row r="373" spans="1:4" x14ac:dyDescent="0.25">
      <c r="A373" t="s">
        <v>65</v>
      </c>
      <c r="B373">
        <v>9</v>
      </c>
      <c r="C373">
        <v>0.15068493150684931</v>
      </c>
      <c r="D373">
        <v>68</v>
      </c>
    </row>
    <row r="374" spans="1:4" x14ac:dyDescent="0.25">
      <c r="A374" t="s">
        <v>61</v>
      </c>
      <c r="B374">
        <v>10</v>
      </c>
      <c r="C374">
        <v>0.15342465753424658</v>
      </c>
      <c r="D374">
        <v>68</v>
      </c>
    </row>
    <row r="375" spans="1:4" x14ac:dyDescent="0.25">
      <c r="A375" t="s">
        <v>317</v>
      </c>
      <c r="B375">
        <v>10</v>
      </c>
      <c r="C375">
        <v>0.11506849315068493</v>
      </c>
      <c r="D375">
        <v>44</v>
      </c>
    </row>
    <row r="376" spans="1:4" x14ac:dyDescent="0.25">
      <c r="A376" t="s">
        <v>76</v>
      </c>
      <c r="B376">
        <v>10</v>
      </c>
      <c r="C376">
        <v>4.9315068493150684E-2</v>
      </c>
      <c r="D376">
        <v>18</v>
      </c>
    </row>
    <row r="377" spans="1:4" x14ac:dyDescent="0.25">
      <c r="A377" t="s">
        <v>73</v>
      </c>
      <c r="B377">
        <v>10</v>
      </c>
      <c r="C377">
        <v>8.2191780821917804E-2</v>
      </c>
      <c r="D377">
        <v>38</v>
      </c>
    </row>
    <row r="378" spans="1:4" x14ac:dyDescent="0.25">
      <c r="A378" t="s">
        <v>187</v>
      </c>
      <c r="B378">
        <v>10</v>
      </c>
      <c r="C378">
        <v>0.19178082191780821</v>
      </c>
      <c r="D378">
        <v>91</v>
      </c>
    </row>
    <row r="379" spans="1:4" x14ac:dyDescent="0.25">
      <c r="A379" t="s">
        <v>62</v>
      </c>
      <c r="B379">
        <v>10</v>
      </c>
      <c r="C379">
        <v>0.16164383561643836</v>
      </c>
      <c r="D379">
        <v>65</v>
      </c>
    </row>
    <row r="380" spans="1:4" x14ac:dyDescent="0.25">
      <c r="A380" t="s">
        <v>26</v>
      </c>
      <c r="B380">
        <v>11</v>
      </c>
      <c r="C380">
        <v>0.12602739726027398</v>
      </c>
      <c r="D380">
        <v>49</v>
      </c>
    </row>
    <row r="381" spans="1:4" x14ac:dyDescent="0.25">
      <c r="A381" t="s">
        <v>308</v>
      </c>
      <c r="B381">
        <v>11</v>
      </c>
      <c r="C381">
        <v>3.5616438356164383E-2</v>
      </c>
      <c r="D381">
        <v>14</v>
      </c>
    </row>
    <row r="382" spans="1:4" x14ac:dyDescent="0.25">
      <c r="A382" t="s">
        <v>316</v>
      </c>
      <c r="B382">
        <v>11</v>
      </c>
      <c r="C382">
        <v>0.15342465753424658</v>
      </c>
      <c r="D382">
        <v>60</v>
      </c>
    </row>
    <row r="383" spans="1:4" x14ac:dyDescent="0.25">
      <c r="A383" t="s">
        <v>76</v>
      </c>
      <c r="B383">
        <v>12</v>
      </c>
      <c r="C383">
        <v>6.0273972602739728E-2</v>
      </c>
      <c r="D383">
        <v>23</v>
      </c>
    </row>
    <row r="384" spans="1:4" x14ac:dyDescent="0.25">
      <c r="A384" t="s">
        <v>189</v>
      </c>
      <c r="B384">
        <v>12</v>
      </c>
      <c r="C384">
        <v>0.14246575342465753</v>
      </c>
      <c r="D384">
        <v>62</v>
      </c>
    </row>
    <row r="385" spans="1:4" x14ac:dyDescent="0.25">
      <c r="A385" t="s">
        <v>67</v>
      </c>
      <c r="B385">
        <v>12</v>
      </c>
      <c r="C385">
        <v>0.12602739726027398</v>
      </c>
      <c r="D385">
        <v>49</v>
      </c>
    </row>
    <row r="386" spans="1:4" x14ac:dyDescent="0.25">
      <c r="A386" t="s">
        <v>186</v>
      </c>
      <c r="B386">
        <v>13</v>
      </c>
      <c r="C386">
        <v>9.3150684931506855E-2</v>
      </c>
      <c r="D386">
        <v>35</v>
      </c>
    </row>
    <row r="387" spans="1:4" x14ac:dyDescent="0.25">
      <c r="A387" t="s">
        <v>314</v>
      </c>
      <c r="B387">
        <v>14</v>
      </c>
      <c r="C387">
        <v>6.575342465753424E-2</v>
      </c>
      <c r="D387">
        <v>24</v>
      </c>
    </row>
    <row r="388" spans="1:4" x14ac:dyDescent="0.25">
      <c r="A388" t="s">
        <v>62</v>
      </c>
      <c r="B388">
        <v>14</v>
      </c>
      <c r="C388">
        <v>0.10684931506849316</v>
      </c>
      <c r="D388">
        <v>48</v>
      </c>
    </row>
    <row r="389" spans="1:4" x14ac:dyDescent="0.25">
      <c r="A389" t="s">
        <v>184</v>
      </c>
      <c r="B389">
        <v>16</v>
      </c>
      <c r="C389">
        <v>0.32054794520547947</v>
      </c>
      <c r="D389">
        <v>142</v>
      </c>
    </row>
    <row r="390" spans="1:4" x14ac:dyDescent="0.25">
      <c r="A390" t="s">
        <v>62</v>
      </c>
      <c r="B390">
        <v>16</v>
      </c>
      <c r="C390">
        <v>0.19452054794520549</v>
      </c>
      <c r="D390">
        <v>89</v>
      </c>
    </row>
    <row r="391" spans="1:4" x14ac:dyDescent="0.25">
      <c r="A391" t="s">
        <v>77</v>
      </c>
      <c r="B391">
        <v>17</v>
      </c>
      <c r="C391">
        <v>3.0136986301369864E-2</v>
      </c>
      <c r="D391">
        <v>12</v>
      </c>
    </row>
    <row r="392" spans="1:4" x14ac:dyDescent="0.25">
      <c r="A392" t="s">
        <v>310</v>
      </c>
      <c r="B392">
        <v>17</v>
      </c>
      <c r="C392">
        <v>4.1095890410958902E-2</v>
      </c>
      <c r="D392">
        <v>16</v>
      </c>
    </row>
    <row r="393" spans="1:4" x14ac:dyDescent="0.25">
      <c r="A393" t="s">
        <v>188</v>
      </c>
      <c r="B393">
        <v>18</v>
      </c>
      <c r="C393">
        <v>0.14520547945205478</v>
      </c>
      <c r="D393">
        <v>60</v>
      </c>
    </row>
    <row r="394" spans="1:4" x14ac:dyDescent="0.25">
      <c r="A394" t="s">
        <v>72</v>
      </c>
      <c r="B394">
        <v>18</v>
      </c>
      <c r="C394">
        <v>9.8630136986301367E-2</v>
      </c>
      <c r="D394">
        <v>43</v>
      </c>
    </row>
    <row r="395" spans="1:4" x14ac:dyDescent="0.25">
      <c r="A395" t="s">
        <v>73</v>
      </c>
      <c r="B395">
        <v>19</v>
      </c>
      <c r="C395">
        <v>8.7671232876712329E-2</v>
      </c>
      <c r="D395">
        <v>39</v>
      </c>
    </row>
    <row r="396" spans="1:4" x14ac:dyDescent="0.25">
      <c r="A396" t="s">
        <v>291</v>
      </c>
      <c r="B396">
        <v>19</v>
      </c>
      <c r="C396">
        <v>5.7534246575342465E-2</v>
      </c>
      <c r="D396">
        <v>23</v>
      </c>
    </row>
    <row r="397" spans="1:4" x14ac:dyDescent="0.25">
      <c r="A397" t="s">
        <v>76</v>
      </c>
      <c r="B397">
        <v>19</v>
      </c>
      <c r="C397">
        <v>9.8630136986301367E-2</v>
      </c>
      <c r="D397">
        <v>42</v>
      </c>
    </row>
    <row r="398" spans="1:4" x14ac:dyDescent="0.25">
      <c r="A398" t="s">
        <v>36</v>
      </c>
      <c r="B398">
        <v>19</v>
      </c>
      <c r="C398">
        <v>0.11506849315068493</v>
      </c>
      <c r="D398">
        <v>46</v>
      </c>
    </row>
    <row r="399" spans="1:4" x14ac:dyDescent="0.25">
      <c r="A399" t="s">
        <v>67</v>
      </c>
      <c r="B399">
        <v>21</v>
      </c>
      <c r="C399">
        <v>0.1095890410958904</v>
      </c>
      <c r="D399">
        <v>43</v>
      </c>
    </row>
    <row r="400" spans="1:4" x14ac:dyDescent="0.25">
      <c r="A400" t="s">
        <v>79</v>
      </c>
      <c r="B400">
        <v>21</v>
      </c>
      <c r="C400">
        <v>1.3698630136986301E-2</v>
      </c>
      <c r="D400">
        <v>5</v>
      </c>
    </row>
    <row r="401" spans="1:4" x14ac:dyDescent="0.25">
      <c r="A401" t="s">
        <v>74</v>
      </c>
      <c r="B401">
        <v>21</v>
      </c>
      <c r="C401">
        <v>5.7534246575342465E-2</v>
      </c>
      <c r="D401">
        <v>23</v>
      </c>
    </row>
    <row r="402" spans="1:4" x14ac:dyDescent="0.25">
      <c r="A402" t="s">
        <v>76</v>
      </c>
      <c r="B402">
        <v>22</v>
      </c>
      <c r="C402">
        <v>3.8356164383561646E-2</v>
      </c>
      <c r="D402">
        <v>15</v>
      </c>
    </row>
    <row r="403" spans="1:4" x14ac:dyDescent="0.25">
      <c r="A403" t="s">
        <v>317</v>
      </c>
      <c r="B403">
        <v>0</v>
      </c>
      <c r="C403">
        <v>5.2054794520547946E-2</v>
      </c>
      <c r="D403">
        <v>20</v>
      </c>
    </row>
    <row r="404" spans="1:4" x14ac:dyDescent="0.25">
      <c r="A404" t="s">
        <v>67</v>
      </c>
      <c r="B404">
        <v>1</v>
      </c>
      <c r="C404">
        <v>5.4794520547945202E-2</v>
      </c>
      <c r="D404">
        <v>23</v>
      </c>
    </row>
    <row r="405" spans="1:4" x14ac:dyDescent="0.25">
      <c r="A405" t="s">
        <v>61</v>
      </c>
      <c r="B405">
        <v>2</v>
      </c>
      <c r="C405">
        <v>3.5616438356164383E-2</v>
      </c>
      <c r="D405">
        <v>16</v>
      </c>
    </row>
    <row r="406" spans="1:4" x14ac:dyDescent="0.25">
      <c r="A406" t="s">
        <v>317</v>
      </c>
      <c r="B406">
        <v>4</v>
      </c>
      <c r="C406">
        <v>2.7397260273972601E-2</v>
      </c>
      <c r="D406">
        <v>12</v>
      </c>
    </row>
    <row r="407" spans="1:4" x14ac:dyDescent="0.25">
      <c r="A407" t="s">
        <v>56</v>
      </c>
      <c r="B407">
        <v>6</v>
      </c>
      <c r="C407">
        <v>8.2191780821917804E-2</v>
      </c>
      <c r="D407">
        <v>36</v>
      </c>
    </row>
    <row r="408" spans="1:4" x14ac:dyDescent="0.25">
      <c r="A408" t="s">
        <v>21</v>
      </c>
      <c r="B408">
        <v>7</v>
      </c>
      <c r="C408">
        <v>4.3835616438356165E-2</v>
      </c>
      <c r="D408">
        <v>18</v>
      </c>
    </row>
    <row r="409" spans="1:4" x14ac:dyDescent="0.25">
      <c r="A409" t="s">
        <v>21</v>
      </c>
      <c r="B409">
        <v>8</v>
      </c>
      <c r="C409">
        <v>4.1095890410958902E-2</v>
      </c>
      <c r="D409">
        <v>17</v>
      </c>
    </row>
    <row r="410" spans="1:4" x14ac:dyDescent="0.25">
      <c r="A410" t="s">
        <v>32</v>
      </c>
      <c r="B410">
        <v>9</v>
      </c>
      <c r="C410">
        <v>2.7397260273972601E-2</v>
      </c>
      <c r="D410">
        <v>10</v>
      </c>
    </row>
    <row r="411" spans="1:4" x14ac:dyDescent="0.25">
      <c r="A411" t="s">
        <v>318</v>
      </c>
      <c r="B411">
        <v>9</v>
      </c>
      <c r="C411">
        <v>2.4657534246575342E-2</v>
      </c>
      <c r="D411">
        <v>11</v>
      </c>
    </row>
    <row r="412" spans="1:4" x14ac:dyDescent="0.25">
      <c r="A412" t="s">
        <v>185</v>
      </c>
      <c r="B412">
        <v>10</v>
      </c>
      <c r="C412">
        <v>0.28493150684931506</v>
      </c>
      <c r="D412">
        <v>125</v>
      </c>
    </row>
    <row r="413" spans="1:4" x14ac:dyDescent="0.25">
      <c r="A413" t="s">
        <v>71</v>
      </c>
      <c r="B413">
        <v>10</v>
      </c>
      <c r="C413">
        <v>9.8630136986301367E-2</v>
      </c>
      <c r="D413">
        <v>39</v>
      </c>
    </row>
    <row r="414" spans="1:4" x14ac:dyDescent="0.25">
      <c r="A414" t="s">
        <v>56</v>
      </c>
      <c r="B414">
        <v>11</v>
      </c>
      <c r="C414">
        <v>0.26575342465753427</v>
      </c>
      <c r="D414">
        <v>124</v>
      </c>
    </row>
    <row r="415" spans="1:4" x14ac:dyDescent="0.25">
      <c r="A415" t="s">
        <v>71</v>
      </c>
      <c r="B415">
        <v>11</v>
      </c>
      <c r="C415">
        <v>8.7671232876712329E-2</v>
      </c>
      <c r="D415">
        <v>36</v>
      </c>
    </row>
    <row r="416" spans="1:4" x14ac:dyDescent="0.25">
      <c r="A416" t="s">
        <v>79</v>
      </c>
      <c r="B416">
        <v>11</v>
      </c>
      <c r="C416">
        <v>1.643835616438356E-2</v>
      </c>
      <c r="D416">
        <v>6</v>
      </c>
    </row>
    <row r="417" spans="1:4" x14ac:dyDescent="0.25">
      <c r="A417" t="s">
        <v>60</v>
      </c>
      <c r="B417">
        <v>11</v>
      </c>
      <c r="C417">
        <v>0.23835616438356164</v>
      </c>
      <c r="D417">
        <v>102</v>
      </c>
    </row>
    <row r="418" spans="1:4" x14ac:dyDescent="0.25">
      <c r="A418" t="s">
        <v>393</v>
      </c>
      <c r="B418">
        <v>11</v>
      </c>
      <c r="C418">
        <v>0.13150684931506848</v>
      </c>
      <c r="D418">
        <v>54</v>
      </c>
    </row>
    <row r="419" spans="1:4" x14ac:dyDescent="0.25">
      <c r="A419" t="s">
        <v>310</v>
      </c>
      <c r="B419">
        <v>11</v>
      </c>
      <c r="C419">
        <v>3.287671232876712E-2</v>
      </c>
      <c r="D419">
        <v>13</v>
      </c>
    </row>
    <row r="420" spans="1:4" x14ac:dyDescent="0.25">
      <c r="A420" t="s">
        <v>76</v>
      </c>
      <c r="B420">
        <v>11</v>
      </c>
      <c r="C420">
        <v>0.10684931506849316</v>
      </c>
      <c r="D420">
        <v>47</v>
      </c>
    </row>
    <row r="421" spans="1:4" x14ac:dyDescent="0.25">
      <c r="A421" t="s">
        <v>317</v>
      </c>
      <c r="B421">
        <v>12</v>
      </c>
      <c r="C421">
        <v>8.4931506849315067E-2</v>
      </c>
      <c r="D421">
        <v>36</v>
      </c>
    </row>
    <row r="422" spans="1:4" x14ac:dyDescent="0.25">
      <c r="A422" t="s">
        <v>313</v>
      </c>
      <c r="B422">
        <v>12</v>
      </c>
      <c r="C422">
        <v>1.9178082191780823E-2</v>
      </c>
      <c r="D422">
        <v>8</v>
      </c>
    </row>
    <row r="423" spans="1:4" x14ac:dyDescent="0.25">
      <c r="A423" t="s">
        <v>184</v>
      </c>
      <c r="B423">
        <v>12</v>
      </c>
      <c r="C423">
        <v>0.22739726027397261</v>
      </c>
      <c r="D423">
        <v>91</v>
      </c>
    </row>
    <row r="424" spans="1:4" x14ac:dyDescent="0.25">
      <c r="A424" t="s">
        <v>74</v>
      </c>
      <c r="B424">
        <v>13</v>
      </c>
      <c r="C424">
        <v>8.4931506849315067E-2</v>
      </c>
      <c r="D424">
        <v>34</v>
      </c>
    </row>
    <row r="425" spans="1:4" x14ac:dyDescent="0.25">
      <c r="A425" t="s">
        <v>308</v>
      </c>
      <c r="B425">
        <v>13</v>
      </c>
      <c r="C425">
        <v>7.9452054794520555E-2</v>
      </c>
      <c r="D425">
        <v>31</v>
      </c>
    </row>
    <row r="426" spans="1:4" x14ac:dyDescent="0.25">
      <c r="A426" t="s">
        <v>77</v>
      </c>
      <c r="B426">
        <v>14</v>
      </c>
      <c r="C426">
        <v>4.6575342465753428E-2</v>
      </c>
      <c r="D426">
        <v>17</v>
      </c>
    </row>
    <row r="427" spans="1:4" x14ac:dyDescent="0.25">
      <c r="A427" t="s">
        <v>76</v>
      </c>
      <c r="B427">
        <v>14</v>
      </c>
      <c r="C427">
        <v>9.0410958904109592E-2</v>
      </c>
      <c r="D427">
        <v>36</v>
      </c>
    </row>
    <row r="428" spans="1:4" x14ac:dyDescent="0.25">
      <c r="A428" t="s">
        <v>189</v>
      </c>
      <c r="B428">
        <v>15</v>
      </c>
      <c r="C428">
        <v>0.14520547945205478</v>
      </c>
      <c r="D428">
        <v>58</v>
      </c>
    </row>
    <row r="429" spans="1:4" x14ac:dyDescent="0.25">
      <c r="A429" t="s">
        <v>187</v>
      </c>
      <c r="B429">
        <v>15</v>
      </c>
      <c r="C429">
        <v>0.18082191780821918</v>
      </c>
      <c r="D429">
        <v>82</v>
      </c>
    </row>
    <row r="430" spans="1:4" x14ac:dyDescent="0.25">
      <c r="A430" t="s">
        <v>67</v>
      </c>
      <c r="B430">
        <v>15</v>
      </c>
      <c r="C430">
        <v>0.17260273972602741</v>
      </c>
      <c r="D430">
        <v>72</v>
      </c>
    </row>
    <row r="431" spans="1:4" x14ac:dyDescent="0.25">
      <c r="A431" t="s">
        <v>26</v>
      </c>
      <c r="B431">
        <v>16</v>
      </c>
      <c r="C431">
        <v>0.16986301369863013</v>
      </c>
      <c r="D431">
        <v>75</v>
      </c>
    </row>
    <row r="432" spans="1:4" x14ac:dyDescent="0.25">
      <c r="A432" t="s">
        <v>72</v>
      </c>
      <c r="B432">
        <v>17</v>
      </c>
      <c r="C432">
        <v>7.6712328767123292E-2</v>
      </c>
      <c r="D432">
        <v>29</v>
      </c>
    </row>
    <row r="433" spans="1:4" x14ac:dyDescent="0.25">
      <c r="A433" t="s">
        <v>74</v>
      </c>
      <c r="B433">
        <v>18</v>
      </c>
      <c r="C433">
        <v>0.11232876712328767</v>
      </c>
      <c r="D433">
        <v>45</v>
      </c>
    </row>
    <row r="434" spans="1:4" x14ac:dyDescent="0.25">
      <c r="A434" t="s">
        <v>317</v>
      </c>
      <c r="B434">
        <v>19</v>
      </c>
      <c r="C434">
        <v>0.12602739726027398</v>
      </c>
      <c r="D434">
        <v>51</v>
      </c>
    </row>
    <row r="435" spans="1:4" x14ac:dyDescent="0.25">
      <c r="A435" t="s">
        <v>183</v>
      </c>
      <c r="B435">
        <v>20</v>
      </c>
      <c r="C435">
        <v>0.15342465753424658</v>
      </c>
      <c r="D435">
        <v>70</v>
      </c>
    </row>
    <row r="436" spans="1:4" x14ac:dyDescent="0.25">
      <c r="A436" t="s">
        <v>291</v>
      </c>
      <c r="B436">
        <v>20</v>
      </c>
      <c r="C436">
        <v>3.8356164383561646E-2</v>
      </c>
      <c r="D436">
        <v>15</v>
      </c>
    </row>
    <row r="437" spans="1:4" x14ac:dyDescent="0.25">
      <c r="A437" t="s">
        <v>308</v>
      </c>
      <c r="B437">
        <v>20</v>
      </c>
      <c r="C437">
        <v>2.7397260273972601E-2</v>
      </c>
      <c r="D437">
        <v>10</v>
      </c>
    </row>
    <row r="438" spans="1:4" x14ac:dyDescent="0.25">
      <c r="A438" t="s">
        <v>187</v>
      </c>
      <c r="B438">
        <v>21</v>
      </c>
      <c r="C438">
        <v>7.1232876712328766E-2</v>
      </c>
      <c r="D438">
        <v>26</v>
      </c>
    </row>
    <row r="439" spans="1:4" x14ac:dyDescent="0.25">
      <c r="A439" t="s">
        <v>60</v>
      </c>
      <c r="B439">
        <v>23</v>
      </c>
      <c r="C439">
        <v>6.575342465753424E-2</v>
      </c>
      <c r="D439">
        <v>25</v>
      </c>
    </row>
    <row r="440" spans="1:4" x14ac:dyDescent="0.25">
      <c r="A440" t="s">
        <v>184</v>
      </c>
      <c r="B440">
        <v>0</v>
      </c>
      <c r="C440">
        <v>9.3150684931506855E-2</v>
      </c>
      <c r="D440">
        <v>35</v>
      </c>
    </row>
    <row r="441" spans="1:4" x14ac:dyDescent="0.25">
      <c r="A441" t="s">
        <v>74</v>
      </c>
      <c r="B441">
        <v>3</v>
      </c>
      <c r="C441">
        <v>3.5616438356164383E-2</v>
      </c>
      <c r="D441">
        <v>14</v>
      </c>
    </row>
    <row r="442" spans="1:4" x14ac:dyDescent="0.25">
      <c r="A442" t="s">
        <v>185</v>
      </c>
      <c r="B442">
        <v>3</v>
      </c>
      <c r="C442">
        <v>2.4657534246575342E-2</v>
      </c>
      <c r="D442">
        <v>9</v>
      </c>
    </row>
    <row r="443" spans="1:4" x14ac:dyDescent="0.25">
      <c r="A443" t="s">
        <v>58</v>
      </c>
      <c r="B443">
        <v>3</v>
      </c>
      <c r="C443">
        <v>4.6575342465753428E-2</v>
      </c>
      <c r="D443">
        <v>19</v>
      </c>
    </row>
    <row r="444" spans="1:4" x14ac:dyDescent="0.25">
      <c r="A444" t="s">
        <v>183</v>
      </c>
      <c r="B444">
        <v>3</v>
      </c>
      <c r="C444">
        <v>3.0136986301369864E-2</v>
      </c>
      <c r="D444">
        <v>11</v>
      </c>
    </row>
    <row r="445" spans="1:4" x14ac:dyDescent="0.25">
      <c r="A445" t="s">
        <v>64</v>
      </c>
      <c r="B445">
        <v>4</v>
      </c>
      <c r="C445">
        <v>1.0958904109589041E-2</v>
      </c>
      <c r="D445">
        <v>4</v>
      </c>
    </row>
    <row r="446" spans="1:4" x14ac:dyDescent="0.25">
      <c r="A446" t="s">
        <v>189</v>
      </c>
      <c r="B446">
        <v>5</v>
      </c>
      <c r="C446">
        <v>1.643835616438356E-2</v>
      </c>
      <c r="D446">
        <v>6</v>
      </c>
    </row>
    <row r="447" spans="1:4" x14ac:dyDescent="0.25">
      <c r="A447" t="s">
        <v>310</v>
      </c>
      <c r="B447">
        <v>7</v>
      </c>
      <c r="C447">
        <v>2.1917808219178082E-2</v>
      </c>
      <c r="D447">
        <v>9</v>
      </c>
    </row>
    <row r="448" spans="1:4" x14ac:dyDescent="0.25">
      <c r="A448" t="s">
        <v>66</v>
      </c>
      <c r="B448">
        <v>7</v>
      </c>
      <c r="C448">
        <v>6.575342465753424E-2</v>
      </c>
      <c r="D448">
        <v>26</v>
      </c>
    </row>
    <row r="449" spans="1:4" x14ac:dyDescent="0.25">
      <c r="A449" t="s">
        <v>71</v>
      </c>
      <c r="B449">
        <v>7</v>
      </c>
      <c r="C449">
        <v>7.1232876712328766E-2</v>
      </c>
      <c r="D449">
        <v>29</v>
      </c>
    </row>
    <row r="450" spans="1:4" x14ac:dyDescent="0.25">
      <c r="A450" t="s">
        <v>308</v>
      </c>
      <c r="B450">
        <v>7</v>
      </c>
      <c r="C450">
        <v>3.287671232876712E-2</v>
      </c>
      <c r="D450">
        <v>13</v>
      </c>
    </row>
    <row r="451" spans="1:4" x14ac:dyDescent="0.25">
      <c r="A451" t="s">
        <v>66</v>
      </c>
      <c r="B451">
        <v>8</v>
      </c>
      <c r="C451">
        <v>0.17260273972602741</v>
      </c>
      <c r="D451">
        <v>77</v>
      </c>
    </row>
    <row r="452" spans="1:4" x14ac:dyDescent="0.25">
      <c r="A452" t="s">
        <v>61</v>
      </c>
      <c r="B452">
        <v>8</v>
      </c>
      <c r="C452">
        <v>8.7671232876712329E-2</v>
      </c>
      <c r="D452">
        <v>34</v>
      </c>
    </row>
    <row r="453" spans="1:4" x14ac:dyDescent="0.25">
      <c r="A453" t="s">
        <v>317</v>
      </c>
      <c r="B453">
        <v>8</v>
      </c>
      <c r="C453">
        <v>0.16438356164383561</v>
      </c>
      <c r="D453">
        <v>76</v>
      </c>
    </row>
    <row r="454" spans="1:4" x14ac:dyDescent="0.25">
      <c r="A454" t="s">
        <v>19</v>
      </c>
      <c r="B454">
        <v>10</v>
      </c>
      <c r="C454">
        <v>0.12602739726027398</v>
      </c>
      <c r="D454">
        <v>52</v>
      </c>
    </row>
    <row r="455" spans="1:4" x14ac:dyDescent="0.25">
      <c r="A455" t="s">
        <v>79</v>
      </c>
      <c r="B455">
        <v>10</v>
      </c>
      <c r="C455">
        <v>2.1917808219178082E-2</v>
      </c>
      <c r="D455">
        <v>8</v>
      </c>
    </row>
    <row r="456" spans="1:4" x14ac:dyDescent="0.25">
      <c r="A456" t="s">
        <v>70</v>
      </c>
      <c r="B456">
        <v>10</v>
      </c>
      <c r="C456">
        <v>7.9452054794520555E-2</v>
      </c>
      <c r="D456">
        <v>31</v>
      </c>
    </row>
    <row r="457" spans="1:4" x14ac:dyDescent="0.25">
      <c r="A457" t="s">
        <v>190</v>
      </c>
      <c r="B457">
        <v>11</v>
      </c>
      <c r="C457">
        <v>2.1917808219178082E-2</v>
      </c>
      <c r="D457">
        <v>8</v>
      </c>
    </row>
    <row r="458" spans="1:4" x14ac:dyDescent="0.25">
      <c r="A458" t="s">
        <v>64</v>
      </c>
      <c r="B458">
        <v>11</v>
      </c>
      <c r="C458">
        <v>0.13150684931506848</v>
      </c>
      <c r="D458">
        <v>54</v>
      </c>
    </row>
    <row r="459" spans="1:4" x14ac:dyDescent="0.25">
      <c r="A459" t="s">
        <v>316</v>
      </c>
      <c r="B459">
        <v>13</v>
      </c>
      <c r="C459">
        <v>9.3150684931506855E-2</v>
      </c>
      <c r="D459">
        <v>41</v>
      </c>
    </row>
    <row r="460" spans="1:4" x14ac:dyDescent="0.25">
      <c r="A460" t="s">
        <v>68</v>
      </c>
      <c r="B460">
        <v>13</v>
      </c>
      <c r="C460">
        <v>0.16164383561643836</v>
      </c>
      <c r="D460">
        <v>66</v>
      </c>
    </row>
    <row r="461" spans="1:4" x14ac:dyDescent="0.25">
      <c r="A461" t="s">
        <v>17</v>
      </c>
      <c r="B461">
        <v>14</v>
      </c>
      <c r="C461">
        <v>0.13424657534246576</v>
      </c>
      <c r="D461">
        <v>61</v>
      </c>
    </row>
    <row r="462" spans="1:4" x14ac:dyDescent="0.25">
      <c r="A462" t="s">
        <v>393</v>
      </c>
      <c r="B462">
        <v>14</v>
      </c>
      <c r="C462">
        <v>0.12328767123287671</v>
      </c>
      <c r="D462">
        <v>47</v>
      </c>
    </row>
    <row r="463" spans="1:4" x14ac:dyDescent="0.25">
      <c r="A463" t="s">
        <v>185</v>
      </c>
      <c r="B463">
        <v>15</v>
      </c>
      <c r="C463">
        <v>0.30136986301369861</v>
      </c>
      <c r="D463">
        <v>141</v>
      </c>
    </row>
    <row r="464" spans="1:4" x14ac:dyDescent="0.25">
      <c r="A464" t="s">
        <v>63</v>
      </c>
      <c r="B464">
        <v>15</v>
      </c>
      <c r="C464">
        <v>0.1095890410958904</v>
      </c>
      <c r="D464">
        <v>44</v>
      </c>
    </row>
    <row r="465" spans="1:4" x14ac:dyDescent="0.25">
      <c r="A465" t="s">
        <v>70</v>
      </c>
      <c r="B465">
        <v>16</v>
      </c>
      <c r="C465">
        <v>8.7671232876712329E-2</v>
      </c>
      <c r="D465">
        <v>40</v>
      </c>
    </row>
    <row r="466" spans="1:4" x14ac:dyDescent="0.25">
      <c r="A466" t="s">
        <v>19</v>
      </c>
      <c r="B466">
        <v>16</v>
      </c>
      <c r="C466">
        <v>0.14520547945205478</v>
      </c>
      <c r="D466">
        <v>67</v>
      </c>
    </row>
    <row r="467" spans="1:4" x14ac:dyDescent="0.25">
      <c r="A467" t="s">
        <v>393</v>
      </c>
      <c r="B467">
        <v>16</v>
      </c>
      <c r="C467">
        <v>0.15342465753424658</v>
      </c>
      <c r="D467">
        <v>59</v>
      </c>
    </row>
    <row r="468" spans="1:4" x14ac:dyDescent="0.25">
      <c r="A468" t="s">
        <v>64</v>
      </c>
      <c r="B468">
        <v>17</v>
      </c>
      <c r="C468">
        <v>6.3013698630136991E-2</v>
      </c>
      <c r="D468">
        <v>30</v>
      </c>
    </row>
    <row r="469" spans="1:4" x14ac:dyDescent="0.25">
      <c r="A469" t="s">
        <v>317</v>
      </c>
      <c r="B469">
        <v>18</v>
      </c>
      <c r="C469">
        <v>9.3150684931506855E-2</v>
      </c>
      <c r="D469">
        <v>37</v>
      </c>
    </row>
    <row r="470" spans="1:4" x14ac:dyDescent="0.25">
      <c r="A470" t="s">
        <v>71</v>
      </c>
      <c r="B470">
        <v>19</v>
      </c>
      <c r="C470">
        <v>7.9452054794520555E-2</v>
      </c>
      <c r="D470">
        <v>34</v>
      </c>
    </row>
    <row r="471" spans="1:4" x14ac:dyDescent="0.25">
      <c r="A471" t="s">
        <v>37</v>
      </c>
      <c r="B471">
        <v>19</v>
      </c>
      <c r="C471">
        <v>2.4657534246575342E-2</v>
      </c>
      <c r="D471">
        <v>11</v>
      </c>
    </row>
    <row r="472" spans="1:4" x14ac:dyDescent="0.25">
      <c r="A472" t="s">
        <v>26</v>
      </c>
      <c r="B472">
        <v>20</v>
      </c>
      <c r="C472">
        <v>0.11506849315068493</v>
      </c>
      <c r="D472">
        <v>46</v>
      </c>
    </row>
    <row r="473" spans="1:4" x14ac:dyDescent="0.25">
      <c r="A473" t="s">
        <v>37</v>
      </c>
      <c r="B473">
        <v>20</v>
      </c>
      <c r="C473">
        <v>4.1095890410958902E-2</v>
      </c>
      <c r="D473">
        <v>16</v>
      </c>
    </row>
    <row r="474" spans="1:4" x14ac:dyDescent="0.25">
      <c r="A474" t="s">
        <v>320</v>
      </c>
      <c r="B474">
        <v>21</v>
      </c>
      <c r="C474">
        <v>1.3698630136986301E-2</v>
      </c>
      <c r="D474">
        <v>6</v>
      </c>
    </row>
    <row r="475" spans="1:4" x14ac:dyDescent="0.25">
      <c r="A475" t="s">
        <v>64</v>
      </c>
      <c r="B475">
        <v>21</v>
      </c>
      <c r="C475">
        <v>9.5890410958904104E-2</v>
      </c>
      <c r="D475">
        <v>40</v>
      </c>
    </row>
    <row r="476" spans="1:4" x14ac:dyDescent="0.25">
      <c r="A476" t="s">
        <v>317</v>
      </c>
      <c r="B476">
        <v>21</v>
      </c>
      <c r="C476">
        <v>5.4794520547945202E-2</v>
      </c>
      <c r="D476">
        <v>23</v>
      </c>
    </row>
    <row r="477" spans="1:4" x14ac:dyDescent="0.25">
      <c r="A477" t="s">
        <v>317</v>
      </c>
      <c r="B477">
        <v>22</v>
      </c>
      <c r="C477">
        <v>8.2191780821917804E-2</v>
      </c>
      <c r="D477">
        <v>33</v>
      </c>
    </row>
    <row r="478" spans="1:4" x14ac:dyDescent="0.25">
      <c r="A478" t="s">
        <v>63</v>
      </c>
      <c r="B478">
        <v>2</v>
      </c>
      <c r="C478">
        <v>1.643835616438356E-2</v>
      </c>
      <c r="D478">
        <v>7</v>
      </c>
    </row>
    <row r="479" spans="1:4" x14ac:dyDescent="0.25">
      <c r="A479" t="s">
        <v>61</v>
      </c>
      <c r="B479">
        <v>5</v>
      </c>
      <c r="C479">
        <v>1.643835616438356E-2</v>
      </c>
      <c r="D479">
        <v>6</v>
      </c>
    </row>
    <row r="480" spans="1:4" x14ac:dyDescent="0.25">
      <c r="A480" t="s">
        <v>69</v>
      </c>
      <c r="B480">
        <v>7</v>
      </c>
      <c r="C480">
        <v>7.1232876712328766E-2</v>
      </c>
      <c r="D480">
        <v>28</v>
      </c>
    </row>
    <row r="481" spans="1:4" x14ac:dyDescent="0.25">
      <c r="A481" t="s">
        <v>317</v>
      </c>
      <c r="B481">
        <v>7</v>
      </c>
      <c r="C481">
        <v>9.8630136986301367E-2</v>
      </c>
      <c r="D481">
        <v>39</v>
      </c>
    </row>
    <row r="482" spans="1:4" x14ac:dyDescent="0.25">
      <c r="A482" t="s">
        <v>314</v>
      </c>
      <c r="B482">
        <v>8</v>
      </c>
      <c r="C482">
        <v>5.7534246575342465E-2</v>
      </c>
      <c r="D482">
        <v>21</v>
      </c>
    </row>
    <row r="483" spans="1:4" x14ac:dyDescent="0.25">
      <c r="A483" t="s">
        <v>28</v>
      </c>
      <c r="B483">
        <v>8</v>
      </c>
      <c r="C483">
        <v>7.9452054794520555E-2</v>
      </c>
      <c r="D483">
        <v>32</v>
      </c>
    </row>
    <row r="484" spans="1:4" x14ac:dyDescent="0.25">
      <c r="A484" t="s">
        <v>75</v>
      </c>
      <c r="B484">
        <v>8</v>
      </c>
      <c r="C484">
        <v>9.3150684931506855E-2</v>
      </c>
      <c r="D484">
        <v>37</v>
      </c>
    </row>
    <row r="485" spans="1:4" x14ac:dyDescent="0.25">
      <c r="A485" t="s">
        <v>321</v>
      </c>
      <c r="B485">
        <v>9</v>
      </c>
      <c r="C485">
        <v>6.575342465753424E-2</v>
      </c>
      <c r="D485">
        <v>27</v>
      </c>
    </row>
    <row r="486" spans="1:4" x14ac:dyDescent="0.25">
      <c r="A486" t="s">
        <v>184</v>
      </c>
      <c r="B486">
        <v>9</v>
      </c>
      <c r="C486">
        <v>0.12054794520547946</v>
      </c>
      <c r="D486">
        <v>53</v>
      </c>
    </row>
    <row r="487" spans="1:4" x14ac:dyDescent="0.25">
      <c r="A487" t="s">
        <v>36</v>
      </c>
      <c r="B487">
        <v>10</v>
      </c>
      <c r="C487">
        <v>8.4931506849315067E-2</v>
      </c>
      <c r="D487">
        <v>42</v>
      </c>
    </row>
    <row r="488" spans="1:4" x14ac:dyDescent="0.25">
      <c r="A488" t="s">
        <v>61</v>
      </c>
      <c r="B488">
        <v>11</v>
      </c>
      <c r="C488">
        <v>0.15068493150684931</v>
      </c>
      <c r="D488">
        <v>68</v>
      </c>
    </row>
    <row r="489" spans="1:4" x14ac:dyDescent="0.25">
      <c r="A489" t="s">
        <v>78</v>
      </c>
      <c r="B489">
        <v>12</v>
      </c>
      <c r="C489">
        <v>3.8356164383561646E-2</v>
      </c>
      <c r="D489">
        <v>14</v>
      </c>
    </row>
    <row r="490" spans="1:4" x14ac:dyDescent="0.25">
      <c r="A490" t="s">
        <v>67</v>
      </c>
      <c r="B490">
        <v>13</v>
      </c>
      <c r="C490">
        <v>0.12602739726027398</v>
      </c>
      <c r="D490">
        <v>52</v>
      </c>
    </row>
    <row r="491" spans="1:4" x14ac:dyDescent="0.25">
      <c r="A491" t="s">
        <v>28</v>
      </c>
      <c r="B491">
        <v>13</v>
      </c>
      <c r="C491">
        <v>0.17260273972602741</v>
      </c>
      <c r="D491">
        <v>76</v>
      </c>
    </row>
    <row r="492" spans="1:4" x14ac:dyDescent="0.25">
      <c r="A492" t="s">
        <v>28</v>
      </c>
      <c r="B492">
        <v>14</v>
      </c>
      <c r="C492">
        <v>6.0273972602739728E-2</v>
      </c>
      <c r="D492">
        <v>22</v>
      </c>
    </row>
    <row r="493" spans="1:4" x14ac:dyDescent="0.25">
      <c r="A493" t="s">
        <v>71</v>
      </c>
      <c r="B493">
        <v>15</v>
      </c>
      <c r="C493">
        <v>9.3150684931506855E-2</v>
      </c>
      <c r="D493">
        <v>37</v>
      </c>
    </row>
    <row r="494" spans="1:4" x14ac:dyDescent="0.25">
      <c r="A494" t="s">
        <v>65</v>
      </c>
      <c r="B494">
        <v>15</v>
      </c>
      <c r="C494">
        <v>9.0410958904109592E-2</v>
      </c>
      <c r="D494">
        <v>38</v>
      </c>
    </row>
    <row r="495" spans="1:4" x14ac:dyDescent="0.25">
      <c r="A495" t="s">
        <v>21</v>
      </c>
      <c r="B495">
        <v>17</v>
      </c>
      <c r="C495">
        <v>6.3013698630136991E-2</v>
      </c>
      <c r="D495">
        <v>30</v>
      </c>
    </row>
    <row r="496" spans="1:4" x14ac:dyDescent="0.25">
      <c r="A496" t="s">
        <v>186</v>
      </c>
      <c r="B496">
        <v>18</v>
      </c>
      <c r="C496">
        <v>9.8630136986301367E-2</v>
      </c>
      <c r="D496">
        <v>39</v>
      </c>
    </row>
    <row r="497" spans="1:4" x14ac:dyDescent="0.25">
      <c r="A497" t="s">
        <v>69</v>
      </c>
      <c r="B497">
        <v>19</v>
      </c>
      <c r="C497">
        <v>0.16986301369863013</v>
      </c>
      <c r="D497">
        <v>68</v>
      </c>
    </row>
    <row r="498" spans="1:4" x14ac:dyDescent="0.25">
      <c r="A498" t="s">
        <v>187</v>
      </c>
      <c r="B498">
        <v>20</v>
      </c>
      <c r="C498">
        <v>0.14520547945205478</v>
      </c>
      <c r="D498">
        <v>67</v>
      </c>
    </row>
    <row r="499" spans="1:4" x14ac:dyDescent="0.25">
      <c r="A499" t="s">
        <v>287</v>
      </c>
      <c r="B499">
        <v>20</v>
      </c>
      <c r="C499">
        <v>1.0958904109589041E-2</v>
      </c>
      <c r="D499">
        <v>4</v>
      </c>
    </row>
    <row r="500" spans="1:4" x14ac:dyDescent="0.25">
      <c r="A500" t="s">
        <v>56</v>
      </c>
      <c r="B500">
        <v>23</v>
      </c>
      <c r="C500">
        <v>0.12876712328767123</v>
      </c>
      <c r="D500">
        <v>49</v>
      </c>
    </row>
    <row r="501" spans="1:4" x14ac:dyDescent="0.25">
      <c r="A501" t="s">
        <v>316</v>
      </c>
      <c r="B501">
        <v>23</v>
      </c>
      <c r="C501">
        <v>5.7534246575342465E-2</v>
      </c>
      <c r="D501">
        <v>23</v>
      </c>
    </row>
    <row r="502" spans="1:4" x14ac:dyDescent="0.25">
      <c r="A502" t="s">
        <v>316</v>
      </c>
      <c r="B502">
        <v>0</v>
      </c>
      <c r="C502">
        <v>4.6575342465753428E-2</v>
      </c>
      <c r="D502">
        <v>18</v>
      </c>
    </row>
    <row r="503" spans="1:4" x14ac:dyDescent="0.25">
      <c r="A503" t="s">
        <v>312</v>
      </c>
      <c r="B503">
        <v>0</v>
      </c>
      <c r="C503">
        <v>4.6575342465753428E-2</v>
      </c>
      <c r="D503">
        <v>17</v>
      </c>
    </row>
    <row r="504" spans="1:4" x14ac:dyDescent="0.25">
      <c r="A504" t="s">
        <v>316</v>
      </c>
      <c r="B504">
        <v>1</v>
      </c>
      <c r="C504">
        <v>2.7397260273972601E-2</v>
      </c>
      <c r="D504">
        <v>11</v>
      </c>
    </row>
    <row r="505" spans="1:4" x14ac:dyDescent="0.25">
      <c r="A505" t="s">
        <v>70</v>
      </c>
      <c r="B505">
        <v>2</v>
      </c>
      <c r="C505">
        <v>2.1917808219178082E-2</v>
      </c>
      <c r="D505">
        <v>9</v>
      </c>
    </row>
    <row r="506" spans="1:4" x14ac:dyDescent="0.25">
      <c r="A506" t="s">
        <v>74</v>
      </c>
      <c r="B506">
        <v>2</v>
      </c>
      <c r="C506">
        <v>1.643835616438356E-2</v>
      </c>
      <c r="D506">
        <v>6</v>
      </c>
    </row>
    <row r="507" spans="1:4" x14ac:dyDescent="0.25">
      <c r="A507" t="s">
        <v>316</v>
      </c>
      <c r="B507">
        <v>2</v>
      </c>
      <c r="C507">
        <v>3.5616438356164383E-2</v>
      </c>
      <c r="D507">
        <v>13</v>
      </c>
    </row>
    <row r="508" spans="1:4" x14ac:dyDescent="0.25">
      <c r="A508" t="s">
        <v>19</v>
      </c>
      <c r="B508">
        <v>7</v>
      </c>
      <c r="C508">
        <v>7.3972602739726029E-2</v>
      </c>
      <c r="D508">
        <v>34</v>
      </c>
    </row>
    <row r="509" spans="1:4" x14ac:dyDescent="0.25">
      <c r="A509" t="s">
        <v>32</v>
      </c>
      <c r="B509">
        <v>8</v>
      </c>
      <c r="C509">
        <v>1.0958904109589041E-2</v>
      </c>
      <c r="D509">
        <v>5</v>
      </c>
    </row>
    <row r="510" spans="1:4" x14ac:dyDescent="0.25">
      <c r="A510" t="s">
        <v>71</v>
      </c>
      <c r="B510">
        <v>9</v>
      </c>
      <c r="C510">
        <v>9.0410958904109592E-2</v>
      </c>
      <c r="D510">
        <v>40</v>
      </c>
    </row>
    <row r="511" spans="1:4" x14ac:dyDescent="0.25">
      <c r="A511" t="s">
        <v>70</v>
      </c>
      <c r="B511">
        <v>9</v>
      </c>
      <c r="C511">
        <v>0.11232876712328767</v>
      </c>
      <c r="D511">
        <v>43</v>
      </c>
    </row>
    <row r="512" spans="1:4" x14ac:dyDescent="0.25">
      <c r="A512" t="s">
        <v>65</v>
      </c>
      <c r="B512">
        <v>10</v>
      </c>
      <c r="C512">
        <v>0.11780821917808219</v>
      </c>
      <c r="D512">
        <v>48</v>
      </c>
    </row>
    <row r="513" spans="1:4" x14ac:dyDescent="0.25">
      <c r="A513" t="s">
        <v>318</v>
      </c>
      <c r="B513">
        <v>10</v>
      </c>
      <c r="C513">
        <v>2.4657534246575342E-2</v>
      </c>
      <c r="D513">
        <v>9</v>
      </c>
    </row>
    <row r="514" spans="1:4" x14ac:dyDescent="0.25">
      <c r="A514" t="s">
        <v>286</v>
      </c>
      <c r="B514">
        <v>11</v>
      </c>
      <c r="C514">
        <v>1.9178082191780823E-2</v>
      </c>
      <c r="D514">
        <v>7</v>
      </c>
    </row>
    <row r="515" spans="1:4" x14ac:dyDescent="0.25">
      <c r="A515" t="s">
        <v>62</v>
      </c>
      <c r="B515">
        <v>11</v>
      </c>
      <c r="C515">
        <v>0.13424657534246576</v>
      </c>
      <c r="D515">
        <v>57</v>
      </c>
    </row>
    <row r="516" spans="1:4" x14ac:dyDescent="0.25">
      <c r="A516" t="s">
        <v>17</v>
      </c>
      <c r="B516">
        <v>12</v>
      </c>
      <c r="C516">
        <v>9.3150684931506855E-2</v>
      </c>
      <c r="D516">
        <v>39</v>
      </c>
    </row>
    <row r="517" spans="1:4" x14ac:dyDescent="0.25">
      <c r="A517" t="s">
        <v>184</v>
      </c>
      <c r="B517">
        <v>13</v>
      </c>
      <c r="C517">
        <v>0.15342465753424658</v>
      </c>
      <c r="D517">
        <v>61</v>
      </c>
    </row>
    <row r="518" spans="1:4" x14ac:dyDescent="0.25">
      <c r="A518" t="s">
        <v>56</v>
      </c>
      <c r="B518">
        <v>14</v>
      </c>
      <c r="C518">
        <v>0.21369863013698631</v>
      </c>
      <c r="D518">
        <v>88</v>
      </c>
    </row>
    <row r="519" spans="1:4" x14ac:dyDescent="0.25">
      <c r="A519" t="s">
        <v>71</v>
      </c>
      <c r="B519">
        <v>14</v>
      </c>
      <c r="C519">
        <v>0.10684931506849316</v>
      </c>
      <c r="D519">
        <v>44</v>
      </c>
    </row>
    <row r="520" spans="1:4" x14ac:dyDescent="0.25">
      <c r="A520" t="s">
        <v>290</v>
      </c>
      <c r="B520">
        <v>14</v>
      </c>
      <c r="C520">
        <v>3.287671232876712E-2</v>
      </c>
      <c r="D520">
        <v>12</v>
      </c>
    </row>
    <row r="521" spans="1:4" x14ac:dyDescent="0.25">
      <c r="A521" t="s">
        <v>69</v>
      </c>
      <c r="B521">
        <v>15</v>
      </c>
      <c r="C521">
        <v>8.4931506849315067E-2</v>
      </c>
      <c r="D521">
        <v>33</v>
      </c>
    </row>
    <row r="522" spans="1:4" x14ac:dyDescent="0.25">
      <c r="A522" t="s">
        <v>308</v>
      </c>
      <c r="B522">
        <v>15</v>
      </c>
      <c r="C522">
        <v>9.0410958904109592E-2</v>
      </c>
      <c r="D522">
        <v>34</v>
      </c>
    </row>
    <row r="523" spans="1:4" x14ac:dyDescent="0.25">
      <c r="A523" t="s">
        <v>65</v>
      </c>
      <c r="B523">
        <v>16</v>
      </c>
      <c r="C523">
        <v>0.22191780821917809</v>
      </c>
      <c r="D523">
        <v>100</v>
      </c>
    </row>
    <row r="524" spans="1:4" x14ac:dyDescent="0.25">
      <c r="A524" t="s">
        <v>314</v>
      </c>
      <c r="B524">
        <v>16</v>
      </c>
      <c r="C524">
        <v>6.3013698630136991E-2</v>
      </c>
      <c r="D524">
        <v>25</v>
      </c>
    </row>
    <row r="525" spans="1:4" x14ac:dyDescent="0.25">
      <c r="A525" t="s">
        <v>70</v>
      </c>
      <c r="B525">
        <v>17</v>
      </c>
      <c r="C525">
        <v>0.14246575342465753</v>
      </c>
      <c r="D525">
        <v>61</v>
      </c>
    </row>
    <row r="526" spans="1:4" x14ac:dyDescent="0.25">
      <c r="A526" t="s">
        <v>296</v>
      </c>
      <c r="B526">
        <v>18</v>
      </c>
      <c r="C526">
        <v>7.9452054794520555E-2</v>
      </c>
      <c r="D526">
        <v>30</v>
      </c>
    </row>
    <row r="527" spans="1:4" x14ac:dyDescent="0.25">
      <c r="A527" t="s">
        <v>310</v>
      </c>
      <c r="B527">
        <v>18</v>
      </c>
      <c r="C527">
        <v>5.4794520547945202E-2</v>
      </c>
      <c r="D527">
        <v>21</v>
      </c>
    </row>
    <row r="528" spans="1:4" x14ac:dyDescent="0.25">
      <c r="A528" t="s">
        <v>320</v>
      </c>
      <c r="B528">
        <v>18</v>
      </c>
      <c r="C528">
        <v>5.2054794520547946E-2</v>
      </c>
      <c r="D528">
        <v>20</v>
      </c>
    </row>
    <row r="529" spans="1:4" x14ac:dyDescent="0.25">
      <c r="A529" t="s">
        <v>313</v>
      </c>
      <c r="B529">
        <v>18</v>
      </c>
      <c r="C529">
        <v>4.9315068493150684E-2</v>
      </c>
      <c r="D529">
        <v>21</v>
      </c>
    </row>
    <row r="530" spans="1:4" x14ac:dyDescent="0.25">
      <c r="A530" t="s">
        <v>296</v>
      </c>
      <c r="B530">
        <v>19</v>
      </c>
      <c r="C530">
        <v>2.7397260273972601E-2</v>
      </c>
      <c r="D530">
        <v>10</v>
      </c>
    </row>
    <row r="531" spans="1:4" x14ac:dyDescent="0.25">
      <c r="A531" t="s">
        <v>316</v>
      </c>
      <c r="B531">
        <v>19</v>
      </c>
      <c r="C531">
        <v>0.16438356164383561</v>
      </c>
      <c r="D531">
        <v>70</v>
      </c>
    </row>
    <row r="532" spans="1:4" x14ac:dyDescent="0.25">
      <c r="A532" t="s">
        <v>188</v>
      </c>
      <c r="B532">
        <v>19</v>
      </c>
      <c r="C532">
        <v>9.5890410958904104E-2</v>
      </c>
      <c r="D532">
        <v>36</v>
      </c>
    </row>
    <row r="533" spans="1:4" x14ac:dyDescent="0.25">
      <c r="A533" t="s">
        <v>56</v>
      </c>
      <c r="B533">
        <v>20</v>
      </c>
      <c r="C533">
        <v>0.18356164383561643</v>
      </c>
      <c r="D533">
        <v>78</v>
      </c>
    </row>
    <row r="534" spans="1:4" x14ac:dyDescent="0.25">
      <c r="A534" t="s">
        <v>188</v>
      </c>
      <c r="B534">
        <v>20</v>
      </c>
      <c r="C534">
        <v>4.9315068493150684E-2</v>
      </c>
      <c r="D534">
        <v>23</v>
      </c>
    </row>
    <row r="535" spans="1:4" x14ac:dyDescent="0.25">
      <c r="A535" t="s">
        <v>64</v>
      </c>
      <c r="B535">
        <v>20</v>
      </c>
      <c r="C535">
        <v>6.8493150684931503E-2</v>
      </c>
      <c r="D535">
        <v>28</v>
      </c>
    </row>
    <row r="536" spans="1:4" x14ac:dyDescent="0.25">
      <c r="A536" t="s">
        <v>36</v>
      </c>
      <c r="B536">
        <v>21</v>
      </c>
      <c r="C536">
        <v>4.9315068493150684E-2</v>
      </c>
      <c r="D536">
        <v>20</v>
      </c>
    </row>
    <row r="537" spans="1:4" x14ac:dyDescent="0.25">
      <c r="A537" t="s">
        <v>60</v>
      </c>
      <c r="B537">
        <v>21</v>
      </c>
      <c r="C537">
        <v>0.12876712328767123</v>
      </c>
      <c r="D537">
        <v>53</v>
      </c>
    </row>
    <row r="538" spans="1:4" x14ac:dyDescent="0.25">
      <c r="A538" t="s">
        <v>63</v>
      </c>
      <c r="B538">
        <v>4</v>
      </c>
      <c r="C538">
        <v>2.7397260273972601E-2</v>
      </c>
      <c r="D538">
        <v>12</v>
      </c>
    </row>
    <row r="539" spans="1:4" x14ac:dyDescent="0.25">
      <c r="A539" t="s">
        <v>75</v>
      </c>
      <c r="B539">
        <v>4</v>
      </c>
      <c r="C539">
        <v>1.643835616438356E-2</v>
      </c>
      <c r="D539">
        <v>6</v>
      </c>
    </row>
    <row r="540" spans="1:4" x14ac:dyDescent="0.25">
      <c r="A540" t="s">
        <v>60</v>
      </c>
      <c r="B540">
        <v>6</v>
      </c>
      <c r="C540">
        <v>3.8356164383561646E-2</v>
      </c>
      <c r="D540">
        <v>15</v>
      </c>
    </row>
    <row r="541" spans="1:4" x14ac:dyDescent="0.25">
      <c r="A541" t="s">
        <v>184</v>
      </c>
      <c r="B541">
        <v>7</v>
      </c>
      <c r="C541">
        <v>0.14794520547945206</v>
      </c>
      <c r="D541">
        <v>61</v>
      </c>
    </row>
    <row r="542" spans="1:4" x14ac:dyDescent="0.25">
      <c r="A542" t="s">
        <v>68</v>
      </c>
      <c r="B542">
        <v>8</v>
      </c>
      <c r="C542">
        <v>0.13150684931506848</v>
      </c>
      <c r="D542">
        <v>49</v>
      </c>
    </row>
    <row r="543" spans="1:4" x14ac:dyDescent="0.25">
      <c r="A543" t="s">
        <v>37</v>
      </c>
      <c r="B543">
        <v>8</v>
      </c>
      <c r="C543">
        <v>3.287671232876712E-2</v>
      </c>
      <c r="D543">
        <v>13</v>
      </c>
    </row>
    <row r="544" spans="1:4" x14ac:dyDescent="0.25">
      <c r="A544" t="s">
        <v>17</v>
      </c>
      <c r="B544">
        <v>8</v>
      </c>
      <c r="C544">
        <v>7.9452054794520555E-2</v>
      </c>
      <c r="D544">
        <v>36</v>
      </c>
    </row>
    <row r="545" spans="1:4" x14ac:dyDescent="0.25">
      <c r="A545" t="s">
        <v>77</v>
      </c>
      <c r="B545">
        <v>10</v>
      </c>
      <c r="C545">
        <v>4.1095890410958902E-2</v>
      </c>
      <c r="D545">
        <v>16</v>
      </c>
    </row>
    <row r="546" spans="1:4" x14ac:dyDescent="0.25">
      <c r="A546" t="s">
        <v>37</v>
      </c>
      <c r="B546">
        <v>11</v>
      </c>
      <c r="C546">
        <v>4.3835616438356165E-2</v>
      </c>
      <c r="D546">
        <v>17</v>
      </c>
    </row>
    <row r="547" spans="1:4" x14ac:dyDescent="0.25">
      <c r="A547" t="s">
        <v>28</v>
      </c>
      <c r="B547">
        <v>12</v>
      </c>
      <c r="C547">
        <v>6.575342465753424E-2</v>
      </c>
      <c r="D547">
        <v>27</v>
      </c>
    </row>
    <row r="548" spans="1:4" x14ac:dyDescent="0.25">
      <c r="A548" t="s">
        <v>56</v>
      </c>
      <c r="B548">
        <v>12</v>
      </c>
      <c r="C548">
        <v>0.20547945205479451</v>
      </c>
      <c r="D548">
        <v>86</v>
      </c>
    </row>
    <row r="549" spans="1:4" x14ac:dyDescent="0.25">
      <c r="A549" t="s">
        <v>19</v>
      </c>
      <c r="B549">
        <v>12</v>
      </c>
      <c r="C549">
        <v>5.7534246575342465E-2</v>
      </c>
      <c r="D549">
        <v>24</v>
      </c>
    </row>
    <row r="550" spans="1:4" x14ac:dyDescent="0.25">
      <c r="A550" t="s">
        <v>291</v>
      </c>
      <c r="B550">
        <v>13</v>
      </c>
      <c r="C550">
        <v>1.9178082191780823E-2</v>
      </c>
      <c r="D550">
        <v>7</v>
      </c>
    </row>
    <row r="551" spans="1:4" x14ac:dyDescent="0.25">
      <c r="A551" t="s">
        <v>67</v>
      </c>
      <c r="B551">
        <v>14</v>
      </c>
      <c r="C551">
        <v>0.19726027397260273</v>
      </c>
      <c r="D551">
        <v>83</v>
      </c>
    </row>
    <row r="552" spans="1:4" x14ac:dyDescent="0.25">
      <c r="A552" t="s">
        <v>69</v>
      </c>
      <c r="B552">
        <v>18</v>
      </c>
      <c r="C552">
        <v>0.13424657534246576</v>
      </c>
      <c r="D552">
        <v>56</v>
      </c>
    </row>
    <row r="553" spans="1:4" x14ac:dyDescent="0.25">
      <c r="A553" t="s">
        <v>68</v>
      </c>
      <c r="B553">
        <v>20</v>
      </c>
      <c r="C553">
        <v>7.9452054794520555E-2</v>
      </c>
      <c r="D553">
        <v>32</v>
      </c>
    </row>
    <row r="554" spans="1:4" x14ac:dyDescent="0.25">
      <c r="A554" t="s">
        <v>317</v>
      </c>
      <c r="B554">
        <v>23</v>
      </c>
      <c r="C554">
        <v>6.0273972602739728E-2</v>
      </c>
      <c r="D554">
        <v>23</v>
      </c>
    </row>
    <row r="555" spans="1:4" x14ac:dyDescent="0.25">
      <c r="A555" t="s">
        <v>187</v>
      </c>
      <c r="B555">
        <v>0</v>
      </c>
      <c r="C555">
        <v>5.7534246575342465E-2</v>
      </c>
      <c r="D555">
        <v>22</v>
      </c>
    </row>
    <row r="556" spans="1:4" x14ac:dyDescent="0.25">
      <c r="A556" t="s">
        <v>183</v>
      </c>
      <c r="B556">
        <v>1</v>
      </c>
      <c r="C556">
        <v>9.3150684931506855E-2</v>
      </c>
      <c r="D556">
        <v>39</v>
      </c>
    </row>
    <row r="557" spans="1:4" x14ac:dyDescent="0.25">
      <c r="A557" t="s">
        <v>36</v>
      </c>
      <c r="B557">
        <v>1</v>
      </c>
      <c r="C557">
        <v>1.0958904109589041E-2</v>
      </c>
      <c r="D557">
        <v>5</v>
      </c>
    </row>
    <row r="558" spans="1:4" x14ac:dyDescent="0.25">
      <c r="A558" t="s">
        <v>74</v>
      </c>
      <c r="B558">
        <v>1</v>
      </c>
      <c r="C558">
        <v>3.0136986301369864E-2</v>
      </c>
      <c r="D558">
        <v>12</v>
      </c>
    </row>
    <row r="559" spans="1:4" x14ac:dyDescent="0.25">
      <c r="A559" t="s">
        <v>77</v>
      </c>
      <c r="B559">
        <v>2</v>
      </c>
      <c r="C559">
        <v>1.3698630136986301E-2</v>
      </c>
      <c r="D559">
        <v>5</v>
      </c>
    </row>
    <row r="560" spans="1:4" x14ac:dyDescent="0.25">
      <c r="A560" t="s">
        <v>61</v>
      </c>
      <c r="B560">
        <v>6</v>
      </c>
      <c r="C560">
        <v>2.7397260273972601E-2</v>
      </c>
      <c r="D560">
        <v>13</v>
      </c>
    </row>
    <row r="561" spans="1:4" x14ac:dyDescent="0.25">
      <c r="A561" t="s">
        <v>36</v>
      </c>
      <c r="B561">
        <v>6</v>
      </c>
      <c r="C561">
        <v>2.7397260273972601E-2</v>
      </c>
      <c r="D561">
        <v>14</v>
      </c>
    </row>
    <row r="562" spans="1:4" x14ac:dyDescent="0.25">
      <c r="A562" t="s">
        <v>68</v>
      </c>
      <c r="B562">
        <v>6</v>
      </c>
      <c r="C562">
        <v>1.9178082191780823E-2</v>
      </c>
      <c r="D562">
        <v>8</v>
      </c>
    </row>
    <row r="563" spans="1:4" x14ac:dyDescent="0.25">
      <c r="A563" t="s">
        <v>290</v>
      </c>
      <c r="B563">
        <v>9</v>
      </c>
      <c r="C563">
        <v>6.3013698630136991E-2</v>
      </c>
      <c r="D563">
        <v>24</v>
      </c>
    </row>
    <row r="564" spans="1:4" x14ac:dyDescent="0.25">
      <c r="A564" t="s">
        <v>58</v>
      </c>
      <c r="B564">
        <v>11</v>
      </c>
      <c r="C564">
        <v>0.27123287671232876</v>
      </c>
      <c r="D564">
        <v>115</v>
      </c>
    </row>
    <row r="565" spans="1:4" x14ac:dyDescent="0.25">
      <c r="A565" t="s">
        <v>188</v>
      </c>
      <c r="B565">
        <v>12</v>
      </c>
      <c r="C565">
        <v>6.0273972602739728E-2</v>
      </c>
      <c r="D565">
        <v>23</v>
      </c>
    </row>
    <row r="566" spans="1:4" x14ac:dyDescent="0.25">
      <c r="A566" t="s">
        <v>37</v>
      </c>
      <c r="B566">
        <v>14</v>
      </c>
      <c r="C566">
        <v>3.287671232876712E-2</v>
      </c>
      <c r="D566">
        <v>16</v>
      </c>
    </row>
    <row r="567" spans="1:4" x14ac:dyDescent="0.25">
      <c r="A567" t="s">
        <v>61</v>
      </c>
      <c r="B567">
        <v>14</v>
      </c>
      <c r="C567">
        <v>0.15068493150684931</v>
      </c>
      <c r="D567">
        <v>65</v>
      </c>
    </row>
    <row r="568" spans="1:4" x14ac:dyDescent="0.25">
      <c r="A568" t="s">
        <v>183</v>
      </c>
      <c r="B568">
        <v>14</v>
      </c>
      <c r="C568">
        <v>0.21917808219178081</v>
      </c>
      <c r="D568">
        <v>100</v>
      </c>
    </row>
    <row r="569" spans="1:4" x14ac:dyDescent="0.25">
      <c r="A569" t="s">
        <v>188</v>
      </c>
      <c r="B569">
        <v>16</v>
      </c>
      <c r="C569">
        <v>8.7671232876712329E-2</v>
      </c>
      <c r="D569">
        <v>38</v>
      </c>
    </row>
    <row r="570" spans="1:4" x14ac:dyDescent="0.25">
      <c r="A570" t="s">
        <v>75</v>
      </c>
      <c r="B570">
        <v>16</v>
      </c>
      <c r="C570">
        <v>0.10684931506849316</v>
      </c>
      <c r="D570">
        <v>46</v>
      </c>
    </row>
    <row r="571" spans="1:4" x14ac:dyDescent="0.25">
      <c r="A571" t="s">
        <v>74</v>
      </c>
      <c r="B571">
        <v>20</v>
      </c>
      <c r="C571">
        <v>5.4794520547945202E-2</v>
      </c>
      <c r="D571">
        <v>22</v>
      </c>
    </row>
    <row r="572" spans="1:4" x14ac:dyDescent="0.25">
      <c r="A572" t="s">
        <v>69</v>
      </c>
      <c r="B572">
        <v>20</v>
      </c>
      <c r="C572">
        <v>7.1232876712328766E-2</v>
      </c>
      <c r="D572">
        <v>27</v>
      </c>
    </row>
    <row r="573" spans="1:4" x14ac:dyDescent="0.25">
      <c r="A573" t="s">
        <v>316</v>
      </c>
      <c r="B573">
        <v>20</v>
      </c>
      <c r="C573">
        <v>9.8630136986301367E-2</v>
      </c>
      <c r="D573">
        <v>45</v>
      </c>
    </row>
    <row r="574" spans="1:4" x14ac:dyDescent="0.25">
      <c r="A574" t="s">
        <v>61</v>
      </c>
      <c r="B574">
        <v>21</v>
      </c>
      <c r="C574">
        <v>8.4931506849315067E-2</v>
      </c>
      <c r="D574">
        <v>33</v>
      </c>
    </row>
    <row r="575" spans="1:4" x14ac:dyDescent="0.25">
      <c r="A575" t="s">
        <v>183</v>
      </c>
      <c r="B575">
        <v>21</v>
      </c>
      <c r="C575">
        <v>0.12328767123287671</v>
      </c>
      <c r="D575">
        <v>54</v>
      </c>
    </row>
    <row r="576" spans="1:4" x14ac:dyDescent="0.25">
      <c r="A576" t="s">
        <v>74</v>
      </c>
      <c r="B576">
        <v>22</v>
      </c>
      <c r="C576">
        <v>4.6575342465753428E-2</v>
      </c>
      <c r="D576">
        <v>22</v>
      </c>
    </row>
    <row r="577" spans="1:4" x14ac:dyDescent="0.25">
      <c r="A577" t="s">
        <v>58</v>
      </c>
      <c r="B577">
        <v>0</v>
      </c>
      <c r="C577">
        <v>7.9452054794520555E-2</v>
      </c>
      <c r="D577">
        <v>32</v>
      </c>
    </row>
    <row r="578" spans="1:4" x14ac:dyDescent="0.25">
      <c r="A578" t="s">
        <v>68</v>
      </c>
      <c r="B578">
        <v>1</v>
      </c>
      <c r="C578">
        <v>1.0958904109589041E-2</v>
      </c>
      <c r="D578">
        <v>4</v>
      </c>
    </row>
    <row r="579" spans="1:4" x14ac:dyDescent="0.25">
      <c r="A579" t="s">
        <v>75</v>
      </c>
      <c r="B579">
        <v>1</v>
      </c>
      <c r="C579">
        <v>1.9178082191780823E-2</v>
      </c>
      <c r="D579">
        <v>7</v>
      </c>
    </row>
    <row r="580" spans="1:4" x14ac:dyDescent="0.25">
      <c r="A580" t="s">
        <v>69</v>
      </c>
      <c r="B580">
        <v>1</v>
      </c>
      <c r="C580">
        <v>3.5616438356164383E-2</v>
      </c>
      <c r="D580">
        <v>13</v>
      </c>
    </row>
    <row r="581" spans="1:4" x14ac:dyDescent="0.25">
      <c r="A581" t="s">
        <v>189</v>
      </c>
      <c r="B581">
        <v>8</v>
      </c>
      <c r="C581">
        <v>9.5890410958904104E-2</v>
      </c>
      <c r="D581">
        <v>37</v>
      </c>
    </row>
    <row r="582" spans="1:4" x14ac:dyDescent="0.25">
      <c r="A582" t="s">
        <v>69</v>
      </c>
      <c r="B582">
        <v>9</v>
      </c>
      <c r="C582">
        <v>6.3013698630136991E-2</v>
      </c>
      <c r="D582">
        <v>24</v>
      </c>
    </row>
    <row r="583" spans="1:4" x14ac:dyDescent="0.25">
      <c r="A583" t="s">
        <v>76</v>
      </c>
      <c r="B583">
        <v>9</v>
      </c>
      <c r="C583">
        <v>0.1095890410958904</v>
      </c>
      <c r="D583">
        <v>46</v>
      </c>
    </row>
    <row r="584" spans="1:4" x14ac:dyDescent="0.25">
      <c r="A584" t="s">
        <v>288</v>
      </c>
      <c r="B584">
        <v>9</v>
      </c>
      <c r="C584">
        <v>7.6712328767123292E-2</v>
      </c>
      <c r="D584">
        <v>29</v>
      </c>
    </row>
    <row r="585" spans="1:4" x14ac:dyDescent="0.25">
      <c r="A585" t="s">
        <v>297</v>
      </c>
      <c r="B585">
        <v>10</v>
      </c>
      <c r="C585">
        <v>1.643835616438356E-2</v>
      </c>
      <c r="D585">
        <v>6</v>
      </c>
    </row>
    <row r="586" spans="1:4" x14ac:dyDescent="0.25">
      <c r="A586" t="s">
        <v>314</v>
      </c>
      <c r="B586">
        <v>11</v>
      </c>
      <c r="C586">
        <v>4.9315068493150684E-2</v>
      </c>
      <c r="D586">
        <v>19</v>
      </c>
    </row>
    <row r="587" spans="1:4" x14ac:dyDescent="0.25">
      <c r="A587" t="s">
        <v>28</v>
      </c>
      <c r="B587">
        <v>11</v>
      </c>
      <c r="C587">
        <v>7.3972602739726029E-2</v>
      </c>
      <c r="D587">
        <v>30</v>
      </c>
    </row>
    <row r="588" spans="1:4" x14ac:dyDescent="0.25">
      <c r="A588" t="s">
        <v>312</v>
      </c>
      <c r="B588">
        <v>11</v>
      </c>
      <c r="C588">
        <v>0.11232876712328767</v>
      </c>
      <c r="D588">
        <v>44</v>
      </c>
    </row>
    <row r="589" spans="1:4" x14ac:dyDescent="0.25">
      <c r="A589" t="s">
        <v>64</v>
      </c>
      <c r="B589">
        <v>15</v>
      </c>
      <c r="C589">
        <v>0.11232876712328767</v>
      </c>
      <c r="D589">
        <v>48</v>
      </c>
    </row>
    <row r="590" spans="1:4" x14ac:dyDescent="0.25">
      <c r="A590" t="s">
        <v>321</v>
      </c>
      <c r="B590">
        <v>16</v>
      </c>
      <c r="C590">
        <v>7.9452054794520555E-2</v>
      </c>
      <c r="D590">
        <v>34</v>
      </c>
    </row>
    <row r="591" spans="1:4" x14ac:dyDescent="0.25">
      <c r="A591" t="s">
        <v>190</v>
      </c>
      <c r="B591">
        <v>16</v>
      </c>
      <c r="C591">
        <v>3.5616438356164383E-2</v>
      </c>
      <c r="D591">
        <v>13</v>
      </c>
    </row>
    <row r="592" spans="1:4" x14ac:dyDescent="0.25">
      <c r="A592" t="s">
        <v>38</v>
      </c>
      <c r="B592">
        <v>17</v>
      </c>
      <c r="C592">
        <v>1.3698630136986301E-2</v>
      </c>
      <c r="D592">
        <v>6</v>
      </c>
    </row>
    <row r="593" spans="1:4" x14ac:dyDescent="0.25">
      <c r="A593" t="s">
        <v>69</v>
      </c>
      <c r="B593">
        <v>17</v>
      </c>
      <c r="C593">
        <v>0.10136986301369863</v>
      </c>
      <c r="D593">
        <v>42</v>
      </c>
    </row>
    <row r="594" spans="1:4" x14ac:dyDescent="0.25">
      <c r="A594" t="s">
        <v>393</v>
      </c>
      <c r="B594">
        <v>18</v>
      </c>
      <c r="C594">
        <v>0.10684931506849316</v>
      </c>
      <c r="D594">
        <v>44</v>
      </c>
    </row>
    <row r="595" spans="1:4" x14ac:dyDescent="0.25">
      <c r="A595" t="s">
        <v>186</v>
      </c>
      <c r="B595">
        <v>19</v>
      </c>
      <c r="C595">
        <v>9.0410958904109592E-2</v>
      </c>
      <c r="D595">
        <v>35</v>
      </c>
    </row>
    <row r="596" spans="1:4" x14ac:dyDescent="0.25">
      <c r="A596" t="s">
        <v>19</v>
      </c>
      <c r="B596">
        <v>20</v>
      </c>
      <c r="C596">
        <v>0.10410958904109589</v>
      </c>
      <c r="D596">
        <v>49</v>
      </c>
    </row>
    <row r="597" spans="1:4" x14ac:dyDescent="0.25">
      <c r="A597" t="s">
        <v>17</v>
      </c>
      <c r="B597">
        <v>20</v>
      </c>
      <c r="C597">
        <v>0.12328767123287671</v>
      </c>
      <c r="D597">
        <v>56</v>
      </c>
    </row>
    <row r="598" spans="1:4" x14ac:dyDescent="0.25">
      <c r="A598" t="s">
        <v>72</v>
      </c>
      <c r="B598">
        <v>21</v>
      </c>
      <c r="C598">
        <v>6.3013698630136991E-2</v>
      </c>
      <c r="D598">
        <v>24</v>
      </c>
    </row>
    <row r="599" spans="1:4" x14ac:dyDescent="0.25">
      <c r="A599" t="s">
        <v>62</v>
      </c>
      <c r="B599">
        <v>23</v>
      </c>
      <c r="C599">
        <v>6.0273972602739728E-2</v>
      </c>
      <c r="D599">
        <v>24</v>
      </c>
    </row>
    <row r="600" spans="1:4" x14ac:dyDescent="0.25">
      <c r="A600" t="s">
        <v>26</v>
      </c>
      <c r="B600">
        <v>23</v>
      </c>
      <c r="C600">
        <v>5.2054794520547946E-2</v>
      </c>
      <c r="D600">
        <v>22</v>
      </c>
    </row>
    <row r="601" spans="1:4" x14ac:dyDescent="0.25">
      <c r="A601" t="s">
        <v>72</v>
      </c>
      <c r="B601">
        <v>0</v>
      </c>
      <c r="C601">
        <v>6.8493150684931503E-2</v>
      </c>
      <c r="D601">
        <v>26</v>
      </c>
    </row>
    <row r="602" spans="1:4" x14ac:dyDescent="0.25">
      <c r="A602" t="s">
        <v>72</v>
      </c>
      <c r="B602">
        <v>1</v>
      </c>
      <c r="C602">
        <v>1.3698630136986301E-2</v>
      </c>
      <c r="D602">
        <v>5</v>
      </c>
    </row>
    <row r="603" spans="1:4" x14ac:dyDescent="0.25">
      <c r="A603" t="s">
        <v>72</v>
      </c>
      <c r="B603">
        <v>2</v>
      </c>
      <c r="C603">
        <v>1.643835616438356E-2</v>
      </c>
      <c r="D603">
        <v>6</v>
      </c>
    </row>
    <row r="604" spans="1:4" x14ac:dyDescent="0.25">
      <c r="A604" t="s">
        <v>78</v>
      </c>
      <c r="B604">
        <v>2</v>
      </c>
      <c r="C604">
        <v>5.4794520547945206E-3</v>
      </c>
      <c r="D604">
        <v>2</v>
      </c>
    </row>
    <row r="605" spans="1:4" x14ac:dyDescent="0.25">
      <c r="A605" t="s">
        <v>71</v>
      </c>
      <c r="B605">
        <v>3</v>
      </c>
      <c r="C605">
        <v>1.643835616438356E-2</v>
      </c>
      <c r="D605">
        <v>7</v>
      </c>
    </row>
    <row r="606" spans="1:4" x14ac:dyDescent="0.25">
      <c r="A606" t="s">
        <v>74</v>
      </c>
      <c r="B606">
        <v>4</v>
      </c>
      <c r="C606">
        <v>2.4657534246575342E-2</v>
      </c>
      <c r="D606">
        <v>9</v>
      </c>
    </row>
    <row r="607" spans="1:4" x14ac:dyDescent="0.25">
      <c r="A607" t="s">
        <v>296</v>
      </c>
      <c r="B607">
        <v>8</v>
      </c>
      <c r="C607">
        <v>4.1095890410958902E-2</v>
      </c>
      <c r="D607">
        <v>17</v>
      </c>
    </row>
    <row r="608" spans="1:4" x14ac:dyDescent="0.25">
      <c r="A608" t="s">
        <v>296</v>
      </c>
      <c r="B608">
        <v>9</v>
      </c>
      <c r="C608">
        <v>3.5616438356164383E-2</v>
      </c>
      <c r="D608">
        <v>14</v>
      </c>
    </row>
    <row r="609" spans="1:4" x14ac:dyDescent="0.25">
      <c r="A609" t="s">
        <v>78</v>
      </c>
      <c r="B609">
        <v>10</v>
      </c>
      <c r="C609">
        <v>1.643835616438356E-2</v>
      </c>
      <c r="D609">
        <v>6</v>
      </c>
    </row>
    <row r="610" spans="1:4" x14ac:dyDescent="0.25">
      <c r="A610" t="s">
        <v>65</v>
      </c>
      <c r="B610">
        <v>11</v>
      </c>
      <c r="C610">
        <v>0.15342465753424658</v>
      </c>
      <c r="D610">
        <v>68</v>
      </c>
    </row>
    <row r="611" spans="1:4" x14ac:dyDescent="0.25">
      <c r="A611" t="s">
        <v>69</v>
      </c>
      <c r="B611">
        <v>11</v>
      </c>
      <c r="C611">
        <v>0.11232876712328767</v>
      </c>
      <c r="D611">
        <v>47</v>
      </c>
    </row>
    <row r="612" spans="1:4" x14ac:dyDescent="0.25">
      <c r="A612" t="s">
        <v>62</v>
      </c>
      <c r="B612">
        <v>12</v>
      </c>
      <c r="C612">
        <v>0.10684931506849316</v>
      </c>
      <c r="D612">
        <v>41</v>
      </c>
    </row>
    <row r="613" spans="1:4" x14ac:dyDescent="0.25">
      <c r="A613" t="s">
        <v>183</v>
      </c>
      <c r="B613">
        <v>13</v>
      </c>
      <c r="C613">
        <v>0.13150684931506848</v>
      </c>
      <c r="D613">
        <v>55</v>
      </c>
    </row>
    <row r="614" spans="1:4" x14ac:dyDescent="0.25">
      <c r="A614" t="s">
        <v>75</v>
      </c>
      <c r="B614">
        <v>13</v>
      </c>
      <c r="C614">
        <v>6.0273972602739728E-2</v>
      </c>
      <c r="D614">
        <v>25</v>
      </c>
    </row>
    <row r="615" spans="1:4" x14ac:dyDescent="0.25">
      <c r="A615" t="s">
        <v>76</v>
      </c>
      <c r="B615">
        <v>13</v>
      </c>
      <c r="C615">
        <v>6.8493150684931503E-2</v>
      </c>
      <c r="D615">
        <v>30</v>
      </c>
    </row>
    <row r="616" spans="1:4" x14ac:dyDescent="0.25">
      <c r="A616" t="s">
        <v>317</v>
      </c>
      <c r="B616">
        <v>13</v>
      </c>
      <c r="C616">
        <v>0.10410958904109589</v>
      </c>
      <c r="D616">
        <v>41</v>
      </c>
    </row>
    <row r="617" spans="1:4" x14ac:dyDescent="0.25">
      <c r="A617" t="s">
        <v>66</v>
      </c>
      <c r="B617">
        <v>13</v>
      </c>
      <c r="C617">
        <v>0.12602739726027398</v>
      </c>
      <c r="D617">
        <v>52</v>
      </c>
    </row>
    <row r="618" spans="1:4" x14ac:dyDescent="0.25">
      <c r="A618" t="s">
        <v>63</v>
      </c>
      <c r="B618">
        <v>14</v>
      </c>
      <c r="C618">
        <v>0.17534246575342466</v>
      </c>
      <c r="D618">
        <v>75</v>
      </c>
    </row>
    <row r="619" spans="1:4" x14ac:dyDescent="0.25">
      <c r="A619" t="s">
        <v>313</v>
      </c>
      <c r="B619">
        <v>16</v>
      </c>
      <c r="C619">
        <v>4.6575342465753428E-2</v>
      </c>
      <c r="D619">
        <v>17</v>
      </c>
    </row>
    <row r="620" spans="1:4" x14ac:dyDescent="0.25">
      <c r="A620" t="s">
        <v>68</v>
      </c>
      <c r="B620">
        <v>17</v>
      </c>
      <c r="C620">
        <v>9.0410958904109592E-2</v>
      </c>
      <c r="D620">
        <v>43</v>
      </c>
    </row>
    <row r="621" spans="1:4" x14ac:dyDescent="0.25">
      <c r="A621" t="s">
        <v>309</v>
      </c>
      <c r="B621">
        <v>17</v>
      </c>
      <c r="C621">
        <v>1.3698630136986301E-2</v>
      </c>
      <c r="D621">
        <v>5</v>
      </c>
    </row>
    <row r="622" spans="1:4" x14ac:dyDescent="0.25">
      <c r="A622" t="s">
        <v>63</v>
      </c>
      <c r="B622">
        <v>18</v>
      </c>
      <c r="C622">
        <v>0.12054794520547946</v>
      </c>
      <c r="D622">
        <v>52</v>
      </c>
    </row>
    <row r="623" spans="1:4" x14ac:dyDescent="0.25">
      <c r="A623" t="s">
        <v>308</v>
      </c>
      <c r="B623">
        <v>21</v>
      </c>
      <c r="C623">
        <v>4.9315068493150684E-2</v>
      </c>
      <c r="D623">
        <v>19</v>
      </c>
    </row>
    <row r="624" spans="1:4" x14ac:dyDescent="0.25">
      <c r="A624" t="s">
        <v>190</v>
      </c>
      <c r="B624">
        <v>21</v>
      </c>
      <c r="C624">
        <v>1.643835616438356E-2</v>
      </c>
      <c r="D624">
        <v>6</v>
      </c>
    </row>
    <row r="625" spans="1:4" x14ac:dyDescent="0.25">
      <c r="A625" t="s">
        <v>72</v>
      </c>
      <c r="B625">
        <v>22</v>
      </c>
      <c r="C625">
        <v>5.2054794520547946E-2</v>
      </c>
      <c r="D625">
        <v>21</v>
      </c>
    </row>
    <row r="626" spans="1:4" x14ac:dyDescent="0.25">
      <c r="A626" t="s">
        <v>28</v>
      </c>
      <c r="B626">
        <v>23</v>
      </c>
      <c r="C626">
        <v>6.3013698630136991E-2</v>
      </c>
      <c r="D626">
        <v>23</v>
      </c>
    </row>
    <row r="627" spans="1:4" x14ac:dyDescent="0.25">
      <c r="A627" t="s">
        <v>62</v>
      </c>
      <c r="B627">
        <v>0</v>
      </c>
      <c r="C627">
        <v>9.8630136986301367E-2</v>
      </c>
      <c r="D627">
        <v>41</v>
      </c>
    </row>
    <row r="628" spans="1:4" x14ac:dyDescent="0.25">
      <c r="A628" t="s">
        <v>19</v>
      </c>
      <c r="B628">
        <v>8</v>
      </c>
      <c r="C628">
        <v>6.8493150684931503E-2</v>
      </c>
      <c r="D628">
        <v>29</v>
      </c>
    </row>
    <row r="629" spans="1:4" x14ac:dyDescent="0.25">
      <c r="A629" t="s">
        <v>393</v>
      </c>
      <c r="B629">
        <v>8</v>
      </c>
      <c r="C629">
        <v>0.16438356164383561</v>
      </c>
      <c r="D629">
        <v>77</v>
      </c>
    </row>
    <row r="630" spans="1:4" x14ac:dyDescent="0.25">
      <c r="A630" t="s">
        <v>19</v>
      </c>
      <c r="B630">
        <v>9</v>
      </c>
      <c r="C630">
        <v>0.15342465753424658</v>
      </c>
      <c r="D630">
        <v>65</v>
      </c>
    </row>
    <row r="631" spans="1:4" x14ac:dyDescent="0.25">
      <c r="A631" t="s">
        <v>67</v>
      </c>
      <c r="B631">
        <v>10</v>
      </c>
      <c r="C631">
        <v>0.11780821917808219</v>
      </c>
      <c r="D631">
        <v>47</v>
      </c>
    </row>
    <row r="632" spans="1:4" x14ac:dyDescent="0.25">
      <c r="A632" t="s">
        <v>66</v>
      </c>
      <c r="B632">
        <v>11</v>
      </c>
      <c r="C632">
        <v>0.11506849315068493</v>
      </c>
      <c r="D632">
        <v>54</v>
      </c>
    </row>
    <row r="633" spans="1:4" x14ac:dyDescent="0.25">
      <c r="A633" t="s">
        <v>309</v>
      </c>
      <c r="B633">
        <v>11</v>
      </c>
      <c r="C633">
        <v>1.3698630136986301E-2</v>
      </c>
      <c r="D633">
        <v>5</v>
      </c>
    </row>
    <row r="634" spans="1:4" x14ac:dyDescent="0.25">
      <c r="A634" t="s">
        <v>37</v>
      </c>
      <c r="B634">
        <v>13</v>
      </c>
      <c r="C634">
        <v>5.7534246575342465E-2</v>
      </c>
      <c r="D634">
        <v>21</v>
      </c>
    </row>
    <row r="635" spans="1:4" x14ac:dyDescent="0.25">
      <c r="A635" t="s">
        <v>58</v>
      </c>
      <c r="B635">
        <v>13</v>
      </c>
      <c r="C635">
        <v>0.12328767123287671</v>
      </c>
      <c r="D635">
        <v>58</v>
      </c>
    </row>
    <row r="636" spans="1:4" x14ac:dyDescent="0.25">
      <c r="A636" t="s">
        <v>74</v>
      </c>
      <c r="B636">
        <v>14</v>
      </c>
      <c r="C636">
        <v>9.5890410958904104E-2</v>
      </c>
      <c r="D636">
        <v>36</v>
      </c>
    </row>
    <row r="637" spans="1:4" x14ac:dyDescent="0.25">
      <c r="A637" t="s">
        <v>19</v>
      </c>
      <c r="B637">
        <v>15</v>
      </c>
      <c r="C637">
        <v>8.7671232876712329E-2</v>
      </c>
      <c r="D637">
        <v>36</v>
      </c>
    </row>
    <row r="638" spans="1:4" x14ac:dyDescent="0.25">
      <c r="A638" t="s">
        <v>72</v>
      </c>
      <c r="B638">
        <v>15</v>
      </c>
      <c r="C638">
        <v>5.2054794520547946E-2</v>
      </c>
      <c r="D638">
        <v>21</v>
      </c>
    </row>
    <row r="639" spans="1:4" x14ac:dyDescent="0.25">
      <c r="A639" t="s">
        <v>28</v>
      </c>
      <c r="B639">
        <v>16</v>
      </c>
      <c r="C639">
        <v>0.10136986301369863</v>
      </c>
      <c r="D639">
        <v>42</v>
      </c>
    </row>
    <row r="640" spans="1:4" x14ac:dyDescent="0.25">
      <c r="A640" t="s">
        <v>76</v>
      </c>
      <c r="B640">
        <v>16</v>
      </c>
      <c r="C640">
        <v>4.3835616438356165E-2</v>
      </c>
      <c r="D640">
        <v>17</v>
      </c>
    </row>
    <row r="641" spans="1:4" x14ac:dyDescent="0.25">
      <c r="A641" t="s">
        <v>288</v>
      </c>
      <c r="B641">
        <v>18</v>
      </c>
      <c r="C641">
        <v>4.1095890410958902E-2</v>
      </c>
      <c r="D641">
        <v>15</v>
      </c>
    </row>
    <row r="642" spans="1:4" x14ac:dyDescent="0.25">
      <c r="A642" t="s">
        <v>72</v>
      </c>
      <c r="B642">
        <v>19</v>
      </c>
      <c r="C642">
        <v>0.12328767123287671</v>
      </c>
      <c r="D642">
        <v>51</v>
      </c>
    </row>
    <row r="643" spans="1:4" x14ac:dyDescent="0.25">
      <c r="A643" t="s">
        <v>393</v>
      </c>
      <c r="B643">
        <v>19</v>
      </c>
      <c r="C643">
        <v>0.16986301369863013</v>
      </c>
      <c r="D643">
        <v>76</v>
      </c>
    </row>
    <row r="644" spans="1:4" x14ac:dyDescent="0.25">
      <c r="A644" t="s">
        <v>75</v>
      </c>
      <c r="B644">
        <v>20</v>
      </c>
      <c r="C644">
        <v>4.1095890410958902E-2</v>
      </c>
      <c r="D644">
        <v>19</v>
      </c>
    </row>
    <row r="645" spans="1:4" x14ac:dyDescent="0.25">
      <c r="A645" t="s">
        <v>190</v>
      </c>
      <c r="B645">
        <v>23</v>
      </c>
      <c r="C645">
        <v>1.0958904109589041E-2</v>
      </c>
      <c r="D645">
        <v>4</v>
      </c>
    </row>
    <row r="646" spans="1:4" x14ac:dyDescent="0.25">
      <c r="A646" t="s">
        <v>21</v>
      </c>
      <c r="B646">
        <v>0</v>
      </c>
      <c r="C646">
        <v>2.4657534246575342E-2</v>
      </c>
      <c r="D646">
        <v>9</v>
      </c>
    </row>
    <row r="647" spans="1:4" x14ac:dyDescent="0.25">
      <c r="A647" t="s">
        <v>61</v>
      </c>
      <c r="B647">
        <v>1</v>
      </c>
      <c r="C647">
        <v>4.1095890410958902E-2</v>
      </c>
      <c r="D647">
        <v>16</v>
      </c>
    </row>
    <row r="648" spans="1:4" x14ac:dyDescent="0.25">
      <c r="A648" t="s">
        <v>62</v>
      </c>
      <c r="B648">
        <v>2</v>
      </c>
      <c r="C648">
        <v>1.9178082191780823E-2</v>
      </c>
      <c r="D648">
        <v>9</v>
      </c>
    </row>
    <row r="649" spans="1:4" x14ac:dyDescent="0.25">
      <c r="A649" t="s">
        <v>17</v>
      </c>
      <c r="B649">
        <v>2</v>
      </c>
      <c r="C649">
        <v>4.9315068493150684E-2</v>
      </c>
      <c r="D649">
        <v>20</v>
      </c>
    </row>
    <row r="650" spans="1:4" x14ac:dyDescent="0.25">
      <c r="A650" t="s">
        <v>19</v>
      </c>
      <c r="B650">
        <v>2</v>
      </c>
      <c r="C650">
        <v>3.8356164383561646E-2</v>
      </c>
      <c r="D650">
        <v>18</v>
      </c>
    </row>
    <row r="651" spans="1:4" x14ac:dyDescent="0.25">
      <c r="A651" t="s">
        <v>26</v>
      </c>
      <c r="B651">
        <v>4</v>
      </c>
      <c r="C651">
        <v>1.643835616438356E-2</v>
      </c>
      <c r="D651">
        <v>6</v>
      </c>
    </row>
    <row r="652" spans="1:4" x14ac:dyDescent="0.25">
      <c r="A652" t="s">
        <v>62</v>
      </c>
      <c r="B652">
        <v>6</v>
      </c>
      <c r="C652">
        <v>3.0136986301369864E-2</v>
      </c>
      <c r="D652">
        <v>13</v>
      </c>
    </row>
    <row r="653" spans="1:4" x14ac:dyDescent="0.25">
      <c r="A653" t="s">
        <v>63</v>
      </c>
      <c r="B653">
        <v>8</v>
      </c>
      <c r="C653">
        <v>6.3013698630136991E-2</v>
      </c>
      <c r="D653">
        <v>27</v>
      </c>
    </row>
    <row r="654" spans="1:4" x14ac:dyDescent="0.25">
      <c r="A654" t="s">
        <v>79</v>
      </c>
      <c r="B654">
        <v>9</v>
      </c>
      <c r="C654">
        <v>1.643835616438356E-2</v>
      </c>
      <c r="D654">
        <v>6</v>
      </c>
    </row>
    <row r="655" spans="1:4" x14ac:dyDescent="0.25">
      <c r="A655" t="s">
        <v>188</v>
      </c>
      <c r="B655">
        <v>10</v>
      </c>
      <c r="C655">
        <v>0.14520547945205478</v>
      </c>
      <c r="D655">
        <v>58</v>
      </c>
    </row>
    <row r="656" spans="1:4" x14ac:dyDescent="0.25">
      <c r="A656" t="s">
        <v>32</v>
      </c>
      <c r="B656">
        <v>10</v>
      </c>
      <c r="C656">
        <v>3.5616438356164383E-2</v>
      </c>
      <c r="D656">
        <v>14</v>
      </c>
    </row>
    <row r="657" spans="1:4" x14ac:dyDescent="0.25">
      <c r="A657" t="s">
        <v>74</v>
      </c>
      <c r="B657">
        <v>12</v>
      </c>
      <c r="C657">
        <v>6.8493150684931503E-2</v>
      </c>
      <c r="D657">
        <v>26</v>
      </c>
    </row>
    <row r="658" spans="1:4" x14ac:dyDescent="0.25">
      <c r="A658" t="s">
        <v>21</v>
      </c>
      <c r="B658">
        <v>13</v>
      </c>
      <c r="C658">
        <v>3.5616438356164383E-2</v>
      </c>
      <c r="D658">
        <v>17</v>
      </c>
    </row>
    <row r="659" spans="1:4" x14ac:dyDescent="0.25">
      <c r="A659" t="s">
        <v>312</v>
      </c>
      <c r="B659">
        <v>14</v>
      </c>
      <c r="C659">
        <v>7.3972602739726029E-2</v>
      </c>
      <c r="D659">
        <v>29</v>
      </c>
    </row>
    <row r="660" spans="1:4" x14ac:dyDescent="0.25">
      <c r="A660" t="s">
        <v>310</v>
      </c>
      <c r="B660">
        <v>16</v>
      </c>
      <c r="C660">
        <v>3.287671232876712E-2</v>
      </c>
      <c r="D660">
        <v>12</v>
      </c>
    </row>
    <row r="661" spans="1:4" x14ac:dyDescent="0.25">
      <c r="A661" t="s">
        <v>320</v>
      </c>
      <c r="B661">
        <v>19</v>
      </c>
      <c r="C661">
        <v>4.9315068493150684E-2</v>
      </c>
      <c r="D661">
        <v>19</v>
      </c>
    </row>
    <row r="662" spans="1:4" x14ac:dyDescent="0.25">
      <c r="A662" t="s">
        <v>187</v>
      </c>
      <c r="B662">
        <v>19</v>
      </c>
      <c r="C662">
        <v>0.12876712328767123</v>
      </c>
      <c r="D662">
        <v>50</v>
      </c>
    </row>
    <row r="663" spans="1:4" x14ac:dyDescent="0.25">
      <c r="A663" t="s">
        <v>64</v>
      </c>
      <c r="B663">
        <v>6</v>
      </c>
      <c r="C663">
        <v>3.8356164383561646E-2</v>
      </c>
      <c r="D663">
        <v>14</v>
      </c>
    </row>
    <row r="664" spans="1:4" x14ac:dyDescent="0.25">
      <c r="A664" t="s">
        <v>67</v>
      </c>
      <c r="B664">
        <v>6</v>
      </c>
      <c r="C664">
        <v>5.4794520547945202E-2</v>
      </c>
      <c r="D664">
        <v>20</v>
      </c>
    </row>
    <row r="665" spans="1:4" x14ac:dyDescent="0.25">
      <c r="A665" t="s">
        <v>189</v>
      </c>
      <c r="B665">
        <v>6</v>
      </c>
      <c r="C665">
        <v>3.5616438356164383E-2</v>
      </c>
      <c r="D665">
        <v>15</v>
      </c>
    </row>
    <row r="666" spans="1:4" x14ac:dyDescent="0.25">
      <c r="A666" t="s">
        <v>75</v>
      </c>
      <c r="B666">
        <v>6</v>
      </c>
      <c r="C666">
        <v>2.1917808219178082E-2</v>
      </c>
      <c r="D666">
        <v>8</v>
      </c>
    </row>
    <row r="667" spans="1:4" x14ac:dyDescent="0.25">
      <c r="A667" t="s">
        <v>58</v>
      </c>
      <c r="B667">
        <v>6</v>
      </c>
      <c r="C667">
        <v>8.4931506849315067E-2</v>
      </c>
      <c r="D667">
        <v>33</v>
      </c>
    </row>
    <row r="668" spans="1:4" x14ac:dyDescent="0.25">
      <c r="A668" t="s">
        <v>185</v>
      </c>
      <c r="B668">
        <v>7</v>
      </c>
      <c r="C668">
        <v>0.16712328767123288</v>
      </c>
      <c r="D668">
        <v>71</v>
      </c>
    </row>
    <row r="669" spans="1:4" x14ac:dyDescent="0.25">
      <c r="A669" t="s">
        <v>75</v>
      </c>
      <c r="B669">
        <v>7</v>
      </c>
      <c r="C669">
        <v>3.5616438356164383E-2</v>
      </c>
      <c r="D669">
        <v>13</v>
      </c>
    </row>
    <row r="670" spans="1:4" x14ac:dyDescent="0.25">
      <c r="A670" t="s">
        <v>64</v>
      </c>
      <c r="B670">
        <v>8</v>
      </c>
      <c r="C670">
        <v>0.14520547945205478</v>
      </c>
      <c r="D670">
        <v>62</v>
      </c>
    </row>
    <row r="671" spans="1:4" x14ac:dyDescent="0.25">
      <c r="A671" t="s">
        <v>319</v>
      </c>
      <c r="B671">
        <v>9</v>
      </c>
      <c r="C671">
        <v>2.1917808219178082E-2</v>
      </c>
      <c r="D671">
        <v>8</v>
      </c>
    </row>
    <row r="672" spans="1:4" x14ac:dyDescent="0.25">
      <c r="A672" t="s">
        <v>62</v>
      </c>
      <c r="B672">
        <v>9</v>
      </c>
      <c r="C672">
        <v>0.11506849315068493</v>
      </c>
      <c r="D672">
        <v>54</v>
      </c>
    </row>
    <row r="673" spans="1:4" x14ac:dyDescent="0.25">
      <c r="A673" t="s">
        <v>75</v>
      </c>
      <c r="B673">
        <v>9</v>
      </c>
      <c r="C673">
        <v>4.6575342465753428E-2</v>
      </c>
      <c r="D673">
        <v>18</v>
      </c>
    </row>
    <row r="674" spans="1:4" x14ac:dyDescent="0.25">
      <c r="A674" t="s">
        <v>188</v>
      </c>
      <c r="B674">
        <v>11</v>
      </c>
      <c r="C674">
        <v>9.0410958904109592E-2</v>
      </c>
      <c r="D674">
        <v>40</v>
      </c>
    </row>
    <row r="675" spans="1:4" x14ac:dyDescent="0.25">
      <c r="A675" t="s">
        <v>63</v>
      </c>
      <c r="B675">
        <v>11</v>
      </c>
      <c r="C675">
        <v>0.17260273972602741</v>
      </c>
      <c r="D675">
        <v>71</v>
      </c>
    </row>
    <row r="676" spans="1:4" x14ac:dyDescent="0.25">
      <c r="A676" t="s">
        <v>187</v>
      </c>
      <c r="B676">
        <v>12</v>
      </c>
      <c r="C676">
        <v>0.15890410958904111</v>
      </c>
      <c r="D676">
        <v>65</v>
      </c>
    </row>
    <row r="677" spans="1:4" x14ac:dyDescent="0.25">
      <c r="A677" t="s">
        <v>68</v>
      </c>
      <c r="B677">
        <v>12</v>
      </c>
      <c r="C677">
        <v>0.10136986301369863</v>
      </c>
      <c r="D677">
        <v>37</v>
      </c>
    </row>
    <row r="678" spans="1:4" x14ac:dyDescent="0.25">
      <c r="A678" t="s">
        <v>312</v>
      </c>
      <c r="B678">
        <v>15</v>
      </c>
      <c r="C678">
        <v>4.1095890410958902E-2</v>
      </c>
      <c r="D678">
        <v>20</v>
      </c>
    </row>
    <row r="679" spans="1:4" x14ac:dyDescent="0.25">
      <c r="A679" t="s">
        <v>296</v>
      </c>
      <c r="B679">
        <v>15</v>
      </c>
      <c r="C679">
        <v>9.3150684931506855E-2</v>
      </c>
      <c r="D679">
        <v>38</v>
      </c>
    </row>
    <row r="680" spans="1:4" x14ac:dyDescent="0.25">
      <c r="A680" t="s">
        <v>56</v>
      </c>
      <c r="B680">
        <v>16</v>
      </c>
      <c r="C680">
        <v>0.24383561643835616</v>
      </c>
      <c r="D680">
        <v>109</v>
      </c>
    </row>
    <row r="681" spans="1:4" x14ac:dyDescent="0.25">
      <c r="A681" t="s">
        <v>319</v>
      </c>
      <c r="B681">
        <v>18</v>
      </c>
      <c r="C681">
        <v>1.643835616438356E-2</v>
      </c>
      <c r="D681">
        <v>6</v>
      </c>
    </row>
    <row r="682" spans="1:4" x14ac:dyDescent="0.25">
      <c r="A682" t="s">
        <v>286</v>
      </c>
      <c r="B682">
        <v>20</v>
      </c>
      <c r="C682">
        <v>1.9178082191780823E-2</v>
      </c>
      <c r="D682">
        <v>7</v>
      </c>
    </row>
    <row r="683" spans="1:4" x14ac:dyDescent="0.25">
      <c r="A683" t="s">
        <v>288</v>
      </c>
      <c r="B683">
        <v>20</v>
      </c>
      <c r="C683">
        <v>3.5616438356164383E-2</v>
      </c>
      <c r="D683">
        <v>13</v>
      </c>
    </row>
    <row r="684" spans="1:4" x14ac:dyDescent="0.25">
      <c r="A684" t="s">
        <v>189</v>
      </c>
      <c r="B684">
        <v>21</v>
      </c>
      <c r="C684">
        <v>6.8493150684931503E-2</v>
      </c>
      <c r="D684">
        <v>28</v>
      </c>
    </row>
    <row r="685" spans="1:4" x14ac:dyDescent="0.25">
      <c r="A685" t="s">
        <v>65</v>
      </c>
      <c r="B685">
        <v>21</v>
      </c>
      <c r="C685">
        <v>0.11780821917808219</v>
      </c>
      <c r="D685">
        <v>46</v>
      </c>
    </row>
    <row r="686" spans="1:4" x14ac:dyDescent="0.25">
      <c r="A686" t="s">
        <v>188</v>
      </c>
      <c r="B686">
        <v>21</v>
      </c>
      <c r="C686">
        <v>7.3972602739726029E-2</v>
      </c>
      <c r="D686">
        <v>28</v>
      </c>
    </row>
    <row r="687" spans="1:4" x14ac:dyDescent="0.25">
      <c r="A687" t="s">
        <v>75</v>
      </c>
      <c r="B687">
        <v>22</v>
      </c>
      <c r="C687">
        <v>6.3013698630136991E-2</v>
      </c>
      <c r="D687">
        <v>23</v>
      </c>
    </row>
    <row r="688" spans="1:4" x14ac:dyDescent="0.25">
      <c r="A688" t="s">
        <v>17</v>
      </c>
      <c r="B688">
        <v>23</v>
      </c>
      <c r="C688">
        <v>6.8493150684931503E-2</v>
      </c>
      <c r="D688">
        <v>29</v>
      </c>
    </row>
    <row r="689" spans="1:4" x14ac:dyDescent="0.25">
      <c r="A689" t="s">
        <v>71</v>
      </c>
      <c r="B689">
        <v>23</v>
      </c>
      <c r="C689">
        <v>2.4657534246575342E-2</v>
      </c>
      <c r="D689">
        <v>10</v>
      </c>
    </row>
    <row r="690" spans="1:4" x14ac:dyDescent="0.25">
      <c r="A690" t="s">
        <v>36</v>
      </c>
      <c r="B690">
        <v>0</v>
      </c>
      <c r="C690">
        <v>4.1095890410958902E-2</v>
      </c>
      <c r="D690">
        <v>17</v>
      </c>
    </row>
    <row r="691" spans="1:4" x14ac:dyDescent="0.25">
      <c r="A691" t="s">
        <v>67</v>
      </c>
      <c r="B691">
        <v>5</v>
      </c>
      <c r="C691">
        <v>3.8356164383561646E-2</v>
      </c>
      <c r="D691">
        <v>14</v>
      </c>
    </row>
    <row r="692" spans="1:4" x14ac:dyDescent="0.25">
      <c r="A692" t="s">
        <v>190</v>
      </c>
      <c r="B692">
        <v>9</v>
      </c>
      <c r="C692">
        <v>3.5616438356164383E-2</v>
      </c>
      <c r="D692">
        <v>13</v>
      </c>
    </row>
    <row r="693" spans="1:4" x14ac:dyDescent="0.25">
      <c r="A693" t="s">
        <v>38</v>
      </c>
      <c r="B693">
        <v>9</v>
      </c>
      <c r="C693">
        <v>8.21917808219178E-3</v>
      </c>
      <c r="D693">
        <v>3</v>
      </c>
    </row>
    <row r="694" spans="1:4" x14ac:dyDescent="0.25">
      <c r="A694" t="s">
        <v>36</v>
      </c>
      <c r="B694">
        <v>11</v>
      </c>
      <c r="C694">
        <v>8.2191780821917804E-2</v>
      </c>
      <c r="D694">
        <v>42</v>
      </c>
    </row>
    <row r="695" spans="1:4" x14ac:dyDescent="0.25">
      <c r="A695" t="s">
        <v>21</v>
      </c>
      <c r="B695">
        <v>11</v>
      </c>
      <c r="C695">
        <v>4.6575342465753428E-2</v>
      </c>
      <c r="D695">
        <v>23</v>
      </c>
    </row>
    <row r="696" spans="1:4" x14ac:dyDescent="0.25">
      <c r="A696" t="s">
        <v>38</v>
      </c>
      <c r="B696">
        <v>11</v>
      </c>
      <c r="C696">
        <v>1.0958904109589041E-2</v>
      </c>
      <c r="D696">
        <v>4</v>
      </c>
    </row>
    <row r="697" spans="1:4" x14ac:dyDescent="0.25">
      <c r="A697" t="s">
        <v>65</v>
      </c>
      <c r="B697">
        <v>12</v>
      </c>
      <c r="C697">
        <v>5.4794520547945202E-2</v>
      </c>
      <c r="D697">
        <v>24</v>
      </c>
    </row>
    <row r="698" spans="1:4" x14ac:dyDescent="0.25">
      <c r="A698" t="s">
        <v>26</v>
      </c>
      <c r="B698">
        <v>13</v>
      </c>
      <c r="C698">
        <v>0.12602739726027398</v>
      </c>
      <c r="D698">
        <v>52</v>
      </c>
    </row>
    <row r="699" spans="1:4" x14ac:dyDescent="0.25">
      <c r="A699" t="s">
        <v>19</v>
      </c>
      <c r="B699">
        <v>13</v>
      </c>
      <c r="C699">
        <v>8.2191780821917804E-2</v>
      </c>
      <c r="D699">
        <v>42</v>
      </c>
    </row>
    <row r="700" spans="1:4" x14ac:dyDescent="0.25">
      <c r="A700" t="s">
        <v>189</v>
      </c>
      <c r="B700">
        <v>14</v>
      </c>
      <c r="C700">
        <v>0.13698630136986301</v>
      </c>
      <c r="D700">
        <v>61</v>
      </c>
    </row>
    <row r="701" spans="1:4" x14ac:dyDescent="0.25">
      <c r="A701" t="s">
        <v>26</v>
      </c>
      <c r="B701">
        <v>14</v>
      </c>
      <c r="C701">
        <v>0.13972602739726028</v>
      </c>
      <c r="D701">
        <v>56</v>
      </c>
    </row>
    <row r="702" spans="1:4" x14ac:dyDescent="0.25">
      <c r="A702" t="s">
        <v>66</v>
      </c>
      <c r="B702">
        <v>15</v>
      </c>
      <c r="C702">
        <v>0.11506849315068493</v>
      </c>
      <c r="D702">
        <v>50</v>
      </c>
    </row>
    <row r="703" spans="1:4" x14ac:dyDescent="0.25">
      <c r="A703" t="s">
        <v>79</v>
      </c>
      <c r="B703">
        <v>16</v>
      </c>
      <c r="C703">
        <v>2.1917808219178082E-2</v>
      </c>
      <c r="D703">
        <v>9</v>
      </c>
    </row>
    <row r="704" spans="1:4" x14ac:dyDescent="0.25">
      <c r="A704" t="s">
        <v>186</v>
      </c>
      <c r="B704">
        <v>17</v>
      </c>
      <c r="C704">
        <v>0.14246575342465753</v>
      </c>
      <c r="D704">
        <v>58</v>
      </c>
    </row>
    <row r="705" spans="1:4" x14ac:dyDescent="0.25">
      <c r="A705" t="s">
        <v>65</v>
      </c>
      <c r="B705">
        <v>19</v>
      </c>
      <c r="C705">
        <v>0.15616438356164383</v>
      </c>
      <c r="D705">
        <v>79</v>
      </c>
    </row>
    <row r="706" spans="1:4" x14ac:dyDescent="0.25">
      <c r="A706" t="s">
        <v>63</v>
      </c>
      <c r="B706">
        <v>19</v>
      </c>
      <c r="C706">
        <v>0.18630136986301371</v>
      </c>
      <c r="D706">
        <v>71</v>
      </c>
    </row>
    <row r="707" spans="1:4" x14ac:dyDescent="0.25">
      <c r="A707" t="s">
        <v>65</v>
      </c>
      <c r="B707">
        <v>20</v>
      </c>
      <c r="C707">
        <v>6.3013698630136991E-2</v>
      </c>
      <c r="D707">
        <v>28</v>
      </c>
    </row>
    <row r="708" spans="1:4" x14ac:dyDescent="0.25">
      <c r="A708" t="s">
        <v>190</v>
      </c>
      <c r="B708">
        <v>20</v>
      </c>
      <c r="C708">
        <v>1.9178082191780823E-2</v>
      </c>
      <c r="D708">
        <v>7</v>
      </c>
    </row>
    <row r="709" spans="1:4" x14ac:dyDescent="0.25">
      <c r="A709" t="s">
        <v>32</v>
      </c>
      <c r="B709">
        <v>21</v>
      </c>
      <c r="C709">
        <v>1.0958904109589041E-2</v>
      </c>
      <c r="D709">
        <v>4</v>
      </c>
    </row>
    <row r="710" spans="1:4" x14ac:dyDescent="0.25">
      <c r="A710" t="s">
        <v>36</v>
      </c>
      <c r="B710">
        <v>22</v>
      </c>
      <c r="C710">
        <v>6.575342465753424E-2</v>
      </c>
      <c r="D710">
        <v>29</v>
      </c>
    </row>
    <row r="711" spans="1:4" x14ac:dyDescent="0.25">
      <c r="A711" t="s">
        <v>58</v>
      </c>
      <c r="B711">
        <v>22</v>
      </c>
      <c r="C711">
        <v>0.12602739726027398</v>
      </c>
      <c r="D711">
        <v>53</v>
      </c>
    </row>
    <row r="712" spans="1:4" x14ac:dyDescent="0.25">
      <c r="A712" t="s">
        <v>63</v>
      </c>
      <c r="B712">
        <v>0</v>
      </c>
      <c r="C712">
        <v>4.1095890410958902E-2</v>
      </c>
      <c r="D712">
        <v>15</v>
      </c>
    </row>
    <row r="713" spans="1:4" x14ac:dyDescent="0.25">
      <c r="A713" t="s">
        <v>65</v>
      </c>
      <c r="B713">
        <v>1</v>
      </c>
      <c r="C713">
        <v>1.3698630136986301E-2</v>
      </c>
      <c r="D713">
        <v>5</v>
      </c>
    </row>
    <row r="714" spans="1:4" x14ac:dyDescent="0.25">
      <c r="A714" t="s">
        <v>70</v>
      </c>
      <c r="B714">
        <v>1</v>
      </c>
      <c r="C714">
        <v>3.0136986301369864E-2</v>
      </c>
      <c r="D714">
        <v>11</v>
      </c>
    </row>
    <row r="715" spans="1:4" x14ac:dyDescent="0.25">
      <c r="A715" t="s">
        <v>62</v>
      </c>
      <c r="B715">
        <v>4</v>
      </c>
      <c r="C715">
        <v>8.21917808219178E-3</v>
      </c>
      <c r="D715">
        <v>3</v>
      </c>
    </row>
    <row r="716" spans="1:4" x14ac:dyDescent="0.25">
      <c r="A716" t="s">
        <v>185</v>
      </c>
      <c r="B716">
        <v>4</v>
      </c>
      <c r="C716">
        <v>5.4794520547945202E-2</v>
      </c>
      <c r="D716">
        <v>22</v>
      </c>
    </row>
    <row r="717" spans="1:4" x14ac:dyDescent="0.25">
      <c r="A717" t="s">
        <v>65</v>
      </c>
      <c r="B717">
        <v>4</v>
      </c>
      <c r="C717">
        <v>5.4794520547945206E-3</v>
      </c>
      <c r="D717">
        <v>3</v>
      </c>
    </row>
    <row r="718" spans="1:4" x14ac:dyDescent="0.25">
      <c r="A718" t="s">
        <v>310</v>
      </c>
      <c r="B718">
        <v>10</v>
      </c>
      <c r="C718">
        <v>5.2054794520547946E-2</v>
      </c>
      <c r="D718">
        <v>19</v>
      </c>
    </row>
    <row r="719" spans="1:4" x14ac:dyDescent="0.25">
      <c r="A719" t="s">
        <v>19</v>
      </c>
      <c r="B719">
        <v>11</v>
      </c>
      <c r="C719">
        <v>9.8630136986301367E-2</v>
      </c>
      <c r="D719">
        <v>45</v>
      </c>
    </row>
    <row r="720" spans="1:4" x14ac:dyDescent="0.25">
      <c r="A720" t="s">
        <v>289</v>
      </c>
      <c r="B720">
        <v>11</v>
      </c>
      <c r="C720">
        <v>2.7397260273972601E-2</v>
      </c>
      <c r="D720">
        <v>11</v>
      </c>
    </row>
    <row r="721" spans="1:4" x14ac:dyDescent="0.25">
      <c r="A721" t="s">
        <v>79</v>
      </c>
      <c r="B721">
        <v>12</v>
      </c>
      <c r="C721">
        <v>2.1917808219178082E-2</v>
      </c>
      <c r="D721">
        <v>8</v>
      </c>
    </row>
    <row r="722" spans="1:4" x14ac:dyDescent="0.25">
      <c r="A722" t="s">
        <v>65</v>
      </c>
      <c r="B722">
        <v>14</v>
      </c>
      <c r="C722">
        <v>7.9452054794520555E-2</v>
      </c>
      <c r="D722">
        <v>35</v>
      </c>
    </row>
    <row r="723" spans="1:4" x14ac:dyDescent="0.25">
      <c r="A723" t="s">
        <v>64</v>
      </c>
      <c r="B723">
        <v>14</v>
      </c>
      <c r="C723">
        <v>0.12328767123287671</v>
      </c>
      <c r="D723">
        <v>48</v>
      </c>
    </row>
    <row r="724" spans="1:4" x14ac:dyDescent="0.25">
      <c r="A724" t="s">
        <v>77</v>
      </c>
      <c r="B724">
        <v>16</v>
      </c>
      <c r="C724">
        <v>3.5616438356164383E-2</v>
      </c>
      <c r="D724">
        <v>14</v>
      </c>
    </row>
    <row r="725" spans="1:4" x14ac:dyDescent="0.25">
      <c r="A725" t="s">
        <v>64</v>
      </c>
      <c r="B725">
        <v>16</v>
      </c>
      <c r="C725">
        <v>0.15068493150684931</v>
      </c>
      <c r="D725">
        <v>65</v>
      </c>
    </row>
    <row r="726" spans="1:4" x14ac:dyDescent="0.25">
      <c r="A726" t="s">
        <v>317</v>
      </c>
      <c r="B726">
        <v>17</v>
      </c>
      <c r="C726">
        <v>0.10410958904109589</v>
      </c>
      <c r="D726">
        <v>45</v>
      </c>
    </row>
    <row r="727" spans="1:4" x14ac:dyDescent="0.25">
      <c r="A727" t="s">
        <v>61</v>
      </c>
      <c r="B727">
        <v>19</v>
      </c>
      <c r="C727">
        <v>0.14794520547945206</v>
      </c>
      <c r="D727">
        <v>66</v>
      </c>
    </row>
    <row r="728" spans="1:4" x14ac:dyDescent="0.25">
      <c r="A728" t="s">
        <v>186</v>
      </c>
      <c r="B728">
        <v>22</v>
      </c>
      <c r="C728">
        <v>3.5616438356164383E-2</v>
      </c>
      <c r="D728">
        <v>14</v>
      </c>
    </row>
    <row r="729" spans="1:4" x14ac:dyDescent="0.25">
      <c r="A729" t="s">
        <v>318</v>
      </c>
      <c r="B729">
        <v>1</v>
      </c>
      <c r="C729">
        <v>8.21917808219178E-3</v>
      </c>
      <c r="D729">
        <v>3</v>
      </c>
    </row>
    <row r="730" spans="1:4" x14ac:dyDescent="0.25">
      <c r="A730" t="s">
        <v>56</v>
      </c>
      <c r="B730">
        <v>3</v>
      </c>
      <c r="C730">
        <v>3.0136986301369864E-2</v>
      </c>
      <c r="D730">
        <v>13</v>
      </c>
    </row>
    <row r="731" spans="1:4" x14ac:dyDescent="0.25">
      <c r="A731" t="s">
        <v>68</v>
      </c>
      <c r="B731">
        <v>5</v>
      </c>
      <c r="C731">
        <v>2.7397260273972601E-2</v>
      </c>
      <c r="D731">
        <v>10</v>
      </c>
    </row>
    <row r="732" spans="1:4" x14ac:dyDescent="0.25">
      <c r="A732" t="s">
        <v>63</v>
      </c>
      <c r="B732">
        <v>6</v>
      </c>
      <c r="C732">
        <v>6.3013698630136991E-2</v>
      </c>
      <c r="D732">
        <v>33</v>
      </c>
    </row>
    <row r="733" spans="1:4" x14ac:dyDescent="0.25">
      <c r="A733" t="s">
        <v>314</v>
      </c>
      <c r="B733">
        <v>6</v>
      </c>
      <c r="C733">
        <v>8.21917808219178E-3</v>
      </c>
      <c r="D733">
        <v>3</v>
      </c>
    </row>
    <row r="734" spans="1:4" x14ac:dyDescent="0.25">
      <c r="A734" t="s">
        <v>74</v>
      </c>
      <c r="B734">
        <v>7</v>
      </c>
      <c r="C734">
        <v>6.3013698630136991E-2</v>
      </c>
      <c r="D734">
        <v>27</v>
      </c>
    </row>
    <row r="735" spans="1:4" x14ac:dyDescent="0.25">
      <c r="A735" t="s">
        <v>37</v>
      </c>
      <c r="B735">
        <v>7</v>
      </c>
      <c r="C735">
        <v>3.287671232876712E-2</v>
      </c>
      <c r="D735">
        <v>13</v>
      </c>
    </row>
    <row r="736" spans="1:4" x14ac:dyDescent="0.25">
      <c r="A736" t="s">
        <v>393</v>
      </c>
      <c r="B736">
        <v>10</v>
      </c>
      <c r="C736">
        <v>0.12054794520547946</v>
      </c>
      <c r="D736">
        <v>55</v>
      </c>
    </row>
    <row r="737" spans="1:4" x14ac:dyDescent="0.25">
      <c r="A737" t="s">
        <v>69</v>
      </c>
      <c r="B737">
        <v>10</v>
      </c>
      <c r="C737">
        <v>0.10684931506849316</v>
      </c>
      <c r="D737">
        <v>43</v>
      </c>
    </row>
    <row r="738" spans="1:4" x14ac:dyDescent="0.25">
      <c r="A738" t="s">
        <v>313</v>
      </c>
      <c r="B738">
        <v>11</v>
      </c>
      <c r="C738">
        <v>3.8356164383561646E-2</v>
      </c>
      <c r="D738">
        <v>14</v>
      </c>
    </row>
    <row r="739" spans="1:4" x14ac:dyDescent="0.25">
      <c r="A739" t="s">
        <v>319</v>
      </c>
      <c r="B739">
        <v>11</v>
      </c>
      <c r="C739">
        <v>1.643835616438356E-2</v>
      </c>
      <c r="D739">
        <v>8</v>
      </c>
    </row>
    <row r="740" spans="1:4" x14ac:dyDescent="0.25">
      <c r="A740" t="s">
        <v>61</v>
      </c>
      <c r="B740">
        <v>12</v>
      </c>
      <c r="C740">
        <v>0.10136986301369863</v>
      </c>
      <c r="D740">
        <v>47</v>
      </c>
    </row>
    <row r="741" spans="1:4" x14ac:dyDescent="0.25">
      <c r="A741" t="s">
        <v>321</v>
      </c>
      <c r="B741">
        <v>13</v>
      </c>
      <c r="C741">
        <v>5.4794520547945202E-2</v>
      </c>
      <c r="D741">
        <v>21</v>
      </c>
    </row>
    <row r="742" spans="1:4" x14ac:dyDescent="0.25">
      <c r="A742" t="s">
        <v>38</v>
      </c>
      <c r="B742">
        <v>18</v>
      </c>
      <c r="C742">
        <v>2.1917808219178082E-2</v>
      </c>
      <c r="D742">
        <v>10</v>
      </c>
    </row>
    <row r="743" spans="1:4" x14ac:dyDescent="0.25">
      <c r="A743" t="s">
        <v>63</v>
      </c>
      <c r="B743">
        <v>21</v>
      </c>
      <c r="C743">
        <v>6.3013698630136991E-2</v>
      </c>
      <c r="D743">
        <v>27</v>
      </c>
    </row>
    <row r="744" spans="1:4" x14ac:dyDescent="0.25">
      <c r="A744" t="s">
        <v>291</v>
      </c>
      <c r="B744">
        <v>22</v>
      </c>
      <c r="C744">
        <v>8.21917808219178E-3</v>
      </c>
      <c r="D744">
        <v>3</v>
      </c>
    </row>
    <row r="745" spans="1:4" x14ac:dyDescent="0.25">
      <c r="A745" t="s">
        <v>286</v>
      </c>
      <c r="B745">
        <v>1</v>
      </c>
      <c r="C745">
        <v>1.0958904109589041E-2</v>
      </c>
      <c r="D745">
        <v>4</v>
      </c>
    </row>
    <row r="746" spans="1:4" x14ac:dyDescent="0.25">
      <c r="A746" t="s">
        <v>64</v>
      </c>
      <c r="B746">
        <v>5</v>
      </c>
      <c r="C746">
        <v>2.4657534246575342E-2</v>
      </c>
      <c r="D746">
        <v>9</v>
      </c>
    </row>
    <row r="747" spans="1:4" x14ac:dyDescent="0.25">
      <c r="A747" t="s">
        <v>320</v>
      </c>
      <c r="B747">
        <v>8</v>
      </c>
      <c r="C747">
        <v>4.9315068493150684E-2</v>
      </c>
      <c r="D747">
        <v>19</v>
      </c>
    </row>
    <row r="748" spans="1:4" x14ac:dyDescent="0.25">
      <c r="A748" t="s">
        <v>70</v>
      </c>
      <c r="B748">
        <v>8</v>
      </c>
      <c r="C748">
        <v>4.6575342465753428E-2</v>
      </c>
      <c r="D748">
        <v>18</v>
      </c>
    </row>
    <row r="749" spans="1:4" x14ac:dyDescent="0.25">
      <c r="A749" t="s">
        <v>321</v>
      </c>
      <c r="B749">
        <v>8</v>
      </c>
      <c r="C749">
        <v>7.3972602739726029E-2</v>
      </c>
      <c r="D749">
        <v>28</v>
      </c>
    </row>
    <row r="750" spans="1:4" x14ac:dyDescent="0.25">
      <c r="A750" t="s">
        <v>37</v>
      </c>
      <c r="B750">
        <v>9</v>
      </c>
      <c r="C750">
        <v>3.5616438356164383E-2</v>
      </c>
      <c r="D750">
        <v>14</v>
      </c>
    </row>
    <row r="751" spans="1:4" x14ac:dyDescent="0.25">
      <c r="A751" t="s">
        <v>28</v>
      </c>
      <c r="B751">
        <v>9</v>
      </c>
      <c r="C751">
        <v>5.7534246575342465E-2</v>
      </c>
      <c r="D751">
        <v>22</v>
      </c>
    </row>
    <row r="752" spans="1:4" x14ac:dyDescent="0.25">
      <c r="A752" t="s">
        <v>319</v>
      </c>
      <c r="B752">
        <v>14</v>
      </c>
      <c r="C752">
        <v>2.1917808219178082E-2</v>
      </c>
      <c r="D752">
        <v>8</v>
      </c>
    </row>
    <row r="753" spans="1:4" x14ac:dyDescent="0.25">
      <c r="A753" t="s">
        <v>321</v>
      </c>
      <c r="B753">
        <v>14</v>
      </c>
      <c r="C753">
        <v>3.287671232876712E-2</v>
      </c>
      <c r="D753">
        <v>13</v>
      </c>
    </row>
    <row r="754" spans="1:4" x14ac:dyDescent="0.25">
      <c r="A754" t="s">
        <v>68</v>
      </c>
      <c r="B754">
        <v>16</v>
      </c>
      <c r="C754">
        <v>0.15890410958904111</v>
      </c>
      <c r="D754">
        <v>70</v>
      </c>
    </row>
    <row r="755" spans="1:4" x14ac:dyDescent="0.25">
      <c r="A755" t="s">
        <v>319</v>
      </c>
      <c r="B755">
        <v>16</v>
      </c>
      <c r="C755">
        <v>1.9178082191780823E-2</v>
      </c>
      <c r="D755">
        <v>7</v>
      </c>
    </row>
    <row r="756" spans="1:4" x14ac:dyDescent="0.25">
      <c r="A756" t="s">
        <v>26</v>
      </c>
      <c r="B756">
        <v>17</v>
      </c>
      <c r="C756">
        <v>0.11506849315068493</v>
      </c>
      <c r="D756">
        <v>50</v>
      </c>
    </row>
    <row r="757" spans="1:4" x14ac:dyDescent="0.25">
      <c r="A757" t="s">
        <v>296</v>
      </c>
      <c r="B757">
        <v>21</v>
      </c>
      <c r="C757">
        <v>4.6575342465753428E-2</v>
      </c>
      <c r="D757">
        <v>18</v>
      </c>
    </row>
    <row r="758" spans="1:4" x14ac:dyDescent="0.25">
      <c r="A758" t="s">
        <v>321</v>
      </c>
      <c r="B758">
        <v>22</v>
      </c>
      <c r="C758">
        <v>8.21917808219178E-3</v>
      </c>
      <c r="D758">
        <v>4</v>
      </c>
    </row>
    <row r="759" spans="1:4" x14ac:dyDescent="0.25">
      <c r="A759" t="s">
        <v>69</v>
      </c>
      <c r="B759">
        <v>23</v>
      </c>
      <c r="C759">
        <v>3.287671232876712E-2</v>
      </c>
      <c r="D759">
        <v>14</v>
      </c>
    </row>
    <row r="760" spans="1:4" x14ac:dyDescent="0.25">
      <c r="A760" t="s">
        <v>67</v>
      </c>
      <c r="B760">
        <v>23</v>
      </c>
      <c r="C760">
        <v>7.6712328767123292E-2</v>
      </c>
      <c r="D760">
        <v>30</v>
      </c>
    </row>
    <row r="761" spans="1:4" x14ac:dyDescent="0.25">
      <c r="A761" t="s">
        <v>321</v>
      </c>
      <c r="B761">
        <v>23</v>
      </c>
      <c r="C761">
        <v>5.4794520547945206E-3</v>
      </c>
      <c r="D761">
        <v>2</v>
      </c>
    </row>
    <row r="762" spans="1:4" x14ac:dyDescent="0.25">
      <c r="A762" t="s">
        <v>321</v>
      </c>
      <c r="B762">
        <v>0</v>
      </c>
      <c r="C762">
        <v>1.9178082191780823E-2</v>
      </c>
      <c r="D762">
        <v>8</v>
      </c>
    </row>
    <row r="763" spans="1:4" x14ac:dyDescent="0.25">
      <c r="A763" t="s">
        <v>66</v>
      </c>
      <c r="B763">
        <v>3</v>
      </c>
      <c r="C763">
        <v>1.3698630136986301E-2</v>
      </c>
      <c r="D763">
        <v>6</v>
      </c>
    </row>
    <row r="764" spans="1:4" x14ac:dyDescent="0.25">
      <c r="A764" t="s">
        <v>188</v>
      </c>
      <c r="B764">
        <v>5</v>
      </c>
      <c r="C764">
        <v>1.643835616438356E-2</v>
      </c>
      <c r="D764">
        <v>6</v>
      </c>
    </row>
    <row r="765" spans="1:4" x14ac:dyDescent="0.25">
      <c r="A765" t="s">
        <v>71</v>
      </c>
      <c r="B765">
        <v>6</v>
      </c>
      <c r="C765">
        <v>3.287671232876712E-2</v>
      </c>
      <c r="D765">
        <v>13</v>
      </c>
    </row>
    <row r="766" spans="1:4" x14ac:dyDescent="0.25">
      <c r="A766" t="s">
        <v>63</v>
      </c>
      <c r="B766">
        <v>10</v>
      </c>
      <c r="C766">
        <v>6.0273972602739728E-2</v>
      </c>
      <c r="D766">
        <v>25</v>
      </c>
    </row>
    <row r="767" spans="1:4" x14ac:dyDescent="0.25">
      <c r="A767" t="s">
        <v>320</v>
      </c>
      <c r="B767">
        <v>10</v>
      </c>
      <c r="C767">
        <v>7.3972602739726029E-2</v>
      </c>
      <c r="D767">
        <v>30</v>
      </c>
    </row>
    <row r="768" spans="1:4" x14ac:dyDescent="0.25">
      <c r="A768" t="s">
        <v>313</v>
      </c>
      <c r="B768">
        <v>13</v>
      </c>
      <c r="C768">
        <v>3.5616438356164383E-2</v>
      </c>
      <c r="D768">
        <v>16</v>
      </c>
    </row>
    <row r="769" spans="1:4" x14ac:dyDescent="0.25">
      <c r="A769" t="s">
        <v>297</v>
      </c>
      <c r="B769">
        <v>14</v>
      </c>
      <c r="C769">
        <v>1.3698630136986301E-2</v>
      </c>
      <c r="D769">
        <v>5</v>
      </c>
    </row>
    <row r="770" spans="1:4" x14ac:dyDescent="0.25">
      <c r="A770" t="s">
        <v>321</v>
      </c>
      <c r="B770">
        <v>17</v>
      </c>
      <c r="C770">
        <v>6.575342465753424E-2</v>
      </c>
      <c r="D770">
        <v>27</v>
      </c>
    </row>
    <row r="771" spans="1:4" x14ac:dyDescent="0.25">
      <c r="A771" t="s">
        <v>312</v>
      </c>
      <c r="B771">
        <v>17</v>
      </c>
      <c r="C771">
        <v>7.1232876712328766E-2</v>
      </c>
      <c r="D771">
        <v>28</v>
      </c>
    </row>
    <row r="772" spans="1:4" x14ac:dyDescent="0.25">
      <c r="A772" t="s">
        <v>189</v>
      </c>
      <c r="B772">
        <v>18</v>
      </c>
      <c r="C772">
        <v>0.11506849315068493</v>
      </c>
      <c r="D772">
        <v>47</v>
      </c>
    </row>
    <row r="773" spans="1:4" x14ac:dyDescent="0.25">
      <c r="A773" t="s">
        <v>297</v>
      </c>
      <c r="B773">
        <v>21</v>
      </c>
      <c r="C773">
        <v>1.643835616438356E-2</v>
      </c>
      <c r="D773">
        <v>6</v>
      </c>
    </row>
    <row r="774" spans="1:4" x14ac:dyDescent="0.25">
      <c r="A774" t="s">
        <v>190</v>
      </c>
      <c r="B774">
        <v>22</v>
      </c>
      <c r="C774">
        <v>1.3698630136986301E-2</v>
      </c>
      <c r="D774">
        <v>5</v>
      </c>
    </row>
    <row r="775" spans="1:4" x14ac:dyDescent="0.25">
      <c r="A775" t="s">
        <v>289</v>
      </c>
      <c r="B775">
        <v>6</v>
      </c>
      <c r="C775">
        <v>5.4794520547945206E-3</v>
      </c>
      <c r="D775">
        <v>2</v>
      </c>
    </row>
    <row r="776" spans="1:4" x14ac:dyDescent="0.25">
      <c r="A776" t="s">
        <v>314</v>
      </c>
      <c r="B776">
        <v>9</v>
      </c>
      <c r="C776">
        <v>6.575342465753424E-2</v>
      </c>
      <c r="D776">
        <v>24</v>
      </c>
    </row>
    <row r="777" spans="1:4" x14ac:dyDescent="0.25">
      <c r="A777" t="s">
        <v>189</v>
      </c>
      <c r="B777">
        <v>9</v>
      </c>
      <c r="C777">
        <v>0.14794520547945206</v>
      </c>
      <c r="D777">
        <v>60</v>
      </c>
    </row>
    <row r="778" spans="1:4" x14ac:dyDescent="0.25">
      <c r="A778" t="s">
        <v>21</v>
      </c>
      <c r="B778">
        <v>9</v>
      </c>
      <c r="C778">
        <v>7.1232876712328766E-2</v>
      </c>
      <c r="D778">
        <v>28</v>
      </c>
    </row>
    <row r="779" spans="1:4" x14ac:dyDescent="0.25">
      <c r="A779" t="s">
        <v>64</v>
      </c>
      <c r="B779">
        <v>9</v>
      </c>
      <c r="C779">
        <v>4.9315068493150684E-2</v>
      </c>
      <c r="D779">
        <v>21</v>
      </c>
    </row>
    <row r="780" spans="1:4" x14ac:dyDescent="0.25">
      <c r="A780" t="s">
        <v>186</v>
      </c>
      <c r="B780">
        <v>10</v>
      </c>
      <c r="C780">
        <v>7.3972602739726029E-2</v>
      </c>
      <c r="D780">
        <v>29</v>
      </c>
    </row>
    <row r="781" spans="1:4" x14ac:dyDescent="0.25">
      <c r="A781" t="s">
        <v>68</v>
      </c>
      <c r="B781">
        <v>10</v>
      </c>
      <c r="C781">
        <v>0.15068493150684931</v>
      </c>
      <c r="D781">
        <v>61</v>
      </c>
    </row>
    <row r="782" spans="1:4" x14ac:dyDescent="0.25">
      <c r="A782" t="s">
        <v>21</v>
      </c>
      <c r="B782">
        <v>10</v>
      </c>
      <c r="C782">
        <v>4.6575342465753428E-2</v>
      </c>
      <c r="D782">
        <v>18</v>
      </c>
    </row>
    <row r="783" spans="1:4" x14ac:dyDescent="0.25">
      <c r="A783" t="s">
        <v>312</v>
      </c>
      <c r="B783">
        <v>12</v>
      </c>
      <c r="C783">
        <v>3.8356164383561646E-2</v>
      </c>
      <c r="D783">
        <v>15</v>
      </c>
    </row>
    <row r="784" spans="1:4" x14ac:dyDescent="0.25">
      <c r="A784" t="s">
        <v>36</v>
      </c>
      <c r="B784">
        <v>14</v>
      </c>
      <c r="C784">
        <v>0.10684931506849316</v>
      </c>
      <c r="D784">
        <v>47</v>
      </c>
    </row>
    <row r="785" spans="1:4" x14ac:dyDescent="0.25">
      <c r="A785" t="s">
        <v>286</v>
      </c>
      <c r="B785">
        <v>14</v>
      </c>
      <c r="C785">
        <v>4.1095890410958902E-2</v>
      </c>
      <c r="D785">
        <v>16</v>
      </c>
    </row>
    <row r="786" spans="1:4" x14ac:dyDescent="0.25">
      <c r="A786" t="s">
        <v>317</v>
      </c>
      <c r="B786">
        <v>15</v>
      </c>
      <c r="C786">
        <v>0.1095890410958904</v>
      </c>
      <c r="D786">
        <v>44</v>
      </c>
    </row>
    <row r="787" spans="1:4" x14ac:dyDescent="0.25">
      <c r="A787" t="s">
        <v>75</v>
      </c>
      <c r="B787">
        <v>17</v>
      </c>
      <c r="C787">
        <v>6.0273972602739728E-2</v>
      </c>
      <c r="D787">
        <v>27</v>
      </c>
    </row>
    <row r="788" spans="1:4" x14ac:dyDescent="0.25">
      <c r="A788" t="s">
        <v>75</v>
      </c>
      <c r="B788">
        <v>18</v>
      </c>
      <c r="C788">
        <v>0.10410958904109589</v>
      </c>
      <c r="D788">
        <v>42</v>
      </c>
    </row>
    <row r="789" spans="1:4" x14ac:dyDescent="0.25">
      <c r="A789" t="s">
        <v>28</v>
      </c>
      <c r="B789">
        <v>19</v>
      </c>
      <c r="C789">
        <v>7.1232876712328766E-2</v>
      </c>
      <c r="D789">
        <v>29</v>
      </c>
    </row>
    <row r="790" spans="1:4" x14ac:dyDescent="0.25">
      <c r="A790" t="s">
        <v>56</v>
      </c>
      <c r="B790">
        <v>21</v>
      </c>
      <c r="C790">
        <v>0.10136986301369863</v>
      </c>
      <c r="D790">
        <v>39</v>
      </c>
    </row>
    <row r="791" spans="1:4" x14ac:dyDescent="0.25">
      <c r="A791" t="s">
        <v>26</v>
      </c>
      <c r="B791">
        <v>22</v>
      </c>
      <c r="C791">
        <v>4.3835616438356165E-2</v>
      </c>
      <c r="D791">
        <v>16</v>
      </c>
    </row>
    <row r="792" spans="1:4" x14ac:dyDescent="0.25">
      <c r="A792" t="s">
        <v>188</v>
      </c>
      <c r="B792">
        <v>6</v>
      </c>
      <c r="C792">
        <v>4.3835616438356165E-2</v>
      </c>
      <c r="D792">
        <v>16</v>
      </c>
    </row>
    <row r="793" spans="1:4" x14ac:dyDescent="0.25">
      <c r="A793" t="s">
        <v>291</v>
      </c>
      <c r="B793">
        <v>9</v>
      </c>
      <c r="C793">
        <v>5.2054794520547946E-2</v>
      </c>
      <c r="D793">
        <v>20</v>
      </c>
    </row>
    <row r="794" spans="1:4" x14ac:dyDescent="0.25">
      <c r="A794" t="s">
        <v>321</v>
      </c>
      <c r="B794">
        <v>11</v>
      </c>
      <c r="C794">
        <v>2.7397260273972601E-2</v>
      </c>
      <c r="D794">
        <v>11</v>
      </c>
    </row>
    <row r="795" spans="1:4" x14ac:dyDescent="0.25">
      <c r="A795" t="s">
        <v>297</v>
      </c>
      <c r="B795">
        <v>12</v>
      </c>
      <c r="C795">
        <v>1.3698630136986301E-2</v>
      </c>
      <c r="D795">
        <v>6</v>
      </c>
    </row>
    <row r="796" spans="1:4" x14ac:dyDescent="0.25">
      <c r="A796" t="s">
        <v>73</v>
      </c>
      <c r="B796">
        <v>12</v>
      </c>
      <c r="C796">
        <v>8.2191780821917804E-2</v>
      </c>
      <c r="D796">
        <v>37</v>
      </c>
    </row>
    <row r="797" spans="1:4" x14ac:dyDescent="0.25">
      <c r="A797" t="s">
        <v>310</v>
      </c>
      <c r="B797">
        <v>13</v>
      </c>
      <c r="C797">
        <v>3.0136986301369864E-2</v>
      </c>
      <c r="D797">
        <v>12</v>
      </c>
    </row>
    <row r="798" spans="1:4" x14ac:dyDescent="0.25">
      <c r="A798" t="s">
        <v>288</v>
      </c>
      <c r="B798">
        <v>14</v>
      </c>
      <c r="C798">
        <v>7.1232876712328766E-2</v>
      </c>
      <c r="D798">
        <v>29</v>
      </c>
    </row>
    <row r="799" spans="1:4" x14ac:dyDescent="0.25">
      <c r="A799" t="s">
        <v>296</v>
      </c>
      <c r="B799">
        <v>14</v>
      </c>
      <c r="C799">
        <v>2.4657534246575342E-2</v>
      </c>
      <c r="D799">
        <v>10</v>
      </c>
    </row>
    <row r="800" spans="1:4" x14ac:dyDescent="0.25">
      <c r="A800" t="s">
        <v>17</v>
      </c>
      <c r="B800">
        <v>15</v>
      </c>
      <c r="C800">
        <v>0.13698630136986301</v>
      </c>
      <c r="D800">
        <v>60</v>
      </c>
    </row>
    <row r="801" spans="1:4" x14ac:dyDescent="0.25">
      <c r="A801" t="s">
        <v>297</v>
      </c>
      <c r="B801">
        <v>16</v>
      </c>
      <c r="C801">
        <v>2.4657534246575342E-2</v>
      </c>
      <c r="D801">
        <v>9</v>
      </c>
    </row>
    <row r="802" spans="1:4" x14ac:dyDescent="0.25">
      <c r="A802" t="s">
        <v>56</v>
      </c>
      <c r="B802">
        <v>17</v>
      </c>
      <c r="C802">
        <v>0.23287671232876711</v>
      </c>
      <c r="D802">
        <v>98</v>
      </c>
    </row>
    <row r="803" spans="1:4" x14ac:dyDescent="0.25">
      <c r="A803" t="s">
        <v>73</v>
      </c>
      <c r="B803">
        <v>17</v>
      </c>
      <c r="C803">
        <v>0.12054794520547946</v>
      </c>
      <c r="D803">
        <v>54</v>
      </c>
    </row>
    <row r="804" spans="1:4" x14ac:dyDescent="0.25">
      <c r="A804" t="s">
        <v>189</v>
      </c>
      <c r="B804">
        <v>20</v>
      </c>
      <c r="C804">
        <v>9.0410958904109592E-2</v>
      </c>
      <c r="D804">
        <v>34</v>
      </c>
    </row>
    <row r="805" spans="1:4" x14ac:dyDescent="0.25">
      <c r="A805" t="s">
        <v>76</v>
      </c>
      <c r="B805">
        <v>21</v>
      </c>
      <c r="C805">
        <v>4.6575342465753428E-2</v>
      </c>
      <c r="D805">
        <v>20</v>
      </c>
    </row>
    <row r="806" spans="1:4" x14ac:dyDescent="0.25">
      <c r="A806" t="s">
        <v>65</v>
      </c>
      <c r="B806">
        <v>23</v>
      </c>
      <c r="C806">
        <v>4.1095890410958902E-2</v>
      </c>
      <c r="D806">
        <v>16</v>
      </c>
    </row>
    <row r="807" spans="1:4" x14ac:dyDescent="0.25">
      <c r="A807" t="s">
        <v>64</v>
      </c>
      <c r="B807">
        <v>3</v>
      </c>
      <c r="C807">
        <v>2.7397260273972601E-2</v>
      </c>
      <c r="D807">
        <v>11</v>
      </c>
    </row>
    <row r="808" spans="1:4" x14ac:dyDescent="0.25">
      <c r="A808" t="s">
        <v>58</v>
      </c>
      <c r="B808">
        <v>4</v>
      </c>
      <c r="C808">
        <v>4.9315068493150684E-2</v>
      </c>
      <c r="D808">
        <v>18</v>
      </c>
    </row>
    <row r="809" spans="1:4" x14ac:dyDescent="0.25">
      <c r="A809" t="s">
        <v>190</v>
      </c>
      <c r="B809">
        <v>5</v>
      </c>
      <c r="C809">
        <v>5.4794520547945206E-3</v>
      </c>
      <c r="D809">
        <v>2</v>
      </c>
    </row>
    <row r="810" spans="1:4" x14ac:dyDescent="0.25">
      <c r="A810" t="s">
        <v>74</v>
      </c>
      <c r="B810">
        <v>11</v>
      </c>
      <c r="C810">
        <v>0.10684931506849316</v>
      </c>
      <c r="D810">
        <v>44</v>
      </c>
    </row>
    <row r="811" spans="1:4" x14ac:dyDescent="0.25">
      <c r="A811" t="s">
        <v>32</v>
      </c>
      <c r="B811">
        <v>12</v>
      </c>
      <c r="C811">
        <v>1.3698630136986301E-2</v>
      </c>
      <c r="D811">
        <v>5</v>
      </c>
    </row>
    <row r="812" spans="1:4" x14ac:dyDescent="0.25">
      <c r="A812" t="s">
        <v>296</v>
      </c>
      <c r="B812">
        <v>16</v>
      </c>
      <c r="C812">
        <v>5.4794520547945202E-2</v>
      </c>
      <c r="D812">
        <v>22</v>
      </c>
    </row>
    <row r="813" spans="1:4" x14ac:dyDescent="0.25">
      <c r="A813" t="s">
        <v>320</v>
      </c>
      <c r="B813">
        <v>17</v>
      </c>
      <c r="C813">
        <v>3.5616438356164383E-2</v>
      </c>
      <c r="D813">
        <v>14</v>
      </c>
    </row>
    <row r="814" spans="1:4" x14ac:dyDescent="0.25">
      <c r="A814" t="s">
        <v>67</v>
      </c>
      <c r="B814">
        <v>18</v>
      </c>
      <c r="C814">
        <v>0.11506849315068493</v>
      </c>
      <c r="D814">
        <v>46</v>
      </c>
    </row>
    <row r="815" spans="1:4" x14ac:dyDescent="0.25">
      <c r="A815" t="s">
        <v>77</v>
      </c>
      <c r="B815">
        <v>20</v>
      </c>
      <c r="C815">
        <v>2.7397260273972601E-2</v>
      </c>
      <c r="D815">
        <v>10</v>
      </c>
    </row>
    <row r="816" spans="1:4" x14ac:dyDescent="0.25">
      <c r="A816" t="s">
        <v>65</v>
      </c>
      <c r="B816">
        <v>22</v>
      </c>
      <c r="C816">
        <v>5.4794520547945202E-2</v>
      </c>
      <c r="D816">
        <v>23</v>
      </c>
    </row>
    <row r="817" spans="1:4" x14ac:dyDescent="0.25">
      <c r="A817" t="s">
        <v>21</v>
      </c>
      <c r="B817">
        <v>22</v>
      </c>
      <c r="C817">
        <v>1.643835616438356E-2</v>
      </c>
      <c r="D817">
        <v>8</v>
      </c>
    </row>
    <row r="818" spans="1:4" x14ac:dyDescent="0.25">
      <c r="A818" t="s">
        <v>61</v>
      </c>
      <c r="B818">
        <v>22</v>
      </c>
      <c r="C818">
        <v>5.2054794520547946E-2</v>
      </c>
      <c r="D818">
        <v>21</v>
      </c>
    </row>
    <row r="819" spans="1:4" x14ac:dyDescent="0.25">
      <c r="A819" t="s">
        <v>68</v>
      </c>
      <c r="B819">
        <v>23</v>
      </c>
      <c r="C819">
        <v>5.2054794520547946E-2</v>
      </c>
      <c r="D819">
        <v>25</v>
      </c>
    </row>
    <row r="820" spans="1:4" x14ac:dyDescent="0.25">
      <c r="A820" t="s">
        <v>308</v>
      </c>
      <c r="B820">
        <v>23</v>
      </c>
      <c r="C820">
        <v>2.1917808219178082E-2</v>
      </c>
      <c r="D820">
        <v>8</v>
      </c>
    </row>
    <row r="821" spans="1:4" x14ac:dyDescent="0.25">
      <c r="A821" t="s">
        <v>61</v>
      </c>
      <c r="B821">
        <v>0</v>
      </c>
      <c r="C821">
        <v>3.8356164383561646E-2</v>
      </c>
      <c r="D821">
        <v>15</v>
      </c>
    </row>
    <row r="822" spans="1:4" x14ac:dyDescent="0.25">
      <c r="A822" t="s">
        <v>60</v>
      </c>
      <c r="B822">
        <v>3</v>
      </c>
      <c r="C822">
        <v>5.4794520547945202E-2</v>
      </c>
      <c r="D822">
        <v>20</v>
      </c>
    </row>
    <row r="823" spans="1:4" x14ac:dyDescent="0.25">
      <c r="A823" t="s">
        <v>36</v>
      </c>
      <c r="B823">
        <v>8</v>
      </c>
      <c r="C823">
        <v>7.1232876712328766E-2</v>
      </c>
      <c r="D823">
        <v>31</v>
      </c>
    </row>
    <row r="824" spans="1:4" x14ac:dyDescent="0.25">
      <c r="A824" t="s">
        <v>186</v>
      </c>
      <c r="B824">
        <v>12</v>
      </c>
      <c r="C824">
        <v>7.6712328767123292E-2</v>
      </c>
      <c r="D824">
        <v>36</v>
      </c>
    </row>
    <row r="825" spans="1:4" x14ac:dyDescent="0.25">
      <c r="A825" t="s">
        <v>393</v>
      </c>
      <c r="B825">
        <v>13</v>
      </c>
      <c r="C825">
        <v>5.7534246575342465E-2</v>
      </c>
      <c r="D825">
        <v>22</v>
      </c>
    </row>
    <row r="826" spans="1:4" x14ac:dyDescent="0.25">
      <c r="A826" t="s">
        <v>32</v>
      </c>
      <c r="B826">
        <v>15</v>
      </c>
      <c r="C826">
        <v>3.8356164383561646E-2</v>
      </c>
      <c r="D826">
        <v>14</v>
      </c>
    </row>
    <row r="827" spans="1:4" x14ac:dyDescent="0.25">
      <c r="A827" t="s">
        <v>71</v>
      </c>
      <c r="B827">
        <v>17</v>
      </c>
      <c r="C827">
        <v>0.10684931506849316</v>
      </c>
      <c r="D827">
        <v>42</v>
      </c>
    </row>
    <row r="828" spans="1:4" x14ac:dyDescent="0.25">
      <c r="A828" t="s">
        <v>290</v>
      </c>
      <c r="B828">
        <v>17</v>
      </c>
      <c r="C828">
        <v>2.4657534246575342E-2</v>
      </c>
      <c r="D828">
        <v>12</v>
      </c>
    </row>
    <row r="829" spans="1:4" x14ac:dyDescent="0.25">
      <c r="A829" t="s">
        <v>37</v>
      </c>
      <c r="B829">
        <v>18</v>
      </c>
      <c r="C829">
        <v>9.0410958904109592E-2</v>
      </c>
      <c r="D829">
        <v>34</v>
      </c>
    </row>
    <row r="830" spans="1:4" x14ac:dyDescent="0.25">
      <c r="A830" t="s">
        <v>66</v>
      </c>
      <c r="B830">
        <v>19</v>
      </c>
      <c r="C830">
        <v>0.12328767123287671</v>
      </c>
      <c r="D830">
        <v>50</v>
      </c>
    </row>
    <row r="831" spans="1:4" x14ac:dyDescent="0.25">
      <c r="A831" t="s">
        <v>71</v>
      </c>
      <c r="B831">
        <v>22</v>
      </c>
      <c r="C831">
        <v>5.7534246575342465E-2</v>
      </c>
      <c r="D831">
        <v>22</v>
      </c>
    </row>
    <row r="832" spans="1:4" x14ac:dyDescent="0.25">
      <c r="A832" t="s">
        <v>184</v>
      </c>
      <c r="B832">
        <v>23</v>
      </c>
      <c r="C832">
        <v>0.11506849315068493</v>
      </c>
      <c r="D832">
        <v>45</v>
      </c>
    </row>
    <row r="833" spans="1:4" x14ac:dyDescent="0.25">
      <c r="A833" t="s">
        <v>79</v>
      </c>
      <c r="B833">
        <v>8</v>
      </c>
      <c r="C833">
        <v>2.4657534246575342E-2</v>
      </c>
      <c r="D833">
        <v>10</v>
      </c>
    </row>
    <row r="834" spans="1:4" x14ac:dyDescent="0.25">
      <c r="A834" t="s">
        <v>190</v>
      </c>
      <c r="B834">
        <v>8</v>
      </c>
      <c r="C834">
        <v>1.0958904109589041E-2</v>
      </c>
      <c r="D834">
        <v>4</v>
      </c>
    </row>
    <row r="835" spans="1:4" x14ac:dyDescent="0.25">
      <c r="A835" t="s">
        <v>308</v>
      </c>
      <c r="B835">
        <v>9</v>
      </c>
      <c r="C835">
        <v>2.7397260273972601E-2</v>
      </c>
      <c r="D835">
        <v>10</v>
      </c>
    </row>
    <row r="836" spans="1:4" x14ac:dyDescent="0.25">
      <c r="A836" t="s">
        <v>296</v>
      </c>
      <c r="B836">
        <v>11</v>
      </c>
      <c r="C836">
        <v>1.643835616438356E-2</v>
      </c>
      <c r="D836">
        <v>6</v>
      </c>
    </row>
    <row r="837" spans="1:4" x14ac:dyDescent="0.25">
      <c r="A837" t="s">
        <v>64</v>
      </c>
      <c r="B837">
        <v>12</v>
      </c>
      <c r="C837">
        <v>8.2191780821917804E-2</v>
      </c>
      <c r="D837">
        <v>32</v>
      </c>
    </row>
    <row r="838" spans="1:4" x14ac:dyDescent="0.25">
      <c r="A838" t="s">
        <v>297</v>
      </c>
      <c r="B838">
        <v>13</v>
      </c>
      <c r="C838">
        <v>1.9178082191780823E-2</v>
      </c>
      <c r="D838">
        <v>7</v>
      </c>
    </row>
    <row r="839" spans="1:4" x14ac:dyDescent="0.25">
      <c r="A839" t="s">
        <v>309</v>
      </c>
      <c r="B839">
        <v>16</v>
      </c>
      <c r="C839">
        <v>1.9178082191780823E-2</v>
      </c>
      <c r="D839">
        <v>7</v>
      </c>
    </row>
    <row r="840" spans="1:4" x14ac:dyDescent="0.25">
      <c r="A840" t="s">
        <v>316</v>
      </c>
      <c r="B840">
        <v>18</v>
      </c>
      <c r="C840">
        <v>0.15068493150684931</v>
      </c>
      <c r="D840">
        <v>73</v>
      </c>
    </row>
    <row r="841" spans="1:4" x14ac:dyDescent="0.25">
      <c r="A841" t="s">
        <v>32</v>
      </c>
      <c r="B841">
        <v>18</v>
      </c>
      <c r="C841">
        <v>3.287671232876712E-2</v>
      </c>
      <c r="D841">
        <v>13</v>
      </c>
    </row>
    <row r="842" spans="1:4" x14ac:dyDescent="0.25">
      <c r="A842" t="s">
        <v>26</v>
      </c>
      <c r="B842">
        <v>21</v>
      </c>
      <c r="C842">
        <v>7.9452054794520555E-2</v>
      </c>
      <c r="D842">
        <v>30</v>
      </c>
    </row>
    <row r="843" spans="1:4" x14ac:dyDescent="0.25">
      <c r="A843" t="s">
        <v>188</v>
      </c>
      <c r="B843">
        <v>23</v>
      </c>
      <c r="C843">
        <v>1.643835616438356E-2</v>
      </c>
      <c r="D843">
        <v>6</v>
      </c>
    </row>
    <row r="844" spans="1:4" x14ac:dyDescent="0.25">
      <c r="A844" t="s">
        <v>66</v>
      </c>
      <c r="B844">
        <v>2</v>
      </c>
      <c r="C844">
        <v>6.575342465753424E-2</v>
      </c>
      <c r="D844">
        <v>27</v>
      </c>
    </row>
    <row r="845" spans="1:4" x14ac:dyDescent="0.25">
      <c r="A845" t="s">
        <v>74</v>
      </c>
      <c r="B845">
        <v>5</v>
      </c>
      <c r="C845">
        <v>1.3698630136986301E-2</v>
      </c>
      <c r="D845">
        <v>5</v>
      </c>
    </row>
    <row r="846" spans="1:4" x14ac:dyDescent="0.25">
      <c r="A846" t="s">
        <v>312</v>
      </c>
      <c r="B846">
        <v>13</v>
      </c>
      <c r="C846">
        <v>4.6575342465753428E-2</v>
      </c>
      <c r="D846">
        <v>20</v>
      </c>
    </row>
    <row r="847" spans="1:4" x14ac:dyDescent="0.25">
      <c r="A847" t="s">
        <v>314</v>
      </c>
      <c r="B847">
        <v>17</v>
      </c>
      <c r="C847">
        <v>3.0136986301369864E-2</v>
      </c>
      <c r="D847">
        <v>11</v>
      </c>
    </row>
    <row r="848" spans="1:4" x14ac:dyDescent="0.25">
      <c r="A848" t="s">
        <v>184</v>
      </c>
      <c r="B848">
        <v>17</v>
      </c>
      <c r="C848">
        <v>0.17534246575342466</v>
      </c>
      <c r="D848">
        <v>78</v>
      </c>
    </row>
    <row r="849" spans="1:4" x14ac:dyDescent="0.25">
      <c r="A849" t="s">
        <v>309</v>
      </c>
      <c r="B849">
        <v>19</v>
      </c>
      <c r="C849">
        <v>2.7397260273972603E-3</v>
      </c>
      <c r="D849">
        <v>1</v>
      </c>
    </row>
    <row r="850" spans="1:4" x14ac:dyDescent="0.25">
      <c r="A850" t="s">
        <v>17</v>
      </c>
      <c r="B850">
        <v>21</v>
      </c>
      <c r="C850">
        <v>8.2191780821917804E-2</v>
      </c>
      <c r="D850">
        <v>41</v>
      </c>
    </row>
    <row r="851" spans="1:4" x14ac:dyDescent="0.25">
      <c r="A851" t="s">
        <v>70</v>
      </c>
      <c r="B851">
        <v>23</v>
      </c>
      <c r="C851">
        <v>6.3013698630136991E-2</v>
      </c>
      <c r="D851">
        <v>29</v>
      </c>
    </row>
    <row r="852" spans="1:4" x14ac:dyDescent="0.25">
      <c r="A852" t="s">
        <v>190</v>
      </c>
      <c r="B852">
        <v>0</v>
      </c>
      <c r="C852">
        <v>1.3698630136986301E-2</v>
      </c>
      <c r="D852">
        <v>5</v>
      </c>
    </row>
    <row r="853" spans="1:4" x14ac:dyDescent="0.25">
      <c r="A853" t="s">
        <v>36</v>
      </c>
      <c r="B853">
        <v>5</v>
      </c>
      <c r="C853">
        <v>1.3698630136986301E-2</v>
      </c>
      <c r="D853">
        <v>5</v>
      </c>
    </row>
    <row r="854" spans="1:4" x14ac:dyDescent="0.25">
      <c r="A854" t="s">
        <v>296</v>
      </c>
      <c r="B854">
        <v>10</v>
      </c>
      <c r="C854">
        <v>5.7534246575342465E-2</v>
      </c>
      <c r="D854">
        <v>21</v>
      </c>
    </row>
    <row r="855" spans="1:4" x14ac:dyDescent="0.25">
      <c r="A855" t="s">
        <v>79</v>
      </c>
      <c r="B855">
        <v>13</v>
      </c>
      <c r="C855">
        <v>1.9178082191780823E-2</v>
      </c>
      <c r="D855">
        <v>7</v>
      </c>
    </row>
    <row r="856" spans="1:4" x14ac:dyDescent="0.25">
      <c r="A856" t="s">
        <v>77</v>
      </c>
      <c r="B856">
        <v>19</v>
      </c>
      <c r="C856">
        <v>3.287671232876712E-2</v>
      </c>
      <c r="D856">
        <v>12</v>
      </c>
    </row>
    <row r="857" spans="1:4" x14ac:dyDescent="0.25">
      <c r="A857" t="s">
        <v>185</v>
      </c>
      <c r="B857">
        <v>20</v>
      </c>
      <c r="C857">
        <v>0.17808219178082191</v>
      </c>
      <c r="D857">
        <v>76</v>
      </c>
    </row>
    <row r="858" spans="1:4" x14ac:dyDescent="0.25">
      <c r="A858" t="s">
        <v>290</v>
      </c>
      <c r="B858">
        <v>22</v>
      </c>
      <c r="C858">
        <v>3.0136986301369864E-2</v>
      </c>
      <c r="D858">
        <v>11</v>
      </c>
    </row>
    <row r="859" spans="1:4" x14ac:dyDescent="0.25">
      <c r="A859" t="s">
        <v>17</v>
      </c>
      <c r="B859">
        <v>22</v>
      </c>
      <c r="C859">
        <v>9.5890410958904104E-2</v>
      </c>
      <c r="D859">
        <v>48</v>
      </c>
    </row>
    <row r="860" spans="1:4" x14ac:dyDescent="0.25">
      <c r="A860" t="s">
        <v>56</v>
      </c>
      <c r="B860">
        <v>0</v>
      </c>
      <c r="C860">
        <v>6.0273972602739728E-2</v>
      </c>
      <c r="D860">
        <v>25</v>
      </c>
    </row>
    <row r="861" spans="1:4" x14ac:dyDescent="0.25">
      <c r="A861" t="s">
        <v>308</v>
      </c>
      <c r="B861">
        <v>4</v>
      </c>
      <c r="C861">
        <v>8.21917808219178E-3</v>
      </c>
      <c r="D861">
        <v>3</v>
      </c>
    </row>
    <row r="862" spans="1:4" x14ac:dyDescent="0.25">
      <c r="A862" t="s">
        <v>70</v>
      </c>
      <c r="B862">
        <v>6</v>
      </c>
      <c r="C862">
        <v>3.5616438356164383E-2</v>
      </c>
      <c r="D862">
        <v>15</v>
      </c>
    </row>
    <row r="863" spans="1:4" x14ac:dyDescent="0.25">
      <c r="A863" t="s">
        <v>38</v>
      </c>
      <c r="B863">
        <v>10</v>
      </c>
      <c r="C863">
        <v>3.287671232876712E-2</v>
      </c>
      <c r="D863">
        <v>12</v>
      </c>
    </row>
    <row r="864" spans="1:4" x14ac:dyDescent="0.25">
      <c r="A864" t="s">
        <v>289</v>
      </c>
      <c r="B864">
        <v>12</v>
      </c>
      <c r="C864">
        <v>1.0958904109589041E-2</v>
      </c>
      <c r="D864">
        <v>4</v>
      </c>
    </row>
    <row r="865" spans="1:4" x14ac:dyDescent="0.25">
      <c r="A865" t="s">
        <v>36</v>
      </c>
      <c r="B865">
        <v>12</v>
      </c>
      <c r="C865">
        <v>6.575342465753424E-2</v>
      </c>
      <c r="D865">
        <v>27</v>
      </c>
    </row>
    <row r="866" spans="1:4" x14ac:dyDescent="0.25">
      <c r="A866" t="s">
        <v>318</v>
      </c>
      <c r="B866">
        <v>12</v>
      </c>
      <c r="C866">
        <v>1.643835616438356E-2</v>
      </c>
      <c r="D866">
        <v>6</v>
      </c>
    </row>
    <row r="867" spans="1:4" x14ac:dyDescent="0.25">
      <c r="A867" t="s">
        <v>32</v>
      </c>
      <c r="B867">
        <v>13</v>
      </c>
      <c r="C867">
        <v>3.5616438356164383E-2</v>
      </c>
      <c r="D867">
        <v>14</v>
      </c>
    </row>
    <row r="868" spans="1:4" x14ac:dyDescent="0.25">
      <c r="A868" t="s">
        <v>36</v>
      </c>
      <c r="B868">
        <v>13</v>
      </c>
      <c r="C868">
        <v>8.7671232876712329E-2</v>
      </c>
      <c r="D868">
        <v>37</v>
      </c>
    </row>
    <row r="869" spans="1:4" x14ac:dyDescent="0.25">
      <c r="A869" t="s">
        <v>291</v>
      </c>
      <c r="B869">
        <v>15</v>
      </c>
      <c r="C869">
        <v>2.7397260273972601E-2</v>
      </c>
      <c r="D869">
        <v>10</v>
      </c>
    </row>
    <row r="870" spans="1:4" x14ac:dyDescent="0.25">
      <c r="A870" t="s">
        <v>70</v>
      </c>
      <c r="B870">
        <v>0</v>
      </c>
      <c r="C870">
        <v>2.1917808219178082E-2</v>
      </c>
      <c r="D870">
        <v>8</v>
      </c>
    </row>
    <row r="871" spans="1:4" x14ac:dyDescent="0.25">
      <c r="A871" t="s">
        <v>36</v>
      </c>
      <c r="B871">
        <v>7</v>
      </c>
      <c r="C871">
        <v>2.7397260273972601E-2</v>
      </c>
      <c r="D871">
        <v>11</v>
      </c>
    </row>
    <row r="872" spans="1:4" x14ac:dyDescent="0.25">
      <c r="A872" t="s">
        <v>72</v>
      </c>
      <c r="B872">
        <v>9</v>
      </c>
      <c r="C872">
        <v>7.1232876712328766E-2</v>
      </c>
      <c r="D872">
        <v>33</v>
      </c>
    </row>
    <row r="873" spans="1:4" x14ac:dyDescent="0.25">
      <c r="A873" t="s">
        <v>186</v>
      </c>
      <c r="B873">
        <v>9</v>
      </c>
      <c r="C873">
        <v>6.8493150684931503E-2</v>
      </c>
      <c r="D873">
        <v>28</v>
      </c>
    </row>
    <row r="874" spans="1:4" x14ac:dyDescent="0.25">
      <c r="A874" t="s">
        <v>75</v>
      </c>
      <c r="B874">
        <v>10</v>
      </c>
      <c r="C874">
        <v>0.11506849315068493</v>
      </c>
      <c r="D874">
        <v>43</v>
      </c>
    </row>
    <row r="875" spans="1:4" x14ac:dyDescent="0.25">
      <c r="A875" t="s">
        <v>77</v>
      </c>
      <c r="B875">
        <v>11</v>
      </c>
      <c r="C875">
        <v>7.9452054794520555E-2</v>
      </c>
      <c r="D875">
        <v>34</v>
      </c>
    </row>
    <row r="876" spans="1:4" x14ac:dyDescent="0.25">
      <c r="A876" t="s">
        <v>37</v>
      </c>
      <c r="B876">
        <v>12</v>
      </c>
      <c r="C876">
        <v>1.643835616438356E-2</v>
      </c>
      <c r="D876">
        <v>6</v>
      </c>
    </row>
    <row r="877" spans="1:4" x14ac:dyDescent="0.25">
      <c r="A877" t="s">
        <v>320</v>
      </c>
      <c r="B877">
        <v>14</v>
      </c>
      <c r="C877">
        <v>2.1917808219178082E-2</v>
      </c>
      <c r="D877">
        <v>9</v>
      </c>
    </row>
    <row r="878" spans="1:4" x14ac:dyDescent="0.25">
      <c r="A878" t="s">
        <v>78</v>
      </c>
      <c r="B878">
        <v>16</v>
      </c>
      <c r="C878">
        <v>2.7397260273972601E-2</v>
      </c>
      <c r="D878">
        <v>10</v>
      </c>
    </row>
    <row r="879" spans="1:4" x14ac:dyDescent="0.25">
      <c r="A879" t="s">
        <v>79</v>
      </c>
      <c r="B879">
        <v>17</v>
      </c>
      <c r="C879">
        <v>2.1917808219178082E-2</v>
      </c>
      <c r="D879">
        <v>8</v>
      </c>
    </row>
    <row r="880" spans="1:4" x14ac:dyDescent="0.25">
      <c r="A880" t="s">
        <v>76</v>
      </c>
      <c r="B880">
        <v>17</v>
      </c>
      <c r="C880">
        <v>0.11232876712328767</v>
      </c>
      <c r="D880">
        <v>42</v>
      </c>
    </row>
    <row r="881" spans="1:4" x14ac:dyDescent="0.25">
      <c r="A881" t="s">
        <v>36</v>
      </c>
      <c r="B881">
        <v>20</v>
      </c>
      <c r="C881">
        <v>7.3972602739726029E-2</v>
      </c>
      <c r="D881">
        <v>29</v>
      </c>
    </row>
    <row r="882" spans="1:4" x14ac:dyDescent="0.25">
      <c r="A882" t="s">
        <v>72</v>
      </c>
      <c r="B882">
        <v>20</v>
      </c>
      <c r="C882">
        <v>2.1917808219178082E-2</v>
      </c>
      <c r="D882">
        <v>10</v>
      </c>
    </row>
    <row r="883" spans="1:4" x14ac:dyDescent="0.25">
      <c r="A883" t="s">
        <v>312</v>
      </c>
      <c r="B883">
        <v>20</v>
      </c>
      <c r="C883">
        <v>3.0136986301369864E-2</v>
      </c>
      <c r="D883">
        <v>12</v>
      </c>
    </row>
    <row r="884" spans="1:4" x14ac:dyDescent="0.25">
      <c r="A884" t="s">
        <v>78</v>
      </c>
      <c r="B884">
        <v>0</v>
      </c>
      <c r="C884">
        <v>1.0958904109589041E-2</v>
      </c>
      <c r="D884">
        <v>4</v>
      </c>
    </row>
    <row r="885" spans="1:4" x14ac:dyDescent="0.25">
      <c r="A885" t="s">
        <v>290</v>
      </c>
      <c r="B885">
        <v>1</v>
      </c>
      <c r="C885">
        <v>1.0958904109589041E-2</v>
      </c>
      <c r="D885">
        <v>4</v>
      </c>
    </row>
    <row r="886" spans="1:4" x14ac:dyDescent="0.25">
      <c r="A886" t="s">
        <v>76</v>
      </c>
      <c r="B886">
        <v>5</v>
      </c>
      <c r="C886">
        <v>1.0958904109589041E-2</v>
      </c>
      <c r="D886">
        <v>4</v>
      </c>
    </row>
    <row r="887" spans="1:4" x14ac:dyDescent="0.25">
      <c r="A887" t="s">
        <v>62</v>
      </c>
      <c r="B887">
        <v>5</v>
      </c>
      <c r="C887">
        <v>2.1917808219178082E-2</v>
      </c>
      <c r="D887">
        <v>8</v>
      </c>
    </row>
    <row r="888" spans="1:4" x14ac:dyDescent="0.25">
      <c r="A888" t="s">
        <v>393</v>
      </c>
      <c r="B888">
        <v>15</v>
      </c>
      <c r="C888">
        <v>7.1232876712328766E-2</v>
      </c>
      <c r="D888">
        <v>26</v>
      </c>
    </row>
    <row r="889" spans="1:4" x14ac:dyDescent="0.25">
      <c r="A889" t="s">
        <v>287</v>
      </c>
      <c r="B889">
        <v>15</v>
      </c>
      <c r="C889">
        <v>5.4794520547945206E-3</v>
      </c>
      <c r="D889">
        <v>2</v>
      </c>
    </row>
    <row r="890" spans="1:4" x14ac:dyDescent="0.25">
      <c r="A890" t="s">
        <v>316</v>
      </c>
      <c r="B890">
        <v>16</v>
      </c>
      <c r="C890">
        <v>9.3150684931506855E-2</v>
      </c>
      <c r="D890">
        <v>42</v>
      </c>
    </row>
    <row r="891" spans="1:4" x14ac:dyDescent="0.25">
      <c r="A891" t="s">
        <v>287</v>
      </c>
      <c r="B891">
        <v>16</v>
      </c>
      <c r="C891">
        <v>5.4794520547945206E-3</v>
      </c>
      <c r="D891">
        <v>2</v>
      </c>
    </row>
    <row r="892" spans="1:4" x14ac:dyDescent="0.25">
      <c r="A892" t="s">
        <v>77</v>
      </c>
      <c r="B892">
        <v>18</v>
      </c>
      <c r="C892">
        <v>7.6712328767123292E-2</v>
      </c>
      <c r="D892">
        <v>30</v>
      </c>
    </row>
    <row r="893" spans="1:4" x14ac:dyDescent="0.25">
      <c r="A893" t="s">
        <v>37</v>
      </c>
      <c r="B893">
        <v>0</v>
      </c>
      <c r="C893">
        <v>1.0958904109589041E-2</v>
      </c>
      <c r="D893">
        <v>5</v>
      </c>
    </row>
    <row r="894" spans="1:4" x14ac:dyDescent="0.25">
      <c r="A894" t="s">
        <v>63</v>
      </c>
      <c r="B894">
        <v>1</v>
      </c>
      <c r="C894">
        <v>4.9315068493150684E-2</v>
      </c>
      <c r="D894">
        <v>20</v>
      </c>
    </row>
    <row r="895" spans="1:4" x14ac:dyDescent="0.25">
      <c r="A895" t="s">
        <v>61</v>
      </c>
      <c r="B895">
        <v>3</v>
      </c>
      <c r="C895">
        <v>3.0136986301369864E-2</v>
      </c>
      <c r="D895">
        <v>13</v>
      </c>
    </row>
    <row r="896" spans="1:4" x14ac:dyDescent="0.25">
      <c r="A896" t="s">
        <v>61</v>
      </c>
      <c r="B896">
        <v>4</v>
      </c>
      <c r="C896">
        <v>2.4657534246575342E-2</v>
      </c>
      <c r="D896">
        <v>10</v>
      </c>
    </row>
    <row r="897" spans="1:4" x14ac:dyDescent="0.25">
      <c r="A897" t="s">
        <v>393</v>
      </c>
      <c r="B897">
        <v>4</v>
      </c>
      <c r="C897">
        <v>1.0958904109589041E-2</v>
      </c>
      <c r="D897">
        <v>5</v>
      </c>
    </row>
    <row r="898" spans="1:4" x14ac:dyDescent="0.25">
      <c r="A898" t="s">
        <v>287</v>
      </c>
      <c r="B898">
        <v>19</v>
      </c>
      <c r="C898">
        <v>1.3698630136986301E-2</v>
      </c>
      <c r="D898">
        <v>5</v>
      </c>
    </row>
    <row r="899" spans="1:4" x14ac:dyDescent="0.25">
      <c r="A899" t="s">
        <v>61</v>
      </c>
      <c r="B899">
        <v>20</v>
      </c>
      <c r="C899">
        <v>0.10410958904109589</v>
      </c>
      <c r="D899">
        <v>46</v>
      </c>
    </row>
    <row r="900" spans="1:4" x14ac:dyDescent="0.25">
      <c r="A900" t="s">
        <v>70</v>
      </c>
      <c r="B900">
        <v>22</v>
      </c>
      <c r="C900">
        <v>5.4794520547945202E-2</v>
      </c>
      <c r="D900">
        <v>22</v>
      </c>
    </row>
    <row r="901" spans="1:4" x14ac:dyDescent="0.25">
      <c r="A901" t="s">
        <v>63</v>
      </c>
      <c r="B901">
        <v>23</v>
      </c>
      <c r="C901">
        <v>5.4794520547945202E-2</v>
      </c>
      <c r="D901">
        <v>23</v>
      </c>
    </row>
    <row r="902" spans="1:4" x14ac:dyDescent="0.25">
      <c r="A902" t="s">
        <v>60</v>
      </c>
      <c r="B902">
        <v>0</v>
      </c>
      <c r="C902">
        <v>6.3013698630136991E-2</v>
      </c>
      <c r="D902">
        <v>26</v>
      </c>
    </row>
    <row r="903" spans="1:4" x14ac:dyDescent="0.25">
      <c r="A903" t="s">
        <v>188</v>
      </c>
      <c r="B903">
        <v>1</v>
      </c>
      <c r="C903">
        <v>2.4657534246575342E-2</v>
      </c>
      <c r="D903">
        <v>10</v>
      </c>
    </row>
    <row r="904" spans="1:4" x14ac:dyDescent="0.25">
      <c r="A904" t="s">
        <v>60</v>
      </c>
      <c r="B904">
        <v>2</v>
      </c>
      <c r="C904">
        <v>3.8356164383561646E-2</v>
      </c>
      <c r="D904">
        <v>14</v>
      </c>
    </row>
    <row r="905" spans="1:4" x14ac:dyDescent="0.25">
      <c r="A905" t="s">
        <v>290</v>
      </c>
      <c r="B905">
        <v>6</v>
      </c>
      <c r="C905">
        <v>5.4794520547945206E-3</v>
      </c>
      <c r="D905">
        <v>2</v>
      </c>
    </row>
    <row r="906" spans="1:4" x14ac:dyDescent="0.25">
      <c r="A906" t="s">
        <v>316</v>
      </c>
      <c r="B906">
        <v>6</v>
      </c>
      <c r="C906">
        <v>3.287671232876712E-2</v>
      </c>
      <c r="D906">
        <v>14</v>
      </c>
    </row>
    <row r="907" spans="1:4" x14ac:dyDescent="0.25">
      <c r="A907" t="s">
        <v>66</v>
      </c>
      <c r="B907">
        <v>6</v>
      </c>
      <c r="C907">
        <v>5.4794520547945202E-2</v>
      </c>
      <c r="D907">
        <v>21</v>
      </c>
    </row>
    <row r="908" spans="1:4" x14ac:dyDescent="0.25">
      <c r="A908" t="s">
        <v>291</v>
      </c>
      <c r="B908">
        <v>8</v>
      </c>
      <c r="C908">
        <v>3.287671232876712E-2</v>
      </c>
      <c r="D908">
        <v>14</v>
      </c>
    </row>
    <row r="909" spans="1:4" x14ac:dyDescent="0.25">
      <c r="A909" t="s">
        <v>77</v>
      </c>
      <c r="B909">
        <v>8</v>
      </c>
      <c r="C909">
        <v>5.7534246575342465E-2</v>
      </c>
      <c r="D909">
        <v>21</v>
      </c>
    </row>
    <row r="910" spans="1:4" x14ac:dyDescent="0.25">
      <c r="A910" t="s">
        <v>77</v>
      </c>
      <c r="B910">
        <v>13</v>
      </c>
      <c r="C910">
        <v>3.5616438356164383E-2</v>
      </c>
      <c r="D910">
        <v>13</v>
      </c>
    </row>
    <row r="911" spans="1:4" x14ac:dyDescent="0.25">
      <c r="A911" t="s">
        <v>310</v>
      </c>
      <c r="B911">
        <v>19</v>
      </c>
      <c r="C911">
        <v>3.0136986301369864E-2</v>
      </c>
      <c r="D911">
        <v>11</v>
      </c>
    </row>
    <row r="912" spans="1:4" x14ac:dyDescent="0.25">
      <c r="A912" t="s">
        <v>190</v>
      </c>
      <c r="B912">
        <v>19</v>
      </c>
      <c r="C912">
        <v>5.4794520547945206E-3</v>
      </c>
      <c r="D912">
        <v>2</v>
      </c>
    </row>
    <row r="913" spans="1:4" x14ac:dyDescent="0.25">
      <c r="A913" t="s">
        <v>37</v>
      </c>
      <c r="B913">
        <v>21</v>
      </c>
      <c r="C913">
        <v>3.287671232876712E-2</v>
      </c>
      <c r="D913">
        <v>12</v>
      </c>
    </row>
    <row r="914" spans="1:4" x14ac:dyDescent="0.25">
      <c r="A914" t="s">
        <v>56</v>
      </c>
      <c r="B914">
        <v>22</v>
      </c>
      <c r="C914">
        <v>0.10136986301369863</v>
      </c>
      <c r="D914">
        <v>43</v>
      </c>
    </row>
    <row r="915" spans="1:4" x14ac:dyDescent="0.25">
      <c r="A915" t="s">
        <v>291</v>
      </c>
      <c r="B915">
        <v>0</v>
      </c>
      <c r="C915">
        <v>1.0958904109589041E-2</v>
      </c>
      <c r="D915">
        <v>4</v>
      </c>
    </row>
    <row r="916" spans="1:4" x14ac:dyDescent="0.25">
      <c r="A916" t="s">
        <v>68</v>
      </c>
      <c r="B916">
        <v>4</v>
      </c>
      <c r="C916">
        <v>2.4657534246575342E-2</v>
      </c>
      <c r="D916">
        <v>9</v>
      </c>
    </row>
    <row r="917" spans="1:4" x14ac:dyDescent="0.25">
      <c r="A917" t="s">
        <v>190</v>
      </c>
      <c r="B917">
        <v>15</v>
      </c>
      <c r="C917">
        <v>3.0136986301369864E-2</v>
      </c>
      <c r="D917">
        <v>11</v>
      </c>
    </row>
    <row r="918" spans="1:4" x14ac:dyDescent="0.25">
      <c r="A918" t="s">
        <v>74</v>
      </c>
      <c r="B918">
        <v>15</v>
      </c>
      <c r="C918">
        <v>7.6712328767123292E-2</v>
      </c>
      <c r="D918">
        <v>29</v>
      </c>
    </row>
    <row r="919" spans="1:4" x14ac:dyDescent="0.25">
      <c r="A919" t="s">
        <v>313</v>
      </c>
      <c r="B919">
        <v>17</v>
      </c>
      <c r="C919">
        <v>3.5616438356164383E-2</v>
      </c>
      <c r="D919">
        <v>15</v>
      </c>
    </row>
    <row r="920" spans="1:4" x14ac:dyDescent="0.25">
      <c r="A920" t="s">
        <v>32</v>
      </c>
      <c r="B920">
        <v>17</v>
      </c>
      <c r="C920">
        <v>1.9178082191780823E-2</v>
      </c>
      <c r="D920">
        <v>7</v>
      </c>
    </row>
    <row r="921" spans="1:4" x14ac:dyDescent="0.25">
      <c r="A921" t="s">
        <v>78</v>
      </c>
      <c r="B921">
        <v>19</v>
      </c>
      <c r="C921">
        <v>1.9178082191780823E-2</v>
      </c>
      <c r="D921">
        <v>7</v>
      </c>
    </row>
    <row r="922" spans="1:4" x14ac:dyDescent="0.25">
      <c r="A922" t="s">
        <v>184</v>
      </c>
      <c r="B922">
        <v>1</v>
      </c>
      <c r="C922">
        <v>3.5616438356164383E-2</v>
      </c>
      <c r="D922">
        <v>13</v>
      </c>
    </row>
    <row r="923" spans="1:4" x14ac:dyDescent="0.25">
      <c r="A923" t="s">
        <v>183</v>
      </c>
      <c r="B923">
        <v>2</v>
      </c>
      <c r="C923">
        <v>2.4657534246575342E-2</v>
      </c>
      <c r="D923">
        <v>9</v>
      </c>
    </row>
    <row r="924" spans="1:4" x14ac:dyDescent="0.25">
      <c r="A924" t="s">
        <v>309</v>
      </c>
      <c r="B924">
        <v>10</v>
      </c>
      <c r="C924">
        <v>3.8356164383561646E-2</v>
      </c>
      <c r="D924">
        <v>14</v>
      </c>
    </row>
    <row r="925" spans="1:4" x14ac:dyDescent="0.25">
      <c r="A925" t="s">
        <v>289</v>
      </c>
      <c r="B925">
        <v>14</v>
      </c>
      <c r="C925">
        <v>2.1917808219178082E-2</v>
      </c>
      <c r="D925">
        <v>8</v>
      </c>
    </row>
    <row r="926" spans="1:4" x14ac:dyDescent="0.25">
      <c r="A926" t="s">
        <v>291</v>
      </c>
      <c r="B926">
        <v>14</v>
      </c>
      <c r="C926">
        <v>2.1917808219178082E-2</v>
      </c>
      <c r="D926">
        <v>8</v>
      </c>
    </row>
    <row r="927" spans="1:4" x14ac:dyDescent="0.25">
      <c r="A927" t="s">
        <v>318</v>
      </c>
      <c r="B927">
        <v>17</v>
      </c>
      <c r="C927">
        <v>1.0958904109589041E-2</v>
      </c>
      <c r="D927">
        <v>5</v>
      </c>
    </row>
    <row r="928" spans="1:4" x14ac:dyDescent="0.25">
      <c r="A928" t="s">
        <v>308</v>
      </c>
      <c r="B928">
        <v>22</v>
      </c>
      <c r="C928">
        <v>5.4794520547945206E-3</v>
      </c>
      <c r="D928">
        <v>2</v>
      </c>
    </row>
    <row r="929" spans="1:4" x14ac:dyDescent="0.25">
      <c r="A929" t="s">
        <v>73</v>
      </c>
      <c r="B929">
        <v>0</v>
      </c>
      <c r="C929">
        <v>1.643835616438356E-2</v>
      </c>
      <c r="D929">
        <v>6</v>
      </c>
    </row>
    <row r="930" spans="1:4" x14ac:dyDescent="0.25">
      <c r="A930" t="s">
        <v>308</v>
      </c>
      <c r="B930">
        <v>1</v>
      </c>
      <c r="C930">
        <v>1.643835616438356E-2</v>
      </c>
      <c r="D930">
        <v>6</v>
      </c>
    </row>
    <row r="931" spans="1:4" x14ac:dyDescent="0.25">
      <c r="A931" t="s">
        <v>320</v>
      </c>
      <c r="B931">
        <v>1</v>
      </c>
      <c r="C931">
        <v>5.4794520547945206E-3</v>
      </c>
      <c r="D931">
        <v>2</v>
      </c>
    </row>
    <row r="932" spans="1:4" x14ac:dyDescent="0.25">
      <c r="A932" t="s">
        <v>67</v>
      </c>
      <c r="B932">
        <v>4</v>
      </c>
      <c r="C932">
        <v>3.8356164383561646E-2</v>
      </c>
      <c r="D932">
        <v>16</v>
      </c>
    </row>
    <row r="933" spans="1:4" x14ac:dyDescent="0.25">
      <c r="A933" t="s">
        <v>393</v>
      </c>
      <c r="B933">
        <v>5</v>
      </c>
      <c r="C933">
        <v>1.643835616438356E-2</v>
      </c>
      <c r="D933">
        <v>6</v>
      </c>
    </row>
    <row r="934" spans="1:4" x14ac:dyDescent="0.25">
      <c r="A934" t="s">
        <v>309</v>
      </c>
      <c r="B934">
        <v>7</v>
      </c>
      <c r="C934">
        <v>1.643835616438356E-2</v>
      </c>
      <c r="D934">
        <v>6</v>
      </c>
    </row>
    <row r="935" spans="1:4" x14ac:dyDescent="0.25">
      <c r="A935" t="s">
        <v>296</v>
      </c>
      <c r="B935">
        <v>7</v>
      </c>
      <c r="C935">
        <v>5.2054794520547946E-2</v>
      </c>
      <c r="D935">
        <v>19</v>
      </c>
    </row>
    <row r="936" spans="1:4" x14ac:dyDescent="0.25">
      <c r="A936" t="s">
        <v>297</v>
      </c>
      <c r="B936">
        <v>9</v>
      </c>
      <c r="C936">
        <v>1.3698630136986301E-2</v>
      </c>
      <c r="D936">
        <v>5</v>
      </c>
    </row>
    <row r="937" spans="1:4" x14ac:dyDescent="0.25">
      <c r="A937" t="s">
        <v>72</v>
      </c>
      <c r="B937">
        <v>10</v>
      </c>
      <c r="C937">
        <v>7.6712328767123292E-2</v>
      </c>
      <c r="D937">
        <v>33</v>
      </c>
    </row>
    <row r="938" spans="1:4" x14ac:dyDescent="0.25">
      <c r="A938" t="s">
        <v>64</v>
      </c>
      <c r="B938">
        <v>7</v>
      </c>
      <c r="C938">
        <v>9.0410958904109592E-2</v>
      </c>
      <c r="D938">
        <v>36</v>
      </c>
    </row>
    <row r="939" spans="1:4" x14ac:dyDescent="0.25">
      <c r="A939" t="s">
        <v>286</v>
      </c>
      <c r="B939">
        <v>10</v>
      </c>
      <c r="C939">
        <v>1.643835616438356E-2</v>
      </c>
      <c r="D939">
        <v>7</v>
      </c>
    </row>
    <row r="940" spans="1:4" x14ac:dyDescent="0.25">
      <c r="A940" t="s">
        <v>190</v>
      </c>
      <c r="B940">
        <v>12</v>
      </c>
      <c r="C940">
        <v>2.7397260273972601E-2</v>
      </c>
      <c r="D940">
        <v>10</v>
      </c>
    </row>
    <row r="941" spans="1:4" x14ac:dyDescent="0.25">
      <c r="A941" t="s">
        <v>77</v>
      </c>
      <c r="B941">
        <v>12</v>
      </c>
      <c r="C941">
        <v>2.7397260273972601E-2</v>
      </c>
      <c r="D941">
        <v>10</v>
      </c>
    </row>
    <row r="942" spans="1:4" x14ac:dyDescent="0.25">
      <c r="A942" t="s">
        <v>286</v>
      </c>
      <c r="B942">
        <v>12</v>
      </c>
      <c r="C942">
        <v>3.8356164383561646E-2</v>
      </c>
      <c r="D942">
        <v>15</v>
      </c>
    </row>
    <row r="943" spans="1:4" x14ac:dyDescent="0.25">
      <c r="A943" t="s">
        <v>288</v>
      </c>
      <c r="B943">
        <v>12</v>
      </c>
      <c r="C943">
        <v>5.4794520547945202E-2</v>
      </c>
      <c r="D943">
        <v>21</v>
      </c>
    </row>
    <row r="944" spans="1:4" x14ac:dyDescent="0.25">
      <c r="A944" t="s">
        <v>297</v>
      </c>
      <c r="B944">
        <v>18</v>
      </c>
      <c r="C944">
        <v>1.0958904109589041E-2</v>
      </c>
      <c r="D944">
        <v>4</v>
      </c>
    </row>
    <row r="945" spans="1:4" x14ac:dyDescent="0.25">
      <c r="A945" t="s">
        <v>78</v>
      </c>
      <c r="B945">
        <v>18</v>
      </c>
      <c r="C945">
        <v>2.7397260273972601E-2</v>
      </c>
      <c r="D945">
        <v>11</v>
      </c>
    </row>
    <row r="946" spans="1:4" x14ac:dyDescent="0.25">
      <c r="A946" t="s">
        <v>393</v>
      </c>
      <c r="B946">
        <v>0</v>
      </c>
      <c r="C946">
        <v>2.7397260273972601E-2</v>
      </c>
      <c r="D946">
        <v>10</v>
      </c>
    </row>
    <row r="947" spans="1:4" x14ac:dyDescent="0.25">
      <c r="A947" t="s">
        <v>321</v>
      </c>
      <c r="B947">
        <v>1</v>
      </c>
      <c r="C947">
        <v>2.4657534246575342E-2</v>
      </c>
      <c r="D947">
        <v>10</v>
      </c>
    </row>
    <row r="948" spans="1:4" x14ac:dyDescent="0.25">
      <c r="A948" t="s">
        <v>71</v>
      </c>
      <c r="B948">
        <v>1</v>
      </c>
      <c r="C948">
        <v>3.5616438356164383E-2</v>
      </c>
      <c r="D948">
        <v>13</v>
      </c>
    </row>
    <row r="949" spans="1:4" x14ac:dyDescent="0.25">
      <c r="A949" t="s">
        <v>185</v>
      </c>
      <c r="B949">
        <v>2</v>
      </c>
      <c r="C949">
        <v>5.7534246575342465E-2</v>
      </c>
      <c r="D949">
        <v>24</v>
      </c>
    </row>
    <row r="950" spans="1:4" x14ac:dyDescent="0.25">
      <c r="A950" t="s">
        <v>317</v>
      </c>
      <c r="B950">
        <v>5</v>
      </c>
      <c r="C950">
        <v>1.9178082191780823E-2</v>
      </c>
      <c r="D950">
        <v>7</v>
      </c>
    </row>
    <row r="951" spans="1:4" x14ac:dyDescent="0.25">
      <c r="A951" t="s">
        <v>317</v>
      </c>
      <c r="B951">
        <v>6</v>
      </c>
      <c r="C951">
        <v>3.0136986301369864E-2</v>
      </c>
      <c r="D951">
        <v>11</v>
      </c>
    </row>
    <row r="952" spans="1:4" x14ac:dyDescent="0.25">
      <c r="A952" t="s">
        <v>187</v>
      </c>
      <c r="B952">
        <v>6</v>
      </c>
      <c r="C952">
        <v>2.4657534246575342E-2</v>
      </c>
      <c r="D952">
        <v>9</v>
      </c>
    </row>
    <row r="953" spans="1:4" x14ac:dyDescent="0.25">
      <c r="A953" t="s">
        <v>291</v>
      </c>
      <c r="B953">
        <v>17</v>
      </c>
      <c r="C953">
        <v>1.9178082191780823E-2</v>
      </c>
      <c r="D953">
        <v>9</v>
      </c>
    </row>
    <row r="954" spans="1:4" x14ac:dyDescent="0.25">
      <c r="A954" t="s">
        <v>286</v>
      </c>
      <c r="B954">
        <v>22</v>
      </c>
      <c r="C954">
        <v>8.21917808219178E-3</v>
      </c>
      <c r="D954">
        <v>3</v>
      </c>
    </row>
    <row r="955" spans="1:4" x14ac:dyDescent="0.25">
      <c r="A955" t="s">
        <v>32</v>
      </c>
      <c r="B955">
        <v>1</v>
      </c>
      <c r="C955">
        <v>8.21917808219178E-3</v>
      </c>
      <c r="D955">
        <v>4</v>
      </c>
    </row>
    <row r="956" spans="1:4" x14ac:dyDescent="0.25">
      <c r="A956" t="s">
        <v>320</v>
      </c>
      <c r="B956">
        <v>3</v>
      </c>
      <c r="C956">
        <v>1.3698630136986301E-2</v>
      </c>
      <c r="D956">
        <v>5</v>
      </c>
    </row>
    <row r="957" spans="1:4" x14ac:dyDescent="0.25">
      <c r="A957" t="s">
        <v>75</v>
      </c>
      <c r="B957">
        <v>5</v>
      </c>
      <c r="C957">
        <v>1.0958904109589041E-2</v>
      </c>
      <c r="D957">
        <v>4</v>
      </c>
    </row>
    <row r="958" spans="1:4" x14ac:dyDescent="0.25">
      <c r="A958" t="s">
        <v>289</v>
      </c>
      <c r="B958">
        <v>7</v>
      </c>
      <c r="C958">
        <v>2.7397260273972603E-3</v>
      </c>
      <c r="D958">
        <v>1</v>
      </c>
    </row>
    <row r="959" spans="1:4" x14ac:dyDescent="0.25">
      <c r="A959" t="s">
        <v>290</v>
      </c>
      <c r="B959">
        <v>15</v>
      </c>
      <c r="C959">
        <v>3.5616438356164383E-2</v>
      </c>
      <c r="D959">
        <v>13</v>
      </c>
    </row>
    <row r="960" spans="1:4" x14ac:dyDescent="0.25">
      <c r="A960" t="s">
        <v>289</v>
      </c>
      <c r="B960">
        <v>17</v>
      </c>
      <c r="C960">
        <v>2.1917808219178082E-2</v>
      </c>
      <c r="D960">
        <v>8</v>
      </c>
    </row>
    <row r="961" spans="1:4" x14ac:dyDescent="0.25">
      <c r="A961" t="s">
        <v>319</v>
      </c>
      <c r="B961">
        <v>21</v>
      </c>
      <c r="C961">
        <v>8.21917808219178E-3</v>
      </c>
      <c r="D961">
        <v>3</v>
      </c>
    </row>
    <row r="962" spans="1:4" x14ac:dyDescent="0.25">
      <c r="A962" t="s">
        <v>72</v>
      </c>
      <c r="B962">
        <v>23</v>
      </c>
      <c r="C962">
        <v>2.7397260273972601E-2</v>
      </c>
      <c r="D962">
        <v>10</v>
      </c>
    </row>
    <row r="963" spans="1:4" x14ac:dyDescent="0.25">
      <c r="A963" t="s">
        <v>312</v>
      </c>
      <c r="B963">
        <v>23</v>
      </c>
      <c r="C963">
        <v>1.643835616438356E-2</v>
      </c>
      <c r="D963">
        <v>8</v>
      </c>
    </row>
    <row r="964" spans="1:4" x14ac:dyDescent="0.25">
      <c r="A964" t="s">
        <v>289</v>
      </c>
      <c r="B964">
        <v>3</v>
      </c>
      <c r="C964">
        <v>2.7397260273972603E-3</v>
      </c>
      <c r="D964">
        <v>1</v>
      </c>
    </row>
    <row r="965" spans="1:4" x14ac:dyDescent="0.25">
      <c r="A965" t="s">
        <v>186</v>
      </c>
      <c r="B965">
        <v>6</v>
      </c>
      <c r="C965">
        <v>2.1917808219178082E-2</v>
      </c>
      <c r="D965">
        <v>8</v>
      </c>
    </row>
    <row r="966" spans="1:4" x14ac:dyDescent="0.25">
      <c r="A966" t="s">
        <v>190</v>
      </c>
      <c r="B966">
        <v>7</v>
      </c>
      <c r="C966">
        <v>2.1917808219178082E-2</v>
      </c>
      <c r="D966">
        <v>8</v>
      </c>
    </row>
    <row r="967" spans="1:4" x14ac:dyDescent="0.25">
      <c r="A967" t="s">
        <v>289</v>
      </c>
      <c r="B967">
        <v>9</v>
      </c>
      <c r="C967">
        <v>4.1095890410958902E-2</v>
      </c>
      <c r="D967">
        <v>16</v>
      </c>
    </row>
    <row r="968" spans="1:4" x14ac:dyDescent="0.25">
      <c r="A968" t="s">
        <v>313</v>
      </c>
      <c r="B968">
        <v>10</v>
      </c>
      <c r="C968">
        <v>5.2054794520547946E-2</v>
      </c>
      <c r="D968">
        <v>21</v>
      </c>
    </row>
    <row r="969" spans="1:4" x14ac:dyDescent="0.25">
      <c r="A969" t="s">
        <v>291</v>
      </c>
      <c r="B969">
        <v>11</v>
      </c>
      <c r="C969">
        <v>3.0136986301369864E-2</v>
      </c>
      <c r="D969">
        <v>12</v>
      </c>
    </row>
    <row r="970" spans="1:4" x14ac:dyDescent="0.25">
      <c r="A970" t="s">
        <v>318</v>
      </c>
      <c r="B970">
        <v>15</v>
      </c>
      <c r="C970">
        <v>1.0958904109589041E-2</v>
      </c>
      <c r="D970">
        <v>4</v>
      </c>
    </row>
    <row r="971" spans="1:4" x14ac:dyDescent="0.25">
      <c r="A971" t="s">
        <v>291</v>
      </c>
      <c r="B971">
        <v>18</v>
      </c>
      <c r="C971">
        <v>2.7397260273972601E-2</v>
      </c>
      <c r="D971">
        <v>10</v>
      </c>
    </row>
    <row r="972" spans="1:4" x14ac:dyDescent="0.25">
      <c r="A972" t="s">
        <v>189</v>
      </c>
      <c r="B972">
        <v>0</v>
      </c>
      <c r="C972">
        <v>4.3835616438356165E-2</v>
      </c>
      <c r="D972">
        <v>17</v>
      </c>
    </row>
    <row r="973" spans="1:4" x14ac:dyDescent="0.25">
      <c r="A973" t="s">
        <v>189</v>
      </c>
      <c r="B973">
        <v>1</v>
      </c>
      <c r="C973">
        <v>4.1095890410958902E-2</v>
      </c>
      <c r="D973">
        <v>16</v>
      </c>
    </row>
    <row r="974" spans="1:4" x14ac:dyDescent="0.25">
      <c r="A974" t="s">
        <v>79</v>
      </c>
      <c r="B974">
        <v>1</v>
      </c>
      <c r="C974">
        <v>5.4794520547945206E-3</v>
      </c>
      <c r="D974">
        <v>2</v>
      </c>
    </row>
    <row r="975" spans="1:4" x14ac:dyDescent="0.25">
      <c r="A975" t="s">
        <v>76</v>
      </c>
      <c r="B975">
        <v>6</v>
      </c>
      <c r="C975">
        <v>4.1095890410958902E-2</v>
      </c>
      <c r="D975">
        <v>18</v>
      </c>
    </row>
    <row r="976" spans="1:4" x14ac:dyDescent="0.25">
      <c r="A976" t="s">
        <v>308</v>
      </c>
      <c r="B976">
        <v>6</v>
      </c>
      <c r="C976">
        <v>5.4794520547945206E-3</v>
      </c>
      <c r="D976">
        <v>2</v>
      </c>
    </row>
    <row r="977" spans="1:4" x14ac:dyDescent="0.25">
      <c r="A977" t="s">
        <v>37</v>
      </c>
      <c r="B977">
        <v>16</v>
      </c>
      <c r="C977">
        <v>2.7397260273972601E-2</v>
      </c>
      <c r="D977">
        <v>10</v>
      </c>
    </row>
    <row r="978" spans="1:4" x14ac:dyDescent="0.25">
      <c r="A978" t="s">
        <v>190</v>
      </c>
      <c r="B978">
        <v>17</v>
      </c>
      <c r="C978">
        <v>3.287671232876712E-2</v>
      </c>
      <c r="D978">
        <v>14</v>
      </c>
    </row>
    <row r="979" spans="1:4" x14ac:dyDescent="0.25">
      <c r="A979" t="s">
        <v>319</v>
      </c>
      <c r="B979">
        <v>17</v>
      </c>
      <c r="C979">
        <v>1.3698630136986301E-2</v>
      </c>
      <c r="D979">
        <v>5</v>
      </c>
    </row>
    <row r="980" spans="1:4" x14ac:dyDescent="0.25">
      <c r="A980" t="s">
        <v>76</v>
      </c>
      <c r="B980">
        <v>3</v>
      </c>
      <c r="C980">
        <v>2.7397260273972603E-3</v>
      </c>
      <c r="D980">
        <v>1</v>
      </c>
    </row>
    <row r="981" spans="1:4" x14ac:dyDescent="0.25">
      <c r="A981" t="s">
        <v>17</v>
      </c>
      <c r="B981">
        <v>6</v>
      </c>
      <c r="C981">
        <v>2.4657534246575342E-2</v>
      </c>
      <c r="D981">
        <v>10</v>
      </c>
    </row>
    <row r="982" spans="1:4" x14ac:dyDescent="0.25">
      <c r="A982" t="s">
        <v>287</v>
      </c>
      <c r="B982">
        <v>11</v>
      </c>
      <c r="C982">
        <v>1.643835616438356E-2</v>
      </c>
      <c r="D982">
        <v>6</v>
      </c>
    </row>
    <row r="983" spans="1:4" x14ac:dyDescent="0.25">
      <c r="A983" t="s">
        <v>313</v>
      </c>
      <c r="B983">
        <v>14</v>
      </c>
      <c r="C983">
        <v>4.3835616438356165E-2</v>
      </c>
      <c r="D983">
        <v>18</v>
      </c>
    </row>
    <row r="984" spans="1:4" x14ac:dyDescent="0.25">
      <c r="A984" t="s">
        <v>79</v>
      </c>
      <c r="B984">
        <v>19</v>
      </c>
      <c r="C984">
        <v>1.9178082191780823E-2</v>
      </c>
      <c r="D984">
        <v>7</v>
      </c>
    </row>
    <row r="985" spans="1:4" x14ac:dyDescent="0.25">
      <c r="A985" t="s">
        <v>297</v>
      </c>
      <c r="B985">
        <v>23</v>
      </c>
      <c r="C985">
        <v>5.4794520547945206E-3</v>
      </c>
      <c r="D985">
        <v>2</v>
      </c>
    </row>
    <row r="986" spans="1:4" x14ac:dyDescent="0.25">
      <c r="A986" t="s">
        <v>187</v>
      </c>
      <c r="B986">
        <v>3</v>
      </c>
      <c r="C986">
        <v>3.0136986301369864E-2</v>
      </c>
      <c r="D986">
        <v>11</v>
      </c>
    </row>
    <row r="987" spans="1:4" x14ac:dyDescent="0.25">
      <c r="A987" t="s">
        <v>296</v>
      </c>
      <c r="B987">
        <v>3</v>
      </c>
      <c r="C987">
        <v>1.0958904109589041E-2</v>
      </c>
      <c r="D987">
        <v>4</v>
      </c>
    </row>
    <row r="988" spans="1:4" x14ac:dyDescent="0.25">
      <c r="A988" t="s">
        <v>290</v>
      </c>
      <c r="B988">
        <v>10</v>
      </c>
      <c r="C988">
        <v>2.1917808219178082E-2</v>
      </c>
      <c r="D988">
        <v>9</v>
      </c>
    </row>
    <row r="989" spans="1:4" x14ac:dyDescent="0.25">
      <c r="A989" t="s">
        <v>318</v>
      </c>
      <c r="B989">
        <v>11</v>
      </c>
      <c r="C989">
        <v>2.4657534246575342E-2</v>
      </c>
      <c r="D989">
        <v>10</v>
      </c>
    </row>
    <row r="990" spans="1:4" x14ac:dyDescent="0.25">
      <c r="A990" t="s">
        <v>71</v>
      </c>
      <c r="B990">
        <v>13</v>
      </c>
      <c r="C990">
        <v>4.1095890410958902E-2</v>
      </c>
      <c r="D990">
        <v>15</v>
      </c>
    </row>
    <row r="991" spans="1:4" x14ac:dyDescent="0.25">
      <c r="A991" t="s">
        <v>310</v>
      </c>
      <c r="B991">
        <v>14</v>
      </c>
      <c r="C991">
        <v>2.1917808219178082E-2</v>
      </c>
      <c r="D991">
        <v>8</v>
      </c>
    </row>
    <row r="992" spans="1:4" x14ac:dyDescent="0.25">
      <c r="A992" t="s">
        <v>75</v>
      </c>
      <c r="B992">
        <v>15</v>
      </c>
      <c r="C992">
        <v>6.3013698630136991E-2</v>
      </c>
      <c r="D992">
        <v>25</v>
      </c>
    </row>
    <row r="993" spans="1:4" x14ac:dyDescent="0.25">
      <c r="A993" t="s">
        <v>289</v>
      </c>
      <c r="B993">
        <v>20</v>
      </c>
      <c r="C993">
        <v>8.21917808219178E-3</v>
      </c>
      <c r="D993">
        <v>3</v>
      </c>
    </row>
    <row r="994" spans="1:4" x14ac:dyDescent="0.25">
      <c r="A994" t="s">
        <v>76</v>
      </c>
      <c r="B994">
        <v>0</v>
      </c>
      <c r="C994">
        <v>1.643835616438356E-2</v>
      </c>
      <c r="D994">
        <v>6</v>
      </c>
    </row>
    <row r="995" spans="1:4" x14ac:dyDescent="0.25">
      <c r="A995" t="s">
        <v>69</v>
      </c>
      <c r="B995">
        <v>0</v>
      </c>
      <c r="C995">
        <v>3.5616438356164383E-2</v>
      </c>
      <c r="D995">
        <v>15</v>
      </c>
    </row>
    <row r="996" spans="1:4" x14ac:dyDescent="0.25">
      <c r="A996" t="s">
        <v>69</v>
      </c>
      <c r="B996">
        <v>2</v>
      </c>
      <c r="C996">
        <v>1.643835616438356E-2</v>
      </c>
      <c r="D996">
        <v>7</v>
      </c>
    </row>
    <row r="997" spans="1:4" x14ac:dyDescent="0.25">
      <c r="A997" t="s">
        <v>56</v>
      </c>
      <c r="B997">
        <v>5</v>
      </c>
      <c r="C997">
        <v>2.7397260273972601E-2</v>
      </c>
      <c r="D997">
        <v>11</v>
      </c>
    </row>
    <row r="998" spans="1:4" x14ac:dyDescent="0.25">
      <c r="A998" t="s">
        <v>308</v>
      </c>
      <c r="B998">
        <v>10</v>
      </c>
      <c r="C998">
        <v>0.1095890410958904</v>
      </c>
      <c r="D998">
        <v>40</v>
      </c>
    </row>
    <row r="999" spans="1:4" x14ac:dyDescent="0.25">
      <c r="A999" t="s">
        <v>186</v>
      </c>
      <c r="B999">
        <v>11</v>
      </c>
      <c r="C999">
        <v>0.1095890410958904</v>
      </c>
      <c r="D999">
        <v>46</v>
      </c>
    </row>
    <row r="1000" spans="1:4" x14ac:dyDescent="0.25">
      <c r="A1000" t="s">
        <v>287</v>
      </c>
      <c r="B1000">
        <v>12</v>
      </c>
      <c r="C1000">
        <v>1.3698630136986301E-2</v>
      </c>
      <c r="D1000">
        <v>5</v>
      </c>
    </row>
    <row r="1001" spans="1:4" x14ac:dyDescent="0.25">
      <c r="A1001" t="s">
        <v>312</v>
      </c>
      <c r="B1001">
        <v>21</v>
      </c>
      <c r="C1001">
        <v>3.0136986301369864E-2</v>
      </c>
      <c r="D1001">
        <v>12</v>
      </c>
    </row>
    <row r="1002" spans="1:4" x14ac:dyDescent="0.25">
      <c r="A1002" t="s">
        <v>38</v>
      </c>
      <c r="B1002">
        <v>2</v>
      </c>
      <c r="C1002">
        <v>2.7397260273972603E-3</v>
      </c>
      <c r="D1002">
        <v>1</v>
      </c>
    </row>
    <row r="1003" spans="1:4" x14ac:dyDescent="0.25">
      <c r="A1003" t="s">
        <v>186</v>
      </c>
      <c r="B1003">
        <v>15</v>
      </c>
      <c r="C1003">
        <v>5.4794520547945202E-2</v>
      </c>
      <c r="D1003">
        <v>23</v>
      </c>
    </row>
    <row r="1004" spans="1:4" x14ac:dyDescent="0.25">
      <c r="A1004" t="s">
        <v>62</v>
      </c>
      <c r="B1004">
        <v>1</v>
      </c>
      <c r="C1004">
        <v>3.0136986301369864E-2</v>
      </c>
      <c r="D1004">
        <v>12</v>
      </c>
    </row>
    <row r="1005" spans="1:4" x14ac:dyDescent="0.25">
      <c r="A1005" t="s">
        <v>26</v>
      </c>
      <c r="B1005">
        <v>3</v>
      </c>
      <c r="C1005">
        <v>2.4657534246575342E-2</v>
      </c>
      <c r="D1005">
        <v>9</v>
      </c>
    </row>
    <row r="1006" spans="1:4" x14ac:dyDescent="0.25">
      <c r="A1006" t="s">
        <v>393</v>
      </c>
      <c r="B1006">
        <v>3</v>
      </c>
      <c r="C1006">
        <v>8.21917808219178E-3</v>
      </c>
      <c r="D1006">
        <v>3</v>
      </c>
    </row>
    <row r="1007" spans="1:4" x14ac:dyDescent="0.25">
      <c r="A1007" t="s">
        <v>21</v>
      </c>
      <c r="B1007">
        <v>4</v>
      </c>
      <c r="C1007">
        <v>8.21917808219178E-3</v>
      </c>
      <c r="D1007">
        <v>3</v>
      </c>
    </row>
    <row r="1008" spans="1:4" x14ac:dyDescent="0.25">
      <c r="A1008" t="s">
        <v>17</v>
      </c>
      <c r="B1008">
        <v>7</v>
      </c>
      <c r="C1008">
        <v>4.3835616438356165E-2</v>
      </c>
      <c r="D1008">
        <v>19</v>
      </c>
    </row>
    <row r="1009" spans="1:4" x14ac:dyDescent="0.25">
      <c r="A1009" t="s">
        <v>310</v>
      </c>
      <c r="B1009">
        <v>12</v>
      </c>
      <c r="C1009">
        <v>3.0136986301369864E-2</v>
      </c>
      <c r="D1009">
        <v>12</v>
      </c>
    </row>
    <row r="1010" spans="1:4" x14ac:dyDescent="0.25">
      <c r="A1010" t="s">
        <v>321</v>
      </c>
      <c r="B1010">
        <v>12</v>
      </c>
      <c r="C1010">
        <v>3.287671232876712E-2</v>
      </c>
      <c r="D1010">
        <v>15</v>
      </c>
    </row>
    <row r="1011" spans="1:4" x14ac:dyDescent="0.25">
      <c r="A1011" t="s">
        <v>72</v>
      </c>
      <c r="B1011">
        <v>14</v>
      </c>
      <c r="C1011">
        <v>6.0273972602739728E-2</v>
      </c>
      <c r="D1011">
        <v>30</v>
      </c>
    </row>
    <row r="1012" spans="1:4" x14ac:dyDescent="0.25">
      <c r="A1012" t="s">
        <v>79</v>
      </c>
      <c r="B1012">
        <v>22</v>
      </c>
      <c r="C1012">
        <v>8.21917808219178E-3</v>
      </c>
      <c r="D1012">
        <v>3</v>
      </c>
    </row>
    <row r="1013" spans="1:4" x14ac:dyDescent="0.25">
      <c r="A1013" t="s">
        <v>26</v>
      </c>
      <c r="B1013">
        <v>0</v>
      </c>
      <c r="C1013">
        <v>5.4794520547945202E-2</v>
      </c>
      <c r="D1013">
        <v>20</v>
      </c>
    </row>
    <row r="1014" spans="1:4" x14ac:dyDescent="0.25">
      <c r="A1014" t="s">
        <v>296</v>
      </c>
      <c r="B1014">
        <v>1</v>
      </c>
      <c r="C1014">
        <v>8.21917808219178E-3</v>
      </c>
      <c r="D1014">
        <v>3</v>
      </c>
    </row>
    <row r="1015" spans="1:4" x14ac:dyDescent="0.25">
      <c r="A1015" t="s">
        <v>183</v>
      </c>
      <c r="B1015">
        <v>4</v>
      </c>
      <c r="C1015">
        <v>3.287671232876712E-2</v>
      </c>
      <c r="D1015">
        <v>12</v>
      </c>
    </row>
    <row r="1016" spans="1:4" x14ac:dyDescent="0.25">
      <c r="A1016" t="s">
        <v>66</v>
      </c>
      <c r="B1016">
        <v>5</v>
      </c>
      <c r="C1016">
        <v>2.4657534246575342E-2</v>
      </c>
      <c r="D1016">
        <v>9</v>
      </c>
    </row>
    <row r="1017" spans="1:4" x14ac:dyDescent="0.25">
      <c r="A1017" t="s">
        <v>187</v>
      </c>
      <c r="B1017">
        <v>5</v>
      </c>
      <c r="C1017">
        <v>2.1917808219178082E-2</v>
      </c>
      <c r="D1017">
        <v>8</v>
      </c>
    </row>
    <row r="1018" spans="1:4" x14ac:dyDescent="0.25">
      <c r="A1018" t="s">
        <v>309</v>
      </c>
      <c r="B1018">
        <v>6</v>
      </c>
      <c r="C1018">
        <v>1.0958904109589041E-2</v>
      </c>
      <c r="D1018">
        <v>4</v>
      </c>
    </row>
    <row r="1019" spans="1:4" x14ac:dyDescent="0.25">
      <c r="A1019" t="s">
        <v>76</v>
      </c>
      <c r="B1019">
        <v>8</v>
      </c>
      <c r="C1019">
        <v>4.6575342465753428E-2</v>
      </c>
      <c r="D1019">
        <v>17</v>
      </c>
    </row>
    <row r="1020" spans="1:4" x14ac:dyDescent="0.25">
      <c r="A1020" t="s">
        <v>314</v>
      </c>
      <c r="B1020">
        <v>20</v>
      </c>
      <c r="C1020">
        <v>2.1917808219178082E-2</v>
      </c>
      <c r="D1020">
        <v>8</v>
      </c>
    </row>
    <row r="1021" spans="1:4" x14ac:dyDescent="0.25">
      <c r="A1021" t="s">
        <v>393</v>
      </c>
      <c r="B1021">
        <v>22</v>
      </c>
      <c r="C1021">
        <v>4.3835616438356165E-2</v>
      </c>
      <c r="D1021">
        <v>17</v>
      </c>
    </row>
    <row r="1022" spans="1:4" x14ac:dyDescent="0.25">
      <c r="A1022" t="s">
        <v>73</v>
      </c>
      <c r="B1022">
        <v>22</v>
      </c>
      <c r="C1022">
        <v>3.287671232876712E-2</v>
      </c>
      <c r="D1022">
        <v>12</v>
      </c>
    </row>
    <row r="1023" spans="1:4" x14ac:dyDescent="0.25">
      <c r="A1023" t="s">
        <v>67</v>
      </c>
      <c r="B1023">
        <v>22</v>
      </c>
      <c r="C1023">
        <v>8.2191780821917804E-2</v>
      </c>
      <c r="D1023">
        <v>32</v>
      </c>
    </row>
    <row r="1024" spans="1:4" x14ac:dyDescent="0.25">
      <c r="A1024" t="s">
        <v>187</v>
      </c>
      <c r="B1024">
        <v>23</v>
      </c>
      <c r="C1024">
        <v>4.3835616438356165E-2</v>
      </c>
      <c r="D1024">
        <v>18</v>
      </c>
    </row>
    <row r="1025" spans="1:4" x14ac:dyDescent="0.25">
      <c r="A1025" t="s">
        <v>318</v>
      </c>
      <c r="B1025">
        <v>2</v>
      </c>
      <c r="C1025">
        <v>2.7397260273972603E-3</v>
      </c>
      <c r="D1025">
        <v>1</v>
      </c>
    </row>
    <row r="1026" spans="1:4" x14ac:dyDescent="0.25">
      <c r="A1026" t="s">
        <v>26</v>
      </c>
      <c r="B1026">
        <v>5</v>
      </c>
      <c r="C1026">
        <v>1.9178082191780823E-2</v>
      </c>
      <c r="D1026">
        <v>7</v>
      </c>
    </row>
    <row r="1027" spans="1:4" x14ac:dyDescent="0.25">
      <c r="A1027" t="s">
        <v>308</v>
      </c>
      <c r="B1027">
        <v>14</v>
      </c>
      <c r="C1027">
        <v>2.1917808219178082E-2</v>
      </c>
      <c r="D1027">
        <v>8</v>
      </c>
    </row>
    <row r="1028" spans="1:4" x14ac:dyDescent="0.25">
      <c r="A1028" t="s">
        <v>184</v>
      </c>
      <c r="B1028">
        <v>2</v>
      </c>
      <c r="C1028">
        <v>5.2054794520547946E-2</v>
      </c>
      <c r="D1028">
        <v>23</v>
      </c>
    </row>
    <row r="1029" spans="1:4" x14ac:dyDescent="0.25">
      <c r="A1029" t="s">
        <v>38</v>
      </c>
      <c r="B1029">
        <v>8</v>
      </c>
      <c r="C1029">
        <v>1.0958904109589041E-2</v>
      </c>
      <c r="D1029">
        <v>4</v>
      </c>
    </row>
    <row r="1030" spans="1:4" x14ac:dyDescent="0.25">
      <c r="A1030" t="s">
        <v>313</v>
      </c>
      <c r="B1030">
        <v>21</v>
      </c>
      <c r="C1030">
        <v>1.9178082191780823E-2</v>
      </c>
      <c r="D1030">
        <v>7</v>
      </c>
    </row>
    <row r="1031" spans="1:4" x14ac:dyDescent="0.25">
      <c r="A1031" t="s">
        <v>318</v>
      </c>
      <c r="B1031">
        <v>20</v>
      </c>
      <c r="C1031">
        <v>8.21917808219178E-3</v>
      </c>
      <c r="D1031">
        <v>3</v>
      </c>
    </row>
    <row r="1032" spans="1:4" x14ac:dyDescent="0.25">
      <c r="A1032" t="s">
        <v>78</v>
      </c>
      <c r="B1032">
        <v>20</v>
      </c>
      <c r="C1032">
        <v>2.1917808219178082E-2</v>
      </c>
      <c r="D1032">
        <v>8</v>
      </c>
    </row>
    <row r="1033" spans="1:4" x14ac:dyDescent="0.25">
      <c r="A1033" t="s">
        <v>75</v>
      </c>
      <c r="B1033">
        <v>3</v>
      </c>
      <c r="C1033">
        <v>5.4794520547945206E-3</v>
      </c>
      <c r="D1033">
        <v>2</v>
      </c>
    </row>
    <row r="1034" spans="1:4" x14ac:dyDescent="0.25">
      <c r="A1034" t="s">
        <v>288</v>
      </c>
      <c r="B1034">
        <v>11</v>
      </c>
      <c r="C1034">
        <v>4.3835616438356165E-2</v>
      </c>
      <c r="D1034">
        <v>17</v>
      </c>
    </row>
    <row r="1035" spans="1:4" x14ac:dyDescent="0.25">
      <c r="A1035" t="s">
        <v>313</v>
      </c>
      <c r="B1035">
        <v>15</v>
      </c>
      <c r="C1035">
        <v>1.0958904109589041E-2</v>
      </c>
      <c r="D1035">
        <v>4</v>
      </c>
    </row>
    <row r="1036" spans="1:4" x14ac:dyDescent="0.25">
      <c r="A1036" t="s">
        <v>288</v>
      </c>
      <c r="B1036">
        <v>22</v>
      </c>
      <c r="C1036">
        <v>4.1095890410958902E-2</v>
      </c>
      <c r="D1036">
        <v>16</v>
      </c>
    </row>
    <row r="1037" spans="1:4" x14ac:dyDescent="0.25">
      <c r="A1037" t="s">
        <v>288</v>
      </c>
      <c r="B1037">
        <v>0</v>
      </c>
      <c r="C1037">
        <v>5.4794520547945206E-3</v>
      </c>
      <c r="D1037">
        <v>3</v>
      </c>
    </row>
    <row r="1038" spans="1:4" x14ac:dyDescent="0.25">
      <c r="A1038" t="s">
        <v>37</v>
      </c>
      <c r="B1038">
        <v>1</v>
      </c>
      <c r="C1038">
        <v>2.7397260273972601E-2</v>
      </c>
      <c r="D1038">
        <v>10</v>
      </c>
    </row>
    <row r="1039" spans="1:4" x14ac:dyDescent="0.25">
      <c r="A1039" t="s">
        <v>184</v>
      </c>
      <c r="B1039">
        <v>3</v>
      </c>
      <c r="C1039">
        <v>5.2054794520547946E-2</v>
      </c>
      <c r="D1039">
        <v>19</v>
      </c>
    </row>
    <row r="1040" spans="1:4" x14ac:dyDescent="0.25">
      <c r="A1040" t="s">
        <v>72</v>
      </c>
      <c r="B1040">
        <v>6</v>
      </c>
      <c r="C1040">
        <v>1.643835616438356E-2</v>
      </c>
      <c r="D1040">
        <v>6</v>
      </c>
    </row>
    <row r="1041" spans="1:4" x14ac:dyDescent="0.25">
      <c r="A1041" t="s">
        <v>289</v>
      </c>
      <c r="B1041">
        <v>19</v>
      </c>
      <c r="C1041">
        <v>3.287671232876712E-2</v>
      </c>
      <c r="D1041">
        <v>13</v>
      </c>
    </row>
    <row r="1042" spans="1:4" x14ac:dyDescent="0.25">
      <c r="A1042" t="s">
        <v>313</v>
      </c>
      <c r="B1042">
        <v>0</v>
      </c>
      <c r="C1042">
        <v>1.643835616438356E-2</v>
      </c>
      <c r="D1042">
        <v>6</v>
      </c>
    </row>
    <row r="1043" spans="1:4" x14ac:dyDescent="0.25">
      <c r="A1043" t="s">
        <v>186</v>
      </c>
      <c r="B1043">
        <v>3</v>
      </c>
      <c r="C1043">
        <v>1.0958904109589041E-2</v>
      </c>
      <c r="D1043">
        <v>4</v>
      </c>
    </row>
    <row r="1044" spans="1:4" x14ac:dyDescent="0.25">
      <c r="A1044" t="s">
        <v>316</v>
      </c>
      <c r="B1044">
        <v>3</v>
      </c>
      <c r="C1044">
        <v>8.21917808219178E-3</v>
      </c>
      <c r="D1044">
        <v>4</v>
      </c>
    </row>
    <row r="1045" spans="1:4" x14ac:dyDescent="0.25">
      <c r="A1045" t="s">
        <v>17</v>
      </c>
      <c r="B1045">
        <v>3</v>
      </c>
      <c r="C1045">
        <v>1.643835616438356E-2</v>
      </c>
      <c r="D1045">
        <v>6</v>
      </c>
    </row>
    <row r="1046" spans="1:4" x14ac:dyDescent="0.25">
      <c r="A1046" t="s">
        <v>17</v>
      </c>
      <c r="B1046">
        <v>4</v>
      </c>
      <c r="C1046">
        <v>1.9178082191780823E-2</v>
      </c>
      <c r="D1046">
        <v>9</v>
      </c>
    </row>
    <row r="1047" spans="1:4" x14ac:dyDescent="0.25">
      <c r="A1047" t="s">
        <v>317</v>
      </c>
      <c r="B1047">
        <v>2</v>
      </c>
      <c r="C1047">
        <v>4.3835616438356165E-2</v>
      </c>
      <c r="D1047">
        <v>18</v>
      </c>
    </row>
    <row r="1048" spans="1:4" x14ac:dyDescent="0.25">
      <c r="A1048" t="s">
        <v>188</v>
      </c>
      <c r="B1048">
        <v>7</v>
      </c>
      <c r="C1048">
        <v>3.287671232876712E-2</v>
      </c>
      <c r="D1048">
        <v>15</v>
      </c>
    </row>
    <row r="1049" spans="1:4" x14ac:dyDescent="0.25">
      <c r="A1049" t="s">
        <v>287</v>
      </c>
      <c r="B1049">
        <v>9</v>
      </c>
      <c r="C1049">
        <v>1.643835616438356E-2</v>
      </c>
      <c r="D1049">
        <v>9</v>
      </c>
    </row>
    <row r="1050" spans="1:4" x14ac:dyDescent="0.25">
      <c r="A1050" t="s">
        <v>308</v>
      </c>
      <c r="B1050">
        <v>19</v>
      </c>
      <c r="C1050">
        <v>4.1095890410958902E-2</v>
      </c>
      <c r="D1050">
        <v>16</v>
      </c>
    </row>
    <row r="1051" spans="1:4" x14ac:dyDescent="0.25">
      <c r="A1051" t="s">
        <v>21</v>
      </c>
      <c r="B1051">
        <v>23</v>
      </c>
      <c r="C1051">
        <v>2.4657534246575342E-2</v>
      </c>
      <c r="D1051">
        <v>10</v>
      </c>
    </row>
    <row r="1052" spans="1:4" x14ac:dyDescent="0.25">
      <c r="A1052" t="s">
        <v>69</v>
      </c>
      <c r="B1052">
        <v>5</v>
      </c>
      <c r="C1052">
        <v>8.21917808219178E-3</v>
      </c>
      <c r="D1052">
        <v>3</v>
      </c>
    </row>
    <row r="1053" spans="1:4" x14ac:dyDescent="0.25">
      <c r="A1053" t="s">
        <v>296</v>
      </c>
      <c r="B1053">
        <v>22</v>
      </c>
      <c r="C1053">
        <v>8.21917808219178E-3</v>
      </c>
      <c r="D1053">
        <v>4</v>
      </c>
    </row>
    <row r="1054" spans="1:4" x14ac:dyDescent="0.25">
      <c r="A1054" t="s">
        <v>289</v>
      </c>
      <c r="B1054">
        <v>22</v>
      </c>
      <c r="C1054">
        <v>5.4794520547945206E-3</v>
      </c>
      <c r="D1054">
        <v>2</v>
      </c>
    </row>
    <row r="1055" spans="1:4" x14ac:dyDescent="0.25">
      <c r="A1055" t="s">
        <v>314</v>
      </c>
      <c r="B1055">
        <v>22</v>
      </c>
      <c r="C1055">
        <v>8.21917808219178E-3</v>
      </c>
      <c r="D1055">
        <v>3</v>
      </c>
    </row>
    <row r="1056" spans="1:4" x14ac:dyDescent="0.25">
      <c r="A1056" t="s">
        <v>65</v>
      </c>
      <c r="B1056">
        <v>0</v>
      </c>
      <c r="C1056">
        <v>6.0273972602739728E-2</v>
      </c>
      <c r="D1056">
        <v>26</v>
      </c>
    </row>
    <row r="1057" spans="1:4" x14ac:dyDescent="0.25">
      <c r="A1057" t="s">
        <v>318</v>
      </c>
      <c r="B1057">
        <v>8</v>
      </c>
      <c r="C1057">
        <v>1.643835616438356E-2</v>
      </c>
      <c r="D1057">
        <v>6</v>
      </c>
    </row>
    <row r="1058" spans="1:4" x14ac:dyDescent="0.25">
      <c r="A1058" t="s">
        <v>75</v>
      </c>
      <c r="B1058">
        <v>12</v>
      </c>
      <c r="C1058">
        <v>4.6575342465753428E-2</v>
      </c>
      <c r="D1058">
        <v>18</v>
      </c>
    </row>
    <row r="1059" spans="1:4" x14ac:dyDescent="0.25">
      <c r="A1059" t="s">
        <v>78</v>
      </c>
      <c r="B1059">
        <v>1</v>
      </c>
      <c r="C1059">
        <v>8.21917808219178E-3</v>
      </c>
      <c r="D1059">
        <v>3</v>
      </c>
    </row>
    <row r="1060" spans="1:4" x14ac:dyDescent="0.25">
      <c r="A1060" t="s">
        <v>393</v>
      </c>
      <c r="B1060">
        <v>12</v>
      </c>
      <c r="C1060">
        <v>4.9315068493150684E-2</v>
      </c>
      <c r="D1060">
        <v>19</v>
      </c>
    </row>
    <row r="1061" spans="1:4" x14ac:dyDescent="0.25">
      <c r="A1061" t="s">
        <v>309</v>
      </c>
      <c r="B1061">
        <v>13</v>
      </c>
      <c r="C1061">
        <v>3.8356164383561646E-2</v>
      </c>
      <c r="D1061">
        <v>17</v>
      </c>
    </row>
    <row r="1062" spans="1:4" x14ac:dyDescent="0.25">
      <c r="A1062" t="s">
        <v>288</v>
      </c>
      <c r="B1062">
        <v>23</v>
      </c>
      <c r="C1062">
        <v>2.7397260273972603E-3</v>
      </c>
      <c r="D1062">
        <v>1</v>
      </c>
    </row>
    <row r="1063" spans="1:4" x14ac:dyDescent="0.25">
      <c r="A1063" t="s">
        <v>64</v>
      </c>
      <c r="B1063">
        <v>0</v>
      </c>
      <c r="C1063">
        <v>2.1917808219178082E-2</v>
      </c>
      <c r="D1063">
        <v>9</v>
      </c>
    </row>
    <row r="1064" spans="1:4" x14ac:dyDescent="0.25">
      <c r="A1064" t="s">
        <v>316</v>
      </c>
      <c r="B1064">
        <v>4</v>
      </c>
      <c r="C1064">
        <v>1.3698630136986301E-2</v>
      </c>
      <c r="D1064">
        <v>5</v>
      </c>
    </row>
    <row r="1065" spans="1:4" x14ac:dyDescent="0.25">
      <c r="A1065" t="s">
        <v>189</v>
      </c>
      <c r="B1065">
        <v>13</v>
      </c>
      <c r="C1065">
        <v>6.0273972602739728E-2</v>
      </c>
      <c r="D1065">
        <v>28</v>
      </c>
    </row>
    <row r="1066" spans="1:4" x14ac:dyDescent="0.25">
      <c r="A1066" t="s">
        <v>290</v>
      </c>
      <c r="B1066">
        <v>16</v>
      </c>
      <c r="C1066">
        <v>1.9178082191780823E-2</v>
      </c>
      <c r="D1066">
        <v>8</v>
      </c>
    </row>
    <row r="1067" spans="1:4" x14ac:dyDescent="0.25">
      <c r="A1067" t="s">
        <v>28</v>
      </c>
      <c r="B1067">
        <v>21</v>
      </c>
      <c r="C1067">
        <v>5.4794520547945202E-2</v>
      </c>
      <c r="D1067">
        <v>20</v>
      </c>
    </row>
    <row r="1068" spans="1:4" x14ac:dyDescent="0.25">
      <c r="A1068" t="s">
        <v>32</v>
      </c>
      <c r="B1068">
        <v>23</v>
      </c>
      <c r="C1068">
        <v>1.3698630136986301E-2</v>
      </c>
      <c r="D1068">
        <v>5</v>
      </c>
    </row>
    <row r="1069" spans="1:4" x14ac:dyDescent="0.25">
      <c r="A1069" t="s">
        <v>309</v>
      </c>
      <c r="B1069">
        <v>23</v>
      </c>
      <c r="C1069">
        <v>1.0958904109589041E-2</v>
      </c>
      <c r="D1069">
        <v>4</v>
      </c>
    </row>
    <row r="1070" spans="1:4" x14ac:dyDescent="0.25">
      <c r="A1070" t="s">
        <v>190</v>
      </c>
      <c r="B1070">
        <v>1</v>
      </c>
      <c r="C1070">
        <v>1.9178082191780823E-2</v>
      </c>
      <c r="D1070">
        <v>8</v>
      </c>
    </row>
    <row r="1071" spans="1:4" x14ac:dyDescent="0.25">
      <c r="A1071" t="s">
        <v>289</v>
      </c>
      <c r="B1071">
        <v>1</v>
      </c>
      <c r="C1071">
        <v>1.3698630136986301E-2</v>
      </c>
      <c r="D1071">
        <v>5</v>
      </c>
    </row>
    <row r="1072" spans="1:4" x14ac:dyDescent="0.25">
      <c r="A1072" t="s">
        <v>320</v>
      </c>
      <c r="B1072">
        <v>2</v>
      </c>
      <c r="C1072">
        <v>2.7397260273972603E-3</v>
      </c>
      <c r="D1072">
        <v>1</v>
      </c>
    </row>
    <row r="1073" spans="1:4" x14ac:dyDescent="0.25">
      <c r="A1073" t="s">
        <v>76</v>
      </c>
      <c r="B1073">
        <v>2</v>
      </c>
      <c r="C1073">
        <v>5.4794520547945206E-3</v>
      </c>
      <c r="D1073">
        <v>2</v>
      </c>
    </row>
    <row r="1074" spans="1:4" x14ac:dyDescent="0.25">
      <c r="A1074" t="s">
        <v>21</v>
      </c>
      <c r="B1074">
        <v>3</v>
      </c>
      <c r="C1074">
        <v>2.7397260273972603E-3</v>
      </c>
      <c r="D1074">
        <v>1</v>
      </c>
    </row>
    <row r="1075" spans="1:4" x14ac:dyDescent="0.25">
      <c r="A1075" t="s">
        <v>28</v>
      </c>
      <c r="B1075">
        <v>4</v>
      </c>
      <c r="C1075">
        <v>2.1917808219178082E-2</v>
      </c>
      <c r="D1075">
        <v>8</v>
      </c>
    </row>
    <row r="1076" spans="1:4" x14ac:dyDescent="0.25">
      <c r="A1076" t="s">
        <v>19</v>
      </c>
      <c r="B1076">
        <v>5</v>
      </c>
      <c r="C1076">
        <v>1.0958904109589041E-2</v>
      </c>
      <c r="D1076">
        <v>6</v>
      </c>
    </row>
    <row r="1077" spans="1:4" x14ac:dyDescent="0.25">
      <c r="A1077" t="s">
        <v>393</v>
      </c>
      <c r="B1077">
        <v>6</v>
      </c>
      <c r="C1077">
        <v>1.643835616438356E-2</v>
      </c>
      <c r="D1077">
        <v>6</v>
      </c>
    </row>
    <row r="1078" spans="1:4" x14ac:dyDescent="0.25">
      <c r="A1078" t="s">
        <v>286</v>
      </c>
      <c r="B1078">
        <v>13</v>
      </c>
      <c r="C1078">
        <v>2.7397260273972603E-3</v>
      </c>
      <c r="D1078">
        <v>1</v>
      </c>
    </row>
    <row r="1079" spans="1:4" x14ac:dyDescent="0.25">
      <c r="A1079" t="s">
        <v>289</v>
      </c>
      <c r="B1079">
        <v>16</v>
      </c>
      <c r="C1079">
        <v>1.0958904109589041E-2</v>
      </c>
      <c r="D1079">
        <v>4</v>
      </c>
    </row>
    <row r="1080" spans="1:4" x14ac:dyDescent="0.25">
      <c r="A1080" t="s">
        <v>64</v>
      </c>
      <c r="B1080">
        <v>23</v>
      </c>
      <c r="C1080">
        <v>6.3013698630136991E-2</v>
      </c>
      <c r="D1080">
        <v>28</v>
      </c>
    </row>
    <row r="1081" spans="1:4" x14ac:dyDescent="0.25">
      <c r="A1081" t="s">
        <v>75</v>
      </c>
      <c r="B1081">
        <v>2</v>
      </c>
      <c r="C1081">
        <v>1.643835616438356E-2</v>
      </c>
      <c r="D1081">
        <v>6</v>
      </c>
    </row>
    <row r="1082" spans="1:4" x14ac:dyDescent="0.25">
      <c r="A1082" t="s">
        <v>60</v>
      </c>
      <c r="B1082">
        <v>4</v>
      </c>
      <c r="C1082">
        <v>2.1917808219178082E-2</v>
      </c>
      <c r="D1082">
        <v>11</v>
      </c>
    </row>
    <row r="1083" spans="1:4" x14ac:dyDescent="0.25">
      <c r="A1083" t="s">
        <v>63</v>
      </c>
      <c r="B1083">
        <v>5</v>
      </c>
      <c r="C1083">
        <v>1.0958904109589041E-2</v>
      </c>
      <c r="D1083">
        <v>4</v>
      </c>
    </row>
    <row r="1084" spans="1:4" x14ac:dyDescent="0.25">
      <c r="A1084" t="s">
        <v>186</v>
      </c>
      <c r="B1084">
        <v>8</v>
      </c>
      <c r="C1084">
        <v>3.287671232876712E-2</v>
      </c>
      <c r="D1084">
        <v>12</v>
      </c>
    </row>
    <row r="1085" spans="1:4" x14ac:dyDescent="0.25">
      <c r="A1085" t="s">
        <v>310</v>
      </c>
      <c r="B1085">
        <v>21</v>
      </c>
      <c r="C1085">
        <v>8.21917808219178E-3</v>
      </c>
      <c r="D1085">
        <v>3</v>
      </c>
    </row>
    <row r="1086" spans="1:4" x14ac:dyDescent="0.25">
      <c r="A1086" t="s">
        <v>186</v>
      </c>
      <c r="B1086">
        <v>4</v>
      </c>
      <c r="C1086">
        <v>8.21917808219178E-3</v>
      </c>
      <c r="D1086">
        <v>3</v>
      </c>
    </row>
    <row r="1087" spans="1:4" x14ac:dyDescent="0.25">
      <c r="A1087" t="s">
        <v>21</v>
      </c>
      <c r="B1087">
        <v>21</v>
      </c>
      <c r="C1087">
        <v>2.1917808219178082E-2</v>
      </c>
      <c r="D1087">
        <v>9</v>
      </c>
    </row>
    <row r="1088" spans="1:4" x14ac:dyDescent="0.25">
      <c r="A1088" t="s">
        <v>187</v>
      </c>
      <c r="B1088">
        <v>7</v>
      </c>
      <c r="C1088">
        <v>7.9452054794520555E-2</v>
      </c>
      <c r="D1088">
        <v>30</v>
      </c>
    </row>
    <row r="1089" spans="1:4" x14ac:dyDescent="0.25">
      <c r="A1089" t="s">
        <v>309</v>
      </c>
      <c r="B1089">
        <v>9</v>
      </c>
      <c r="C1089">
        <v>3.287671232876712E-2</v>
      </c>
      <c r="D1089">
        <v>13</v>
      </c>
    </row>
    <row r="1090" spans="1:4" x14ac:dyDescent="0.25">
      <c r="A1090" t="s">
        <v>310</v>
      </c>
      <c r="B1090">
        <v>9</v>
      </c>
      <c r="C1090">
        <v>2.4657534246575342E-2</v>
      </c>
      <c r="D1090">
        <v>9</v>
      </c>
    </row>
    <row r="1091" spans="1:4" x14ac:dyDescent="0.25">
      <c r="A1091" t="s">
        <v>314</v>
      </c>
      <c r="B1091">
        <v>15</v>
      </c>
      <c r="C1091">
        <v>2.7397260273972601E-2</v>
      </c>
      <c r="D1091">
        <v>10</v>
      </c>
    </row>
    <row r="1092" spans="1:4" x14ac:dyDescent="0.25">
      <c r="A1092" t="s">
        <v>321</v>
      </c>
      <c r="B1092">
        <v>15</v>
      </c>
      <c r="C1092">
        <v>2.4657534246575342E-2</v>
      </c>
      <c r="D1092">
        <v>9</v>
      </c>
    </row>
    <row r="1093" spans="1:4" x14ac:dyDescent="0.25">
      <c r="A1093" t="s">
        <v>78</v>
      </c>
      <c r="B1093">
        <v>15</v>
      </c>
      <c r="C1093">
        <v>3.287671232876712E-2</v>
      </c>
      <c r="D1093">
        <v>13</v>
      </c>
    </row>
    <row r="1094" spans="1:4" x14ac:dyDescent="0.25">
      <c r="A1094" t="s">
        <v>37</v>
      </c>
      <c r="B1094">
        <v>22</v>
      </c>
      <c r="C1094">
        <v>1.3698630136986301E-2</v>
      </c>
      <c r="D1094">
        <v>5</v>
      </c>
    </row>
    <row r="1095" spans="1:4" x14ac:dyDescent="0.25">
      <c r="A1095" t="s">
        <v>19</v>
      </c>
      <c r="B1095">
        <v>0</v>
      </c>
      <c r="C1095">
        <v>4.1095890410958902E-2</v>
      </c>
      <c r="D1095">
        <v>18</v>
      </c>
    </row>
    <row r="1096" spans="1:4" x14ac:dyDescent="0.25">
      <c r="A1096" t="s">
        <v>309</v>
      </c>
      <c r="B1096">
        <v>8</v>
      </c>
      <c r="C1096">
        <v>1.3698630136986301E-2</v>
      </c>
      <c r="D1096">
        <v>5</v>
      </c>
    </row>
    <row r="1097" spans="1:4" x14ac:dyDescent="0.25">
      <c r="A1097" t="s">
        <v>297</v>
      </c>
      <c r="B1097">
        <v>8</v>
      </c>
      <c r="C1097">
        <v>5.4794520547945206E-3</v>
      </c>
      <c r="D1097">
        <v>2</v>
      </c>
    </row>
    <row r="1098" spans="1:4" x14ac:dyDescent="0.25">
      <c r="A1098" t="s">
        <v>310</v>
      </c>
      <c r="B1098">
        <v>15</v>
      </c>
      <c r="C1098">
        <v>5.2054794520547946E-2</v>
      </c>
      <c r="D1098">
        <v>20</v>
      </c>
    </row>
    <row r="1099" spans="1:4" x14ac:dyDescent="0.25">
      <c r="A1099" t="s">
        <v>79</v>
      </c>
      <c r="B1099">
        <v>18</v>
      </c>
      <c r="C1099">
        <v>5.4794520547945206E-3</v>
      </c>
      <c r="D1099">
        <v>2</v>
      </c>
    </row>
    <row r="1100" spans="1:4" x14ac:dyDescent="0.25">
      <c r="A1100" t="s">
        <v>186</v>
      </c>
      <c r="B1100">
        <v>1</v>
      </c>
      <c r="C1100">
        <v>1.9178082191780823E-2</v>
      </c>
      <c r="D1100">
        <v>7</v>
      </c>
    </row>
    <row r="1101" spans="1:4" x14ac:dyDescent="0.25">
      <c r="A1101" t="s">
        <v>67</v>
      </c>
      <c r="B1101">
        <v>3</v>
      </c>
      <c r="C1101">
        <v>2.1917808219178082E-2</v>
      </c>
      <c r="D1101">
        <v>8</v>
      </c>
    </row>
    <row r="1102" spans="1:4" x14ac:dyDescent="0.25">
      <c r="A1102" t="s">
        <v>189</v>
      </c>
      <c r="B1102">
        <v>3</v>
      </c>
      <c r="C1102">
        <v>1.643835616438356E-2</v>
      </c>
      <c r="D1102">
        <v>6</v>
      </c>
    </row>
    <row r="1103" spans="1:4" x14ac:dyDescent="0.25">
      <c r="A1103" t="s">
        <v>309</v>
      </c>
      <c r="B1103">
        <v>1</v>
      </c>
      <c r="C1103">
        <v>5.4794520547945206E-3</v>
      </c>
      <c r="D1103">
        <v>2</v>
      </c>
    </row>
    <row r="1104" spans="1:4" x14ac:dyDescent="0.25">
      <c r="A1104" t="s">
        <v>56</v>
      </c>
      <c r="B1104">
        <v>2</v>
      </c>
      <c r="C1104">
        <v>3.8356164383561646E-2</v>
      </c>
      <c r="D1104">
        <v>16</v>
      </c>
    </row>
    <row r="1105" spans="1:4" x14ac:dyDescent="0.25">
      <c r="A1105" t="s">
        <v>28</v>
      </c>
      <c r="B1105">
        <v>7</v>
      </c>
      <c r="C1105">
        <v>8.2191780821917804E-2</v>
      </c>
      <c r="D1105">
        <v>31</v>
      </c>
    </row>
    <row r="1106" spans="1:4" x14ac:dyDescent="0.25">
      <c r="A1106" t="s">
        <v>309</v>
      </c>
      <c r="B1106">
        <v>18</v>
      </c>
      <c r="C1106">
        <v>4.3835616438356165E-2</v>
      </c>
      <c r="D1106">
        <v>16</v>
      </c>
    </row>
    <row r="1107" spans="1:4" x14ac:dyDescent="0.25">
      <c r="A1107" t="s">
        <v>28</v>
      </c>
      <c r="B1107">
        <v>20</v>
      </c>
      <c r="C1107">
        <v>7.6712328767123292E-2</v>
      </c>
      <c r="D1107">
        <v>29</v>
      </c>
    </row>
    <row r="1108" spans="1:4" x14ac:dyDescent="0.25">
      <c r="A1108" t="s">
        <v>184</v>
      </c>
      <c r="B1108">
        <v>4</v>
      </c>
      <c r="C1108">
        <v>1.3698630136986301E-2</v>
      </c>
      <c r="D1108">
        <v>5</v>
      </c>
    </row>
    <row r="1109" spans="1:4" x14ac:dyDescent="0.25">
      <c r="A1109" t="s">
        <v>393</v>
      </c>
      <c r="B1109">
        <v>7</v>
      </c>
      <c r="C1109">
        <v>2.4657534246575342E-2</v>
      </c>
      <c r="D1109">
        <v>9</v>
      </c>
    </row>
    <row r="1110" spans="1:4" x14ac:dyDescent="0.25">
      <c r="A1110" t="s">
        <v>297</v>
      </c>
      <c r="B1110">
        <v>15</v>
      </c>
      <c r="C1110">
        <v>1.643835616438356E-2</v>
      </c>
      <c r="D1110">
        <v>6</v>
      </c>
    </row>
    <row r="1111" spans="1:4" x14ac:dyDescent="0.25">
      <c r="A1111" t="s">
        <v>297</v>
      </c>
      <c r="B1111">
        <v>19</v>
      </c>
      <c r="C1111">
        <v>8.21917808219178E-3</v>
      </c>
      <c r="D1111">
        <v>3</v>
      </c>
    </row>
    <row r="1112" spans="1:4" x14ac:dyDescent="0.25">
      <c r="A1112" t="s">
        <v>56</v>
      </c>
      <c r="B1112">
        <v>1</v>
      </c>
      <c r="C1112">
        <v>4.1095890410958902E-2</v>
      </c>
      <c r="D1112">
        <v>15</v>
      </c>
    </row>
    <row r="1113" spans="1:4" x14ac:dyDescent="0.25">
      <c r="A1113" t="s">
        <v>187</v>
      </c>
      <c r="B1113">
        <v>2</v>
      </c>
      <c r="C1113">
        <v>3.8356164383561646E-2</v>
      </c>
      <c r="D1113">
        <v>14</v>
      </c>
    </row>
    <row r="1114" spans="1:4" x14ac:dyDescent="0.25">
      <c r="A1114" t="s">
        <v>320</v>
      </c>
      <c r="B1114">
        <v>7</v>
      </c>
      <c r="C1114">
        <v>2.4657534246575342E-2</v>
      </c>
      <c r="D1114">
        <v>9</v>
      </c>
    </row>
    <row r="1115" spans="1:4" x14ac:dyDescent="0.25">
      <c r="A1115" t="s">
        <v>312</v>
      </c>
      <c r="B1115">
        <v>7</v>
      </c>
      <c r="C1115">
        <v>1.9178082191780823E-2</v>
      </c>
      <c r="D1115">
        <v>8</v>
      </c>
    </row>
    <row r="1116" spans="1:4" x14ac:dyDescent="0.25">
      <c r="A1116" t="s">
        <v>319</v>
      </c>
      <c r="B1116">
        <v>20</v>
      </c>
      <c r="C1116">
        <v>2.7397260273972603E-3</v>
      </c>
      <c r="D1116">
        <v>1</v>
      </c>
    </row>
    <row r="1117" spans="1:4" x14ac:dyDescent="0.25">
      <c r="A1117" t="s">
        <v>190</v>
      </c>
      <c r="B1117">
        <v>13</v>
      </c>
      <c r="C1117">
        <v>3.8356164383561646E-2</v>
      </c>
      <c r="D1117">
        <v>15</v>
      </c>
    </row>
    <row r="1118" spans="1:4" x14ac:dyDescent="0.25">
      <c r="A1118" t="s">
        <v>77</v>
      </c>
      <c r="B1118">
        <v>0</v>
      </c>
      <c r="C1118">
        <v>2.4657534246575342E-2</v>
      </c>
      <c r="D1118">
        <v>11</v>
      </c>
    </row>
    <row r="1119" spans="1:4" x14ac:dyDescent="0.25">
      <c r="A1119" t="s">
        <v>79</v>
      </c>
      <c r="B1119">
        <v>5</v>
      </c>
      <c r="C1119">
        <v>5.4794520547945206E-3</v>
      </c>
      <c r="D1119">
        <v>2</v>
      </c>
    </row>
    <row r="1120" spans="1:4" x14ac:dyDescent="0.25">
      <c r="A1120" t="s">
        <v>186</v>
      </c>
      <c r="B1120">
        <v>7</v>
      </c>
      <c r="C1120">
        <v>1.0958904109589041E-2</v>
      </c>
      <c r="D1120">
        <v>4</v>
      </c>
    </row>
    <row r="1121" spans="1:4" x14ac:dyDescent="0.25">
      <c r="A1121" t="s">
        <v>321</v>
      </c>
      <c r="B1121">
        <v>10</v>
      </c>
      <c r="C1121">
        <v>3.5616438356164383E-2</v>
      </c>
      <c r="D1121">
        <v>15</v>
      </c>
    </row>
    <row r="1122" spans="1:4" x14ac:dyDescent="0.25">
      <c r="A1122" t="s">
        <v>79</v>
      </c>
      <c r="B1122">
        <v>20</v>
      </c>
      <c r="C1122">
        <v>2.1917808219178082E-2</v>
      </c>
      <c r="D1122">
        <v>9</v>
      </c>
    </row>
    <row r="1123" spans="1:4" x14ac:dyDescent="0.25">
      <c r="A1123" t="s">
        <v>69</v>
      </c>
      <c r="B1123">
        <v>22</v>
      </c>
      <c r="C1123">
        <v>3.287671232876712E-2</v>
      </c>
      <c r="D1123">
        <v>15</v>
      </c>
    </row>
    <row r="1124" spans="1:4" x14ac:dyDescent="0.25">
      <c r="A1124" t="s">
        <v>36</v>
      </c>
      <c r="B1124">
        <v>23</v>
      </c>
      <c r="C1124">
        <v>2.1917808219178082E-2</v>
      </c>
      <c r="D1124">
        <v>9</v>
      </c>
    </row>
    <row r="1125" spans="1:4" x14ac:dyDescent="0.25">
      <c r="A1125" t="s">
        <v>314</v>
      </c>
      <c r="B1125">
        <v>23</v>
      </c>
      <c r="C1125">
        <v>5.4794520547945206E-3</v>
      </c>
      <c r="D1125">
        <v>2</v>
      </c>
    </row>
    <row r="1126" spans="1:4" x14ac:dyDescent="0.25">
      <c r="A1126" t="s">
        <v>186</v>
      </c>
      <c r="B1126">
        <v>2</v>
      </c>
      <c r="C1126">
        <v>8.21917808219178E-3</v>
      </c>
      <c r="D1126">
        <v>3</v>
      </c>
    </row>
    <row r="1127" spans="1:4" x14ac:dyDescent="0.25">
      <c r="A1127" t="s">
        <v>58</v>
      </c>
      <c r="B1127">
        <v>5</v>
      </c>
      <c r="C1127">
        <v>2.4657534246575342E-2</v>
      </c>
      <c r="D1127">
        <v>10</v>
      </c>
    </row>
    <row r="1128" spans="1:4" x14ac:dyDescent="0.25">
      <c r="A1128" t="s">
        <v>26</v>
      </c>
      <c r="B1128">
        <v>6</v>
      </c>
      <c r="C1128">
        <v>2.1917808219178082E-2</v>
      </c>
      <c r="D1128">
        <v>8</v>
      </c>
    </row>
    <row r="1129" spans="1:4" x14ac:dyDescent="0.25">
      <c r="A1129" t="s">
        <v>76</v>
      </c>
      <c r="B1129">
        <v>7</v>
      </c>
      <c r="C1129">
        <v>2.1917808219178082E-2</v>
      </c>
      <c r="D1129">
        <v>9</v>
      </c>
    </row>
    <row r="1130" spans="1:4" x14ac:dyDescent="0.25">
      <c r="A1130" t="s">
        <v>318</v>
      </c>
      <c r="B1130">
        <v>7</v>
      </c>
      <c r="C1130">
        <v>1.0958904109589041E-2</v>
      </c>
      <c r="D1130">
        <v>6</v>
      </c>
    </row>
    <row r="1131" spans="1:4" x14ac:dyDescent="0.25">
      <c r="A1131" t="s">
        <v>77</v>
      </c>
      <c r="B1131">
        <v>7</v>
      </c>
      <c r="C1131">
        <v>2.1917808219178082E-2</v>
      </c>
      <c r="D1131">
        <v>8</v>
      </c>
    </row>
    <row r="1132" spans="1:4" x14ac:dyDescent="0.25">
      <c r="A1132" t="s">
        <v>318</v>
      </c>
      <c r="B1132">
        <v>18</v>
      </c>
      <c r="C1132">
        <v>5.4794520547945206E-3</v>
      </c>
      <c r="D1132">
        <v>2</v>
      </c>
    </row>
    <row r="1133" spans="1:4" x14ac:dyDescent="0.25">
      <c r="A1133" t="s">
        <v>68</v>
      </c>
      <c r="B1133">
        <v>2</v>
      </c>
      <c r="C1133">
        <v>2.4657534246575342E-2</v>
      </c>
      <c r="D1133">
        <v>9</v>
      </c>
    </row>
    <row r="1134" spans="1:4" x14ac:dyDescent="0.25">
      <c r="A1134" t="s">
        <v>79</v>
      </c>
      <c r="B1134">
        <v>4</v>
      </c>
      <c r="C1134">
        <v>8.21917808219178E-3</v>
      </c>
      <c r="D1134">
        <v>4</v>
      </c>
    </row>
    <row r="1135" spans="1:4" x14ac:dyDescent="0.25">
      <c r="A1135" t="s">
        <v>78</v>
      </c>
      <c r="B1135">
        <v>14</v>
      </c>
      <c r="C1135">
        <v>2.1917808219178082E-2</v>
      </c>
      <c r="D1135">
        <v>8</v>
      </c>
    </row>
    <row r="1136" spans="1:4" x14ac:dyDescent="0.25">
      <c r="A1136" t="s">
        <v>290</v>
      </c>
      <c r="B1136">
        <v>7</v>
      </c>
      <c r="C1136">
        <v>1.9178082191780823E-2</v>
      </c>
      <c r="D1136">
        <v>7</v>
      </c>
    </row>
    <row r="1137" spans="1:4" x14ac:dyDescent="0.25">
      <c r="A1137" t="s">
        <v>313</v>
      </c>
      <c r="B1137">
        <v>20</v>
      </c>
      <c r="C1137">
        <v>1.643835616438356E-2</v>
      </c>
      <c r="D1137">
        <v>6</v>
      </c>
    </row>
    <row r="1138" spans="1:4" x14ac:dyDescent="0.25">
      <c r="A1138" t="s">
        <v>26</v>
      </c>
      <c r="B1138">
        <v>2</v>
      </c>
      <c r="C1138">
        <v>3.0136986301369864E-2</v>
      </c>
      <c r="D1138">
        <v>12</v>
      </c>
    </row>
    <row r="1139" spans="1:4" x14ac:dyDescent="0.25">
      <c r="A1139" t="s">
        <v>312</v>
      </c>
      <c r="B1139">
        <v>2</v>
      </c>
      <c r="C1139">
        <v>1.3698630136986301E-2</v>
      </c>
      <c r="D1139">
        <v>5</v>
      </c>
    </row>
    <row r="1140" spans="1:4" x14ac:dyDescent="0.25">
      <c r="A1140" t="s">
        <v>184</v>
      </c>
      <c r="B1140">
        <v>6</v>
      </c>
      <c r="C1140">
        <v>3.8356164383561646E-2</v>
      </c>
      <c r="D1140">
        <v>15</v>
      </c>
    </row>
    <row r="1141" spans="1:4" x14ac:dyDescent="0.25">
      <c r="A1141" t="s">
        <v>32</v>
      </c>
      <c r="B1141">
        <v>11</v>
      </c>
      <c r="C1141">
        <v>5.4794520547945206E-3</v>
      </c>
      <c r="D1141">
        <v>2</v>
      </c>
    </row>
    <row r="1142" spans="1:4" x14ac:dyDescent="0.25">
      <c r="A1142" t="s">
        <v>320</v>
      </c>
      <c r="B1142">
        <v>12</v>
      </c>
      <c r="C1142">
        <v>1.3698630136986301E-2</v>
      </c>
      <c r="D1142">
        <v>5</v>
      </c>
    </row>
    <row r="1143" spans="1:4" x14ac:dyDescent="0.25">
      <c r="A1143" t="s">
        <v>291</v>
      </c>
      <c r="B1143">
        <v>23</v>
      </c>
      <c r="C1143">
        <v>1.0958904109589041E-2</v>
      </c>
      <c r="D1143">
        <v>4</v>
      </c>
    </row>
    <row r="1144" spans="1:4" x14ac:dyDescent="0.25">
      <c r="A1144" t="s">
        <v>313</v>
      </c>
      <c r="B1144">
        <v>2</v>
      </c>
      <c r="C1144">
        <v>1.0958904109589041E-2</v>
      </c>
      <c r="D1144">
        <v>4</v>
      </c>
    </row>
    <row r="1145" spans="1:4" x14ac:dyDescent="0.25">
      <c r="A1145" t="s">
        <v>314</v>
      </c>
      <c r="B1145">
        <v>10</v>
      </c>
      <c r="C1145">
        <v>3.287671232876712E-2</v>
      </c>
      <c r="D1145">
        <v>14</v>
      </c>
    </row>
    <row r="1146" spans="1:4" x14ac:dyDescent="0.25">
      <c r="A1146" t="s">
        <v>310</v>
      </c>
      <c r="B1146">
        <v>8</v>
      </c>
      <c r="C1146">
        <v>2.7397260273972601E-2</v>
      </c>
      <c r="D1146">
        <v>11</v>
      </c>
    </row>
    <row r="1147" spans="1:4" x14ac:dyDescent="0.25">
      <c r="A1147" t="s">
        <v>309</v>
      </c>
      <c r="B1147">
        <v>21</v>
      </c>
      <c r="C1147">
        <v>8.21917808219178E-3</v>
      </c>
      <c r="D1147">
        <v>5</v>
      </c>
    </row>
    <row r="1148" spans="1:4" x14ac:dyDescent="0.25">
      <c r="A1148" t="s">
        <v>291</v>
      </c>
      <c r="B1148">
        <v>21</v>
      </c>
      <c r="C1148">
        <v>1.0958904109589041E-2</v>
      </c>
      <c r="D1148">
        <v>4</v>
      </c>
    </row>
    <row r="1149" spans="1:4" x14ac:dyDescent="0.25">
      <c r="A1149" t="s">
        <v>21</v>
      </c>
      <c r="B1149">
        <v>2</v>
      </c>
      <c r="C1149">
        <v>1.0958904109589041E-2</v>
      </c>
      <c r="D1149">
        <v>4</v>
      </c>
    </row>
    <row r="1150" spans="1:4" x14ac:dyDescent="0.25">
      <c r="A1150" t="s">
        <v>291</v>
      </c>
      <c r="B1150">
        <v>4</v>
      </c>
      <c r="C1150">
        <v>5.4794520547945206E-3</v>
      </c>
      <c r="D1150">
        <v>2</v>
      </c>
    </row>
    <row r="1151" spans="1:4" x14ac:dyDescent="0.25">
      <c r="A1151" t="s">
        <v>74</v>
      </c>
      <c r="B1151">
        <v>6</v>
      </c>
      <c r="C1151">
        <v>2.1917808219178082E-2</v>
      </c>
      <c r="D1151">
        <v>9</v>
      </c>
    </row>
    <row r="1152" spans="1:4" x14ac:dyDescent="0.25">
      <c r="A1152" t="s">
        <v>317</v>
      </c>
      <c r="B1152">
        <v>1</v>
      </c>
      <c r="C1152">
        <v>4.1095890410958902E-2</v>
      </c>
      <c r="D1152">
        <v>16</v>
      </c>
    </row>
    <row r="1153" spans="1:4" x14ac:dyDescent="0.25">
      <c r="A1153" t="s">
        <v>312</v>
      </c>
      <c r="B1153">
        <v>6</v>
      </c>
      <c r="C1153">
        <v>8.21917808219178E-3</v>
      </c>
      <c r="D1153">
        <v>3</v>
      </c>
    </row>
    <row r="1154" spans="1:4" x14ac:dyDescent="0.25">
      <c r="A1154" t="s">
        <v>318</v>
      </c>
      <c r="B1154">
        <v>16</v>
      </c>
      <c r="C1154">
        <v>2.7397260273972601E-2</v>
      </c>
      <c r="D1154">
        <v>10</v>
      </c>
    </row>
    <row r="1155" spans="1:4" x14ac:dyDescent="0.25">
      <c r="A1155" t="s">
        <v>37</v>
      </c>
      <c r="B1155">
        <v>6</v>
      </c>
      <c r="C1155">
        <v>5.4794520547945206E-3</v>
      </c>
      <c r="D1155">
        <v>2</v>
      </c>
    </row>
    <row r="1156" spans="1:4" x14ac:dyDescent="0.25">
      <c r="A1156" t="s">
        <v>63</v>
      </c>
      <c r="B1156">
        <v>3</v>
      </c>
      <c r="C1156">
        <v>1.9178082191780823E-2</v>
      </c>
      <c r="D1156">
        <v>7</v>
      </c>
    </row>
    <row r="1157" spans="1:4" x14ac:dyDescent="0.25">
      <c r="A1157" t="s">
        <v>308</v>
      </c>
      <c r="B1157">
        <v>17</v>
      </c>
      <c r="C1157">
        <v>3.5616438356164383E-2</v>
      </c>
      <c r="D1157">
        <v>13</v>
      </c>
    </row>
    <row r="1158" spans="1:4" x14ac:dyDescent="0.25">
      <c r="A1158" t="s">
        <v>38</v>
      </c>
      <c r="B1158">
        <v>3</v>
      </c>
      <c r="C1158">
        <v>2.7397260273972603E-3</v>
      </c>
      <c r="D1158">
        <v>1</v>
      </c>
    </row>
    <row r="1159" spans="1:4" x14ac:dyDescent="0.25">
      <c r="A1159" t="s">
        <v>78</v>
      </c>
      <c r="B1159">
        <v>8</v>
      </c>
      <c r="C1159">
        <v>3.0136986301369864E-2</v>
      </c>
      <c r="D1159">
        <v>12</v>
      </c>
    </row>
    <row r="1160" spans="1:4" x14ac:dyDescent="0.25">
      <c r="A1160" t="s">
        <v>65</v>
      </c>
      <c r="B1160">
        <v>6</v>
      </c>
      <c r="C1160">
        <v>1.9178082191780823E-2</v>
      </c>
      <c r="D1160">
        <v>7</v>
      </c>
    </row>
    <row r="1161" spans="1:4" x14ac:dyDescent="0.25">
      <c r="A1161" t="s">
        <v>75</v>
      </c>
      <c r="B1161">
        <v>21</v>
      </c>
      <c r="C1161">
        <v>4.1095890410958902E-2</v>
      </c>
      <c r="D1161">
        <v>16</v>
      </c>
    </row>
    <row r="1162" spans="1:4" x14ac:dyDescent="0.25">
      <c r="A1162" t="s">
        <v>73</v>
      </c>
      <c r="B1162">
        <v>1</v>
      </c>
      <c r="C1162">
        <v>2.1917808219178082E-2</v>
      </c>
      <c r="D1162">
        <v>9</v>
      </c>
    </row>
    <row r="1163" spans="1:4" x14ac:dyDescent="0.25">
      <c r="A1163" t="s">
        <v>64</v>
      </c>
      <c r="B1163">
        <v>2</v>
      </c>
      <c r="C1163">
        <v>2.1917808219178082E-2</v>
      </c>
      <c r="D1163">
        <v>9</v>
      </c>
    </row>
    <row r="1164" spans="1:4" x14ac:dyDescent="0.25">
      <c r="A1164" t="s">
        <v>296</v>
      </c>
      <c r="B1164">
        <v>20</v>
      </c>
      <c r="C1164">
        <v>1.643835616438356E-2</v>
      </c>
      <c r="D1164">
        <v>6</v>
      </c>
    </row>
    <row r="1165" spans="1:4" x14ac:dyDescent="0.25">
      <c r="A1165" t="s">
        <v>74</v>
      </c>
      <c r="B1165">
        <v>23</v>
      </c>
      <c r="C1165">
        <v>2.1917808219178082E-2</v>
      </c>
      <c r="D1165">
        <v>8</v>
      </c>
    </row>
    <row r="1166" spans="1:4" x14ac:dyDescent="0.25">
      <c r="A1166" t="s">
        <v>308</v>
      </c>
      <c r="B1166">
        <v>0</v>
      </c>
      <c r="C1166">
        <v>8.21917808219178E-3</v>
      </c>
      <c r="D1166">
        <v>3</v>
      </c>
    </row>
    <row r="1167" spans="1:4" x14ac:dyDescent="0.25">
      <c r="A1167" t="s">
        <v>36</v>
      </c>
      <c r="B1167">
        <v>3</v>
      </c>
      <c r="C1167">
        <v>2.7397260273972603E-3</v>
      </c>
      <c r="D1167">
        <v>1</v>
      </c>
    </row>
    <row r="1168" spans="1:4" x14ac:dyDescent="0.25">
      <c r="A1168" t="s">
        <v>69</v>
      </c>
      <c r="B1168">
        <v>3</v>
      </c>
      <c r="C1168">
        <v>1.3698630136986301E-2</v>
      </c>
      <c r="D1168">
        <v>6</v>
      </c>
    </row>
    <row r="1169" spans="1:4" x14ac:dyDescent="0.25">
      <c r="A1169" t="s">
        <v>28</v>
      </c>
      <c r="B1169">
        <v>5</v>
      </c>
      <c r="C1169">
        <v>8.21917808219178E-3</v>
      </c>
      <c r="D1169">
        <v>5</v>
      </c>
    </row>
    <row r="1170" spans="1:4" x14ac:dyDescent="0.25">
      <c r="A1170" t="s">
        <v>320</v>
      </c>
      <c r="B1170">
        <v>6</v>
      </c>
      <c r="C1170">
        <v>2.7397260273972603E-3</v>
      </c>
      <c r="D1170">
        <v>1</v>
      </c>
    </row>
    <row r="1171" spans="1:4" x14ac:dyDescent="0.25">
      <c r="A1171" t="s">
        <v>287</v>
      </c>
      <c r="B1171">
        <v>7</v>
      </c>
      <c r="C1171">
        <v>2.7397260273972603E-3</v>
      </c>
      <c r="D1171">
        <v>1</v>
      </c>
    </row>
    <row r="1172" spans="1:4" x14ac:dyDescent="0.25">
      <c r="A1172" t="s">
        <v>318</v>
      </c>
      <c r="B1172">
        <v>13</v>
      </c>
      <c r="C1172">
        <v>8.21917808219178E-3</v>
      </c>
      <c r="D1172">
        <v>3</v>
      </c>
    </row>
    <row r="1173" spans="1:4" x14ac:dyDescent="0.25">
      <c r="A1173" t="s">
        <v>313</v>
      </c>
      <c r="B1173">
        <v>1</v>
      </c>
      <c r="C1173">
        <v>8.21917808219178E-3</v>
      </c>
      <c r="D1173">
        <v>4</v>
      </c>
    </row>
    <row r="1174" spans="1:4" x14ac:dyDescent="0.25">
      <c r="A1174" t="s">
        <v>314</v>
      </c>
      <c r="B1174">
        <v>21</v>
      </c>
      <c r="C1174">
        <v>3.0136986301369864E-2</v>
      </c>
      <c r="D1174">
        <v>11</v>
      </c>
    </row>
    <row r="1175" spans="1:4" x14ac:dyDescent="0.25">
      <c r="A1175" t="s">
        <v>28</v>
      </c>
      <c r="B1175">
        <v>1</v>
      </c>
      <c r="C1175">
        <v>1.643835616438356E-2</v>
      </c>
      <c r="D1175">
        <v>6</v>
      </c>
    </row>
    <row r="1176" spans="1:4" x14ac:dyDescent="0.25">
      <c r="A1176" t="s">
        <v>17</v>
      </c>
      <c r="B1176">
        <v>5</v>
      </c>
      <c r="C1176">
        <v>5.4794520547945206E-3</v>
      </c>
      <c r="D1176">
        <v>2</v>
      </c>
    </row>
    <row r="1177" spans="1:4" x14ac:dyDescent="0.25">
      <c r="A1177" t="s">
        <v>21</v>
      </c>
      <c r="B1177">
        <v>20</v>
      </c>
      <c r="C1177">
        <v>3.287671232876712E-2</v>
      </c>
      <c r="D1177">
        <v>14</v>
      </c>
    </row>
    <row r="1178" spans="1:4" x14ac:dyDescent="0.25">
      <c r="A1178" t="s">
        <v>289</v>
      </c>
      <c r="B1178">
        <v>10</v>
      </c>
      <c r="C1178">
        <v>8.21917808219178E-3</v>
      </c>
      <c r="D1178">
        <v>3</v>
      </c>
    </row>
    <row r="1179" spans="1:4" x14ac:dyDescent="0.25">
      <c r="A1179" t="s">
        <v>321</v>
      </c>
      <c r="B1179">
        <v>20</v>
      </c>
      <c r="C1179">
        <v>2.1917808219178082E-2</v>
      </c>
      <c r="D1179">
        <v>8</v>
      </c>
    </row>
    <row r="1180" spans="1:4" x14ac:dyDescent="0.25">
      <c r="A1180" t="s">
        <v>314</v>
      </c>
      <c r="B1180">
        <v>0</v>
      </c>
      <c r="C1180">
        <v>1.3698630136986301E-2</v>
      </c>
      <c r="D1180">
        <v>5</v>
      </c>
    </row>
    <row r="1181" spans="1:4" x14ac:dyDescent="0.25">
      <c r="A1181" t="s">
        <v>287</v>
      </c>
      <c r="B1181">
        <v>0</v>
      </c>
      <c r="C1181">
        <v>2.7397260273972603E-3</v>
      </c>
      <c r="D1181">
        <v>1</v>
      </c>
    </row>
    <row r="1182" spans="1:4" x14ac:dyDescent="0.25">
      <c r="A1182" t="s">
        <v>289</v>
      </c>
      <c r="B1182">
        <v>8</v>
      </c>
      <c r="C1182">
        <v>1.0958904109589041E-2</v>
      </c>
      <c r="D1182">
        <v>4</v>
      </c>
    </row>
    <row r="1183" spans="1:4" x14ac:dyDescent="0.25">
      <c r="A1183" t="s">
        <v>296</v>
      </c>
      <c r="B1183">
        <v>12</v>
      </c>
      <c r="C1183">
        <v>1.643835616438356E-2</v>
      </c>
      <c r="D1183">
        <v>7</v>
      </c>
    </row>
    <row r="1184" spans="1:4" x14ac:dyDescent="0.25">
      <c r="A1184" t="s">
        <v>308</v>
      </c>
      <c r="B1184">
        <v>12</v>
      </c>
      <c r="C1184">
        <v>3.5616438356164383E-2</v>
      </c>
      <c r="D1184">
        <v>14</v>
      </c>
    </row>
    <row r="1185" spans="1:4" x14ac:dyDescent="0.25">
      <c r="A1185" t="s">
        <v>78</v>
      </c>
      <c r="B1185">
        <v>23</v>
      </c>
      <c r="C1185">
        <v>1.0958904109589041E-2</v>
      </c>
      <c r="D1185">
        <v>4</v>
      </c>
    </row>
    <row r="1186" spans="1:4" x14ac:dyDescent="0.25">
      <c r="A1186" t="s">
        <v>310</v>
      </c>
      <c r="B1186">
        <v>1</v>
      </c>
      <c r="C1186">
        <v>2.7397260273972603E-3</v>
      </c>
      <c r="D1186">
        <v>1</v>
      </c>
    </row>
    <row r="1187" spans="1:4" x14ac:dyDescent="0.25">
      <c r="A1187" t="s">
        <v>286</v>
      </c>
      <c r="B1187">
        <v>7</v>
      </c>
      <c r="C1187">
        <v>5.4794520547945206E-3</v>
      </c>
      <c r="D1187">
        <v>2</v>
      </c>
    </row>
    <row r="1188" spans="1:4" x14ac:dyDescent="0.25">
      <c r="A1188" t="s">
        <v>76</v>
      </c>
      <c r="B1188">
        <v>4</v>
      </c>
      <c r="C1188">
        <v>5.4794520547945206E-3</v>
      </c>
      <c r="D1188">
        <v>2</v>
      </c>
    </row>
    <row r="1189" spans="1:4" x14ac:dyDescent="0.25">
      <c r="A1189" t="s">
        <v>289</v>
      </c>
      <c r="B1189">
        <v>23</v>
      </c>
      <c r="C1189">
        <v>8.21917808219178E-3</v>
      </c>
      <c r="D1189">
        <v>3</v>
      </c>
    </row>
    <row r="1190" spans="1:4" x14ac:dyDescent="0.25">
      <c r="A1190" t="s">
        <v>289</v>
      </c>
      <c r="B1190">
        <v>0</v>
      </c>
      <c r="C1190">
        <v>8.21917808219178E-3</v>
      </c>
      <c r="D1190">
        <v>3</v>
      </c>
    </row>
    <row r="1191" spans="1:4" x14ac:dyDescent="0.25">
      <c r="A1191" t="s">
        <v>310</v>
      </c>
      <c r="B1191">
        <v>20</v>
      </c>
      <c r="C1191">
        <v>1.9178082191780823E-2</v>
      </c>
      <c r="D1191">
        <v>7</v>
      </c>
    </row>
    <row r="1192" spans="1:4" x14ac:dyDescent="0.25">
      <c r="A1192" t="s">
        <v>297</v>
      </c>
      <c r="B1192">
        <v>22</v>
      </c>
      <c r="C1192">
        <v>5.4794520547945206E-3</v>
      </c>
      <c r="D1192">
        <v>2</v>
      </c>
    </row>
    <row r="1193" spans="1:4" x14ac:dyDescent="0.25">
      <c r="A1193" t="s">
        <v>187</v>
      </c>
      <c r="B1193">
        <v>1</v>
      </c>
      <c r="C1193">
        <v>2.7397260273972601E-2</v>
      </c>
      <c r="D1193">
        <v>10</v>
      </c>
    </row>
    <row r="1194" spans="1:4" x14ac:dyDescent="0.25">
      <c r="A1194" t="s">
        <v>71</v>
      </c>
      <c r="B1194">
        <v>5</v>
      </c>
      <c r="C1194">
        <v>8.21917808219178E-3</v>
      </c>
      <c r="D1194">
        <v>3</v>
      </c>
    </row>
    <row r="1195" spans="1:4" x14ac:dyDescent="0.25">
      <c r="A1195" t="s">
        <v>314</v>
      </c>
      <c r="B1195">
        <v>7</v>
      </c>
      <c r="C1195">
        <v>1.0958904109589041E-2</v>
      </c>
      <c r="D1195">
        <v>4</v>
      </c>
    </row>
    <row r="1196" spans="1:4" x14ac:dyDescent="0.25">
      <c r="A1196" t="s">
        <v>310</v>
      </c>
      <c r="B1196">
        <v>22</v>
      </c>
      <c r="C1196">
        <v>1.0958904109589041E-2</v>
      </c>
      <c r="D1196">
        <v>4</v>
      </c>
    </row>
    <row r="1197" spans="1:4" x14ac:dyDescent="0.25">
      <c r="A1197" t="s">
        <v>21</v>
      </c>
      <c r="B1197">
        <v>12</v>
      </c>
      <c r="C1197">
        <v>1.3698630136986301E-2</v>
      </c>
      <c r="D1197">
        <v>5</v>
      </c>
    </row>
    <row r="1198" spans="1:4" x14ac:dyDescent="0.25">
      <c r="A1198" t="s">
        <v>290</v>
      </c>
      <c r="B1198">
        <v>0</v>
      </c>
      <c r="C1198">
        <v>5.4794520547945206E-3</v>
      </c>
      <c r="D1198">
        <v>3</v>
      </c>
    </row>
    <row r="1199" spans="1:4" x14ac:dyDescent="0.25">
      <c r="A1199" t="s">
        <v>321</v>
      </c>
      <c r="B1199">
        <v>3</v>
      </c>
      <c r="C1199">
        <v>2.7397260273972603E-3</v>
      </c>
      <c r="D1199">
        <v>1</v>
      </c>
    </row>
    <row r="1200" spans="1:4" x14ac:dyDescent="0.25">
      <c r="A1200" t="s">
        <v>288</v>
      </c>
      <c r="B1200">
        <v>7</v>
      </c>
      <c r="C1200">
        <v>8.21917808219178E-3</v>
      </c>
      <c r="D1200">
        <v>3</v>
      </c>
    </row>
    <row r="1201" spans="1:4" x14ac:dyDescent="0.25">
      <c r="A1201" t="s">
        <v>72</v>
      </c>
      <c r="B1201">
        <v>5</v>
      </c>
      <c r="C1201">
        <v>2.4657534246575342E-2</v>
      </c>
      <c r="D1201">
        <v>9</v>
      </c>
    </row>
    <row r="1202" spans="1:4" x14ac:dyDescent="0.25">
      <c r="A1202" t="s">
        <v>286</v>
      </c>
      <c r="B1202">
        <v>15</v>
      </c>
      <c r="C1202">
        <v>1.9178082191780823E-2</v>
      </c>
      <c r="D1202">
        <v>8</v>
      </c>
    </row>
    <row r="1203" spans="1:4" x14ac:dyDescent="0.25">
      <c r="A1203" t="s">
        <v>286</v>
      </c>
      <c r="B1203">
        <v>16</v>
      </c>
      <c r="C1203">
        <v>1.3698630136986301E-2</v>
      </c>
      <c r="D1203">
        <v>5</v>
      </c>
    </row>
    <row r="1204" spans="1:4" x14ac:dyDescent="0.25">
      <c r="A1204" t="s">
        <v>187</v>
      </c>
      <c r="B1204">
        <v>4</v>
      </c>
      <c r="C1204">
        <v>2.7397260273972601E-2</v>
      </c>
      <c r="D1204">
        <v>12</v>
      </c>
    </row>
    <row r="1205" spans="1:4" x14ac:dyDescent="0.25">
      <c r="A1205" t="s">
        <v>32</v>
      </c>
      <c r="B1205">
        <v>16</v>
      </c>
      <c r="C1205">
        <v>1.643835616438356E-2</v>
      </c>
      <c r="D1205">
        <v>6</v>
      </c>
    </row>
    <row r="1206" spans="1:4" x14ac:dyDescent="0.25">
      <c r="A1206" t="s">
        <v>78</v>
      </c>
      <c r="B1206">
        <v>21</v>
      </c>
      <c r="C1206">
        <v>1.0958904109589041E-2</v>
      </c>
      <c r="D1206">
        <v>4</v>
      </c>
    </row>
    <row r="1207" spans="1:4" x14ac:dyDescent="0.25">
      <c r="A1207" t="s">
        <v>66</v>
      </c>
      <c r="B1207">
        <v>23</v>
      </c>
      <c r="C1207">
        <v>2.7397260273972601E-2</v>
      </c>
      <c r="D1207">
        <v>10</v>
      </c>
    </row>
    <row r="1208" spans="1:4" x14ac:dyDescent="0.25">
      <c r="A1208" t="s">
        <v>32</v>
      </c>
      <c r="B1208">
        <v>7</v>
      </c>
      <c r="C1208">
        <v>5.4794520547945206E-3</v>
      </c>
      <c r="D1208">
        <v>2</v>
      </c>
    </row>
    <row r="1209" spans="1:4" x14ac:dyDescent="0.25">
      <c r="A1209" t="s">
        <v>319</v>
      </c>
      <c r="B1209">
        <v>10</v>
      </c>
      <c r="C1209">
        <v>1.3698630136986301E-2</v>
      </c>
      <c r="D1209">
        <v>5</v>
      </c>
    </row>
    <row r="1210" spans="1:4" x14ac:dyDescent="0.25">
      <c r="A1210" t="s">
        <v>37</v>
      </c>
      <c r="B1210">
        <v>2</v>
      </c>
      <c r="C1210">
        <v>2.7397260273972603E-3</v>
      </c>
      <c r="D1210">
        <v>2</v>
      </c>
    </row>
    <row r="1211" spans="1:4" x14ac:dyDescent="0.25">
      <c r="A1211" t="s">
        <v>286</v>
      </c>
      <c r="B1211">
        <v>19</v>
      </c>
      <c r="C1211">
        <v>2.7397260273972601E-2</v>
      </c>
      <c r="D1211">
        <v>12</v>
      </c>
    </row>
    <row r="1212" spans="1:4" x14ac:dyDescent="0.25">
      <c r="A1212" t="s">
        <v>65</v>
      </c>
      <c r="B1212">
        <v>2</v>
      </c>
      <c r="C1212">
        <v>1.3698630136986301E-2</v>
      </c>
      <c r="D1212">
        <v>5</v>
      </c>
    </row>
    <row r="1213" spans="1:4" x14ac:dyDescent="0.25">
      <c r="A1213" t="s">
        <v>314</v>
      </c>
      <c r="B1213">
        <v>13</v>
      </c>
      <c r="C1213">
        <v>2.4657534246575342E-2</v>
      </c>
      <c r="D1213">
        <v>10</v>
      </c>
    </row>
    <row r="1214" spans="1:4" x14ac:dyDescent="0.25">
      <c r="A1214" t="s">
        <v>319</v>
      </c>
      <c r="B1214">
        <v>19</v>
      </c>
      <c r="C1214">
        <v>1.3698630136986301E-2</v>
      </c>
      <c r="D1214">
        <v>6</v>
      </c>
    </row>
    <row r="1215" spans="1:4" x14ac:dyDescent="0.25">
      <c r="A1215" t="s">
        <v>184</v>
      </c>
      <c r="B1215">
        <v>5</v>
      </c>
      <c r="C1215">
        <v>1.9178082191780823E-2</v>
      </c>
      <c r="D1215">
        <v>7</v>
      </c>
    </row>
    <row r="1216" spans="1:4" x14ac:dyDescent="0.25">
      <c r="A1216" t="s">
        <v>75</v>
      </c>
      <c r="B1216">
        <v>0</v>
      </c>
      <c r="C1216">
        <v>1.9178082191780823E-2</v>
      </c>
      <c r="D1216">
        <v>7</v>
      </c>
    </row>
    <row r="1217" spans="1:4" x14ac:dyDescent="0.25">
      <c r="A1217" t="s">
        <v>72</v>
      </c>
      <c r="B1217">
        <v>12</v>
      </c>
      <c r="C1217">
        <v>2.4657534246575342E-2</v>
      </c>
      <c r="D1217">
        <v>10</v>
      </c>
    </row>
    <row r="1218" spans="1:4" x14ac:dyDescent="0.25">
      <c r="A1218" t="s">
        <v>79</v>
      </c>
      <c r="B1218">
        <v>7</v>
      </c>
      <c r="C1218">
        <v>1.0958904109589041E-2</v>
      </c>
      <c r="D1218">
        <v>5</v>
      </c>
    </row>
    <row r="1219" spans="1:4" x14ac:dyDescent="0.25">
      <c r="A1219" t="s">
        <v>287</v>
      </c>
      <c r="B1219">
        <v>17</v>
      </c>
      <c r="C1219">
        <v>1.3698630136986301E-2</v>
      </c>
      <c r="D1219">
        <v>6</v>
      </c>
    </row>
    <row r="1220" spans="1:4" x14ac:dyDescent="0.25">
      <c r="A1220" t="s">
        <v>289</v>
      </c>
      <c r="B1220">
        <v>15</v>
      </c>
      <c r="C1220">
        <v>5.4794520547945206E-3</v>
      </c>
      <c r="D1220">
        <v>2</v>
      </c>
    </row>
    <row r="1221" spans="1:4" x14ac:dyDescent="0.25">
      <c r="A1221" t="s">
        <v>296</v>
      </c>
      <c r="B1221">
        <v>0</v>
      </c>
      <c r="C1221">
        <v>1.0958904109589041E-2</v>
      </c>
      <c r="D1221">
        <v>4</v>
      </c>
    </row>
    <row r="1222" spans="1:4" x14ac:dyDescent="0.25">
      <c r="A1222" t="s">
        <v>28</v>
      </c>
      <c r="B1222">
        <v>2</v>
      </c>
      <c r="C1222">
        <v>1.9178082191780823E-2</v>
      </c>
      <c r="D1222">
        <v>7</v>
      </c>
    </row>
    <row r="1223" spans="1:4" x14ac:dyDescent="0.25">
      <c r="A1223" t="s">
        <v>189</v>
      </c>
      <c r="B1223">
        <v>4</v>
      </c>
      <c r="C1223">
        <v>2.1917808219178082E-2</v>
      </c>
      <c r="D1223">
        <v>9</v>
      </c>
    </row>
    <row r="1224" spans="1:4" x14ac:dyDescent="0.25">
      <c r="A1224" t="s">
        <v>19</v>
      </c>
      <c r="B1224">
        <v>22</v>
      </c>
      <c r="C1224">
        <v>5.4794520547945202E-2</v>
      </c>
      <c r="D1224">
        <v>28</v>
      </c>
    </row>
    <row r="1225" spans="1:4" x14ac:dyDescent="0.25">
      <c r="A1225" t="s">
        <v>288</v>
      </c>
      <c r="B1225">
        <v>10</v>
      </c>
      <c r="C1225">
        <v>2.1917808219178082E-2</v>
      </c>
      <c r="D1225">
        <v>8</v>
      </c>
    </row>
    <row r="1226" spans="1:4" x14ac:dyDescent="0.25">
      <c r="A1226" t="s">
        <v>77</v>
      </c>
      <c r="B1226">
        <v>21</v>
      </c>
      <c r="C1226">
        <v>1.9178082191780823E-2</v>
      </c>
      <c r="D1226">
        <v>8</v>
      </c>
    </row>
    <row r="1227" spans="1:4" x14ac:dyDescent="0.25">
      <c r="A1227" t="s">
        <v>19</v>
      </c>
      <c r="B1227">
        <v>1</v>
      </c>
      <c r="C1227">
        <v>1.3698630136986301E-2</v>
      </c>
      <c r="D1227">
        <v>5</v>
      </c>
    </row>
    <row r="1228" spans="1:4" x14ac:dyDescent="0.25">
      <c r="A1228" t="s">
        <v>297</v>
      </c>
      <c r="B1228">
        <v>11</v>
      </c>
      <c r="C1228">
        <v>8.21917808219178E-3</v>
      </c>
      <c r="D1228">
        <v>3</v>
      </c>
    </row>
    <row r="1229" spans="1:4" x14ac:dyDescent="0.25">
      <c r="A1229" t="s">
        <v>37</v>
      </c>
      <c r="B1229">
        <v>4</v>
      </c>
      <c r="C1229">
        <v>5.4794520547945206E-3</v>
      </c>
      <c r="D1229">
        <v>2</v>
      </c>
    </row>
    <row r="1230" spans="1:4" x14ac:dyDescent="0.25">
      <c r="A1230" t="s">
        <v>72</v>
      </c>
      <c r="B1230">
        <v>4</v>
      </c>
      <c r="C1230">
        <v>2.7397260273972603E-3</v>
      </c>
      <c r="D1230">
        <v>1</v>
      </c>
    </row>
    <row r="1231" spans="1:4" x14ac:dyDescent="0.25">
      <c r="A1231" t="s">
        <v>321</v>
      </c>
      <c r="B1231">
        <v>7</v>
      </c>
      <c r="C1231">
        <v>5.4794520547945206E-3</v>
      </c>
      <c r="D1231">
        <v>3</v>
      </c>
    </row>
    <row r="1232" spans="1:4" x14ac:dyDescent="0.25">
      <c r="A1232" t="s">
        <v>320</v>
      </c>
      <c r="B1232">
        <v>23</v>
      </c>
      <c r="C1232">
        <v>2.7397260273972601E-2</v>
      </c>
      <c r="D1232">
        <v>11</v>
      </c>
    </row>
    <row r="1233" spans="1:4" x14ac:dyDescent="0.25">
      <c r="A1233" t="s">
        <v>297</v>
      </c>
      <c r="B1233">
        <v>1</v>
      </c>
      <c r="C1233">
        <v>1.9178082191780823E-2</v>
      </c>
      <c r="D1233">
        <v>7</v>
      </c>
    </row>
    <row r="1234" spans="1:4" x14ac:dyDescent="0.25">
      <c r="A1234" t="s">
        <v>188</v>
      </c>
      <c r="B1234">
        <v>3</v>
      </c>
      <c r="C1234">
        <v>1.0958904109589041E-2</v>
      </c>
      <c r="D1234">
        <v>4</v>
      </c>
    </row>
    <row r="1235" spans="1:4" x14ac:dyDescent="0.25">
      <c r="A1235" t="s">
        <v>73</v>
      </c>
      <c r="B1235">
        <v>6</v>
      </c>
      <c r="C1235">
        <v>3.287671232876712E-2</v>
      </c>
      <c r="D1235">
        <v>12</v>
      </c>
    </row>
    <row r="1236" spans="1:4" x14ac:dyDescent="0.25">
      <c r="A1236" t="s">
        <v>76</v>
      </c>
      <c r="B1236">
        <v>23</v>
      </c>
      <c r="C1236">
        <v>2.1917808219178082E-2</v>
      </c>
      <c r="D1236">
        <v>8</v>
      </c>
    </row>
    <row r="1237" spans="1:4" x14ac:dyDescent="0.25">
      <c r="A1237" t="s">
        <v>309</v>
      </c>
      <c r="B1237">
        <v>3</v>
      </c>
      <c r="C1237">
        <v>2.7397260273972603E-3</v>
      </c>
      <c r="D1237">
        <v>1</v>
      </c>
    </row>
    <row r="1238" spans="1:4" x14ac:dyDescent="0.25">
      <c r="A1238" t="s">
        <v>38</v>
      </c>
      <c r="B1238">
        <v>13</v>
      </c>
      <c r="C1238">
        <v>1.3698630136986301E-2</v>
      </c>
      <c r="D1238">
        <v>5</v>
      </c>
    </row>
    <row r="1239" spans="1:4" x14ac:dyDescent="0.25">
      <c r="A1239" t="s">
        <v>288</v>
      </c>
      <c r="B1239">
        <v>21</v>
      </c>
      <c r="C1239">
        <v>1.3698630136986301E-2</v>
      </c>
      <c r="D1239">
        <v>5</v>
      </c>
    </row>
    <row r="1240" spans="1:4" x14ac:dyDescent="0.25">
      <c r="A1240" t="s">
        <v>313</v>
      </c>
      <c r="B1240">
        <v>22</v>
      </c>
      <c r="C1240">
        <v>8.21917808219178E-3</v>
      </c>
      <c r="D1240">
        <v>3</v>
      </c>
    </row>
    <row r="1241" spans="1:4" x14ac:dyDescent="0.25">
      <c r="A1241" t="s">
        <v>288</v>
      </c>
      <c r="B1241">
        <v>1</v>
      </c>
      <c r="C1241">
        <v>1.0958904109589041E-2</v>
      </c>
      <c r="D1241">
        <v>4</v>
      </c>
    </row>
    <row r="1242" spans="1:4" x14ac:dyDescent="0.25">
      <c r="A1242" t="s">
        <v>290</v>
      </c>
      <c r="B1242">
        <v>2</v>
      </c>
      <c r="C1242">
        <v>2.7397260273972603E-3</v>
      </c>
      <c r="D1242">
        <v>1</v>
      </c>
    </row>
    <row r="1243" spans="1:4" x14ac:dyDescent="0.25">
      <c r="A1243" t="s">
        <v>288</v>
      </c>
      <c r="B1243">
        <v>2</v>
      </c>
      <c r="C1243">
        <v>2.7397260273972603E-3</v>
      </c>
      <c r="D1243">
        <v>1</v>
      </c>
    </row>
    <row r="1244" spans="1:4" x14ac:dyDescent="0.25">
      <c r="A1244" t="s">
        <v>290</v>
      </c>
      <c r="B1244">
        <v>4</v>
      </c>
      <c r="C1244">
        <v>5.4794520547945206E-3</v>
      </c>
      <c r="D1244">
        <v>2</v>
      </c>
    </row>
    <row r="1245" spans="1:4" x14ac:dyDescent="0.25">
      <c r="A1245" t="s">
        <v>288</v>
      </c>
      <c r="B1245">
        <v>6</v>
      </c>
      <c r="C1245">
        <v>1.3698630136986301E-2</v>
      </c>
      <c r="D1245">
        <v>5</v>
      </c>
    </row>
    <row r="1246" spans="1:4" x14ac:dyDescent="0.25">
      <c r="A1246" t="s">
        <v>319</v>
      </c>
      <c r="B1246">
        <v>15</v>
      </c>
      <c r="C1246">
        <v>1.3698630136986301E-2</v>
      </c>
      <c r="D1246">
        <v>5</v>
      </c>
    </row>
    <row r="1247" spans="1:4" x14ac:dyDescent="0.25">
      <c r="A1247" t="s">
        <v>288</v>
      </c>
      <c r="B1247">
        <v>13</v>
      </c>
      <c r="C1247">
        <v>1.0958904109589041E-2</v>
      </c>
      <c r="D1247">
        <v>5</v>
      </c>
    </row>
    <row r="1248" spans="1:4" x14ac:dyDescent="0.25">
      <c r="A1248" t="s">
        <v>78</v>
      </c>
      <c r="B1248">
        <v>9</v>
      </c>
      <c r="C1248">
        <v>8.21917808219178E-3</v>
      </c>
      <c r="D1248">
        <v>3</v>
      </c>
    </row>
    <row r="1249" spans="1:4" x14ac:dyDescent="0.25">
      <c r="A1249" t="s">
        <v>289</v>
      </c>
      <c r="B1249">
        <v>18</v>
      </c>
      <c r="C1249">
        <v>5.4794520547945206E-3</v>
      </c>
      <c r="D1249">
        <v>2</v>
      </c>
    </row>
    <row r="1250" spans="1:4" x14ac:dyDescent="0.25">
      <c r="A1250" t="s">
        <v>312</v>
      </c>
      <c r="B1250">
        <v>4</v>
      </c>
      <c r="C1250">
        <v>8.21917808219178E-3</v>
      </c>
      <c r="D1250">
        <v>4</v>
      </c>
    </row>
    <row r="1251" spans="1:4" x14ac:dyDescent="0.25">
      <c r="A1251" t="s">
        <v>286</v>
      </c>
      <c r="B1251">
        <v>8</v>
      </c>
      <c r="C1251">
        <v>5.4794520547945206E-3</v>
      </c>
      <c r="D1251">
        <v>2</v>
      </c>
    </row>
    <row r="1252" spans="1:4" x14ac:dyDescent="0.25">
      <c r="A1252" t="s">
        <v>309</v>
      </c>
      <c r="B1252">
        <v>12</v>
      </c>
      <c r="C1252">
        <v>5.4794520547945206E-3</v>
      </c>
      <c r="D1252">
        <v>3</v>
      </c>
    </row>
    <row r="1253" spans="1:4" x14ac:dyDescent="0.25">
      <c r="A1253" t="s">
        <v>17</v>
      </c>
      <c r="B1253">
        <v>1</v>
      </c>
      <c r="C1253">
        <v>1.9178082191780823E-2</v>
      </c>
      <c r="D1253">
        <v>7</v>
      </c>
    </row>
    <row r="1254" spans="1:4" x14ac:dyDescent="0.25">
      <c r="A1254" t="s">
        <v>70</v>
      </c>
      <c r="B1254">
        <v>5</v>
      </c>
      <c r="C1254">
        <v>8.21917808219178E-3</v>
      </c>
      <c r="D1254">
        <v>3</v>
      </c>
    </row>
    <row r="1255" spans="1:4" x14ac:dyDescent="0.25">
      <c r="A1255" t="s">
        <v>286</v>
      </c>
      <c r="B1255">
        <v>18</v>
      </c>
      <c r="C1255">
        <v>8.21917808219178E-3</v>
      </c>
      <c r="D1255">
        <v>3</v>
      </c>
    </row>
    <row r="1256" spans="1:4" x14ac:dyDescent="0.25">
      <c r="A1256" t="s">
        <v>189</v>
      </c>
      <c r="B1256">
        <v>2</v>
      </c>
      <c r="C1256">
        <v>5.4794520547945206E-3</v>
      </c>
      <c r="D1256">
        <v>3</v>
      </c>
    </row>
    <row r="1257" spans="1:4" x14ac:dyDescent="0.25">
      <c r="A1257" t="s">
        <v>32</v>
      </c>
      <c r="B1257">
        <v>20</v>
      </c>
      <c r="C1257">
        <v>8.21917808219178E-3</v>
      </c>
      <c r="D1257">
        <v>3</v>
      </c>
    </row>
    <row r="1258" spans="1:4" x14ac:dyDescent="0.25">
      <c r="A1258" t="s">
        <v>188</v>
      </c>
      <c r="B1258">
        <v>0</v>
      </c>
      <c r="C1258">
        <v>2.1917808219178082E-2</v>
      </c>
      <c r="D1258">
        <v>10</v>
      </c>
    </row>
    <row r="1259" spans="1:4" x14ac:dyDescent="0.25">
      <c r="A1259" t="s">
        <v>77</v>
      </c>
      <c r="B1259">
        <v>4</v>
      </c>
      <c r="C1259">
        <v>2.7397260273972603E-3</v>
      </c>
      <c r="D1259">
        <v>1</v>
      </c>
    </row>
    <row r="1260" spans="1:4" x14ac:dyDescent="0.25">
      <c r="A1260" t="s">
        <v>297</v>
      </c>
      <c r="B1260">
        <v>2</v>
      </c>
      <c r="C1260">
        <v>5.4794520547945206E-3</v>
      </c>
      <c r="D1260">
        <v>2</v>
      </c>
    </row>
    <row r="1261" spans="1:4" x14ac:dyDescent="0.25">
      <c r="A1261" t="s">
        <v>77</v>
      </c>
      <c r="B1261">
        <v>15</v>
      </c>
      <c r="C1261">
        <v>1.9178082191780823E-2</v>
      </c>
      <c r="D1261">
        <v>9</v>
      </c>
    </row>
    <row r="1262" spans="1:4" x14ac:dyDescent="0.25">
      <c r="A1262" t="s">
        <v>19</v>
      </c>
      <c r="B1262">
        <v>3</v>
      </c>
      <c r="C1262">
        <v>1.0958904109589041E-2</v>
      </c>
      <c r="D1262">
        <v>4</v>
      </c>
    </row>
    <row r="1263" spans="1:4" x14ac:dyDescent="0.25">
      <c r="A1263" t="s">
        <v>38</v>
      </c>
      <c r="B1263">
        <v>19</v>
      </c>
      <c r="C1263">
        <v>2.7397260273972603E-3</v>
      </c>
      <c r="D1263">
        <v>1</v>
      </c>
    </row>
    <row r="1264" spans="1:4" x14ac:dyDescent="0.25">
      <c r="A1264" t="s">
        <v>297</v>
      </c>
      <c r="B1264">
        <v>20</v>
      </c>
      <c r="C1264">
        <v>1.0958904109589041E-2</v>
      </c>
      <c r="D1264">
        <v>4</v>
      </c>
    </row>
    <row r="1265" spans="1:4" x14ac:dyDescent="0.25">
      <c r="A1265" t="s">
        <v>313</v>
      </c>
      <c r="B1265">
        <v>5</v>
      </c>
      <c r="C1265">
        <v>5.4794520547945206E-3</v>
      </c>
      <c r="D1265">
        <v>2</v>
      </c>
    </row>
    <row r="1266" spans="1:4" x14ac:dyDescent="0.25">
      <c r="A1266" t="s">
        <v>19</v>
      </c>
      <c r="B1266">
        <v>4</v>
      </c>
      <c r="C1266">
        <v>1.3698630136986301E-2</v>
      </c>
      <c r="D1266">
        <v>5</v>
      </c>
    </row>
    <row r="1267" spans="1:4" x14ac:dyDescent="0.25">
      <c r="A1267" t="s">
        <v>66</v>
      </c>
      <c r="B1267">
        <v>4</v>
      </c>
      <c r="C1267">
        <v>1.0958904109589041E-2</v>
      </c>
      <c r="D1267">
        <v>4</v>
      </c>
    </row>
    <row r="1268" spans="1:4" x14ac:dyDescent="0.25">
      <c r="A1268" t="s">
        <v>73</v>
      </c>
      <c r="B1268">
        <v>3</v>
      </c>
      <c r="C1268">
        <v>5.4794520547945206E-3</v>
      </c>
      <c r="D1268">
        <v>2</v>
      </c>
    </row>
    <row r="1269" spans="1:4" x14ac:dyDescent="0.25">
      <c r="A1269" t="s">
        <v>291</v>
      </c>
      <c r="B1269">
        <v>1</v>
      </c>
      <c r="C1269">
        <v>1.3698630136986301E-2</v>
      </c>
      <c r="D1269">
        <v>5</v>
      </c>
    </row>
    <row r="1270" spans="1:4" x14ac:dyDescent="0.25">
      <c r="A1270" t="s">
        <v>76</v>
      </c>
      <c r="B1270">
        <v>15</v>
      </c>
      <c r="C1270">
        <v>2.7397260273972601E-2</v>
      </c>
      <c r="D1270">
        <v>11</v>
      </c>
    </row>
    <row r="1271" spans="1:4" x14ac:dyDescent="0.25">
      <c r="A1271" t="s">
        <v>71</v>
      </c>
      <c r="B1271">
        <v>2</v>
      </c>
      <c r="C1271">
        <v>5.4794520547945206E-3</v>
      </c>
      <c r="D1271">
        <v>2</v>
      </c>
    </row>
    <row r="1272" spans="1:4" x14ac:dyDescent="0.25">
      <c r="A1272" t="s">
        <v>79</v>
      </c>
      <c r="B1272">
        <v>0</v>
      </c>
      <c r="C1272">
        <v>5.4794520547945206E-3</v>
      </c>
      <c r="D1272">
        <v>2</v>
      </c>
    </row>
    <row r="1273" spans="1:4" x14ac:dyDescent="0.25">
      <c r="A1273" t="s">
        <v>78</v>
      </c>
      <c r="B1273">
        <v>22</v>
      </c>
      <c r="C1273">
        <v>1.0958904109589041E-2</v>
      </c>
      <c r="D1273">
        <v>4</v>
      </c>
    </row>
    <row r="1274" spans="1:4" x14ac:dyDescent="0.25">
      <c r="A1274" t="s">
        <v>28</v>
      </c>
      <c r="B1274">
        <v>22</v>
      </c>
      <c r="C1274">
        <v>2.1917808219178082E-2</v>
      </c>
      <c r="D1274">
        <v>8</v>
      </c>
    </row>
    <row r="1275" spans="1:4" x14ac:dyDescent="0.25">
      <c r="A1275" t="s">
        <v>28</v>
      </c>
      <c r="B1275">
        <v>6</v>
      </c>
      <c r="C1275">
        <v>1.9178082191780823E-2</v>
      </c>
      <c r="D1275">
        <v>8</v>
      </c>
    </row>
    <row r="1276" spans="1:4" x14ac:dyDescent="0.25">
      <c r="A1276" t="s">
        <v>318</v>
      </c>
      <c r="B1276">
        <v>23</v>
      </c>
      <c r="C1276">
        <v>1.3698630136986301E-2</v>
      </c>
      <c r="D1276">
        <v>5</v>
      </c>
    </row>
    <row r="1277" spans="1:4" x14ac:dyDescent="0.25">
      <c r="A1277" t="s">
        <v>190</v>
      </c>
      <c r="B1277">
        <v>2</v>
      </c>
      <c r="C1277">
        <v>5.4794520547945206E-3</v>
      </c>
      <c r="D1277">
        <v>2</v>
      </c>
    </row>
    <row r="1278" spans="1:4" x14ac:dyDescent="0.25">
      <c r="A1278" t="s">
        <v>313</v>
      </c>
      <c r="B1278">
        <v>6</v>
      </c>
      <c r="C1278">
        <v>8.21917808219178E-3</v>
      </c>
      <c r="D1278">
        <v>6</v>
      </c>
    </row>
    <row r="1279" spans="1:4" x14ac:dyDescent="0.25">
      <c r="A1279" t="s">
        <v>287</v>
      </c>
      <c r="B1279">
        <v>10</v>
      </c>
      <c r="C1279">
        <v>2.7397260273972603E-3</v>
      </c>
      <c r="D1279">
        <v>1</v>
      </c>
    </row>
    <row r="1280" spans="1:4" x14ac:dyDescent="0.25">
      <c r="A1280" t="s">
        <v>321</v>
      </c>
      <c r="B1280">
        <v>21</v>
      </c>
      <c r="C1280">
        <v>1.9178082191780823E-2</v>
      </c>
      <c r="D1280">
        <v>7</v>
      </c>
    </row>
    <row r="1281" spans="1:4" x14ac:dyDescent="0.25">
      <c r="A1281" t="s">
        <v>310</v>
      </c>
      <c r="B1281">
        <v>0</v>
      </c>
      <c r="C1281">
        <v>1.3698630136986301E-2</v>
      </c>
      <c r="D1281">
        <v>5</v>
      </c>
    </row>
    <row r="1282" spans="1:4" x14ac:dyDescent="0.25">
      <c r="A1282" t="s">
        <v>291</v>
      </c>
      <c r="B1282">
        <v>10</v>
      </c>
      <c r="C1282">
        <v>1.3698630136986301E-2</v>
      </c>
      <c r="D1282">
        <v>5</v>
      </c>
    </row>
    <row r="1283" spans="1:4" x14ac:dyDescent="0.25">
      <c r="A1283" t="s">
        <v>313</v>
      </c>
      <c r="B1283">
        <v>3</v>
      </c>
      <c r="C1283">
        <v>5.4794520547945206E-3</v>
      </c>
      <c r="D1283">
        <v>2</v>
      </c>
    </row>
    <row r="1284" spans="1:4" x14ac:dyDescent="0.25">
      <c r="A1284" t="s">
        <v>186</v>
      </c>
      <c r="B1284">
        <v>23</v>
      </c>
      <c r="C1284">
        <v>2.7397260273972603E-3</v>
      </c>
      <c r="D1284">
        <v>1</v>
      </c>
    </row>
    <row r="1285" spans="1:4" x14ac:dyDescent="0.25">
      <c r="A1285" t="s">
        <v>314</v>
      </c>
      <c r="B1285">
        <v>1</v>
      </c>
      <c r="C1285">
        <v>1.0958904109589041E-2</v>
      </c>
      <c r="D1285">
        <v>4</v>
      </c>
    </row>
    <row r="1286" spans="1:4" x14ac:dyDescent="0.25">
      <c r="A1286" t="s">
        <v>297</v>
      </c>
      <c r="B1286">
        <v>4</v>
      </c>
      <c r="C1286">
        <v>2.7397260273972603E-3</v>
      </c>
      <c r="D1286">
        <v>1</v>
      </c>
    </row>
    <row r="1287" spans="1:4" x14ac:dyDescent="0.25">
      <c r="A1287" t="s">
        <v>290</v>
      </c>
      <c r="B1287">
        <v>20</v>
      </c>
      <c r="C1287">
        <v>2.1917808219178082E-2</v>
      </c>
      <c r="D1287">
        <v>8</v>
      </c>
    </row>
    <row r="1288" spans="1:4" x14ac:dyDescent="0.25">
      <c r="A1288" t="s">
        <v>290</v>
      </c>
      <c r="B1288">
        <v>19</v>
      </c>
      <c r="C1288">
        <v>1.9178082191780823E-2</v>
      </c>
      <c r="D1288">
        <v>8</v>
      </c>
    </row>
    <row r="1289" spans="1:4" x14ac:dyDescent="0.25">
      <c r="A1289" t="s">
        <v>70</v>
      </c>
      <c r="B1289">
        <v>4</v>
      </c>
      <c r="C1289">
        <v>5.4794520547945206E-3</v>
      </c>
      <c r="D1289">
        <v>2</v>
      </c>
    </row>
    <row r="1290" spans="1:4" x14ac:dyDescent="0.25">
      <c r="A1290" t="s">
        <v>190</v>
      </c>
      <c r="B1290">
        <v>14</v>
      </c>
      <c r="C1290">
        <v>1.643835616438356E-2</v>
      </c>
      <c r="D1290">
        <v>7</v>
      </c>
    </row>
    <row r="1291" spans="1:4" x14ac:dyDescent="0.25">
      <c r="A1291" t="s">
        <v>318</v>
      </c>
      <c r="B1291">
        <v>0</v>
      </c>
      <c r="C1291">
        <v>2.7397260273972603E-3</v>
      </c>
      <c r="D1291">
        <v>1</v>
      </c>
    </row>
    <row r="1292" spans="1:4" x14ac:dyDescent="0.25">
      <c r="A1292" t="s">
        <v>286</v>
      </c>
      <c r="B1292">
        <v>4</v>
      </c>
      <c r="C1292">
        <v>2.7397260273972603E-3</v>
      </c>
      <c r="D1292">
        <v>2</v>
      </c>
    </row>
    <row r="1293" spans="1:4" x14ac:dyDescent="0.25">
      <c r="A1293" t="s">
        <v>319</v>
      </c>
      <c r="B1293">
        <v>6</v>
      </c>
      <c r="C1293">
        <v>2.7397260273972603E-3</v>
      </c>
      <c r="D1293">
        <v>1</v>
      </c>
    </row>
    <row r="1294" spans="1:4" x14ac:dyDescent="0.25">
      <c r="A1294" t="s">
        <v>320</v>
      </c>
      <c r="B1294">
        <v>0</v>
      </c>
      <c r="C1294">
        <v>5.4794520547945206E-3</v>
      </c>
      <c r="D1294">
        <v>2</v>
      </c>
    </row>
    <row r="1295" spans="1:4" x14ac:dyDescent="0.25">
      <c r="A1295" t="s">
        <v>64</v>
      </c>
      <c r="B1295">
        <v>1</v>
      </c>
      <c r="C1295">
        <v>1.3698630136986301E-2</v>
      </c>
      <c r="D1295">
        <v>6</v>
      </c>
    </row>
    <row r="1296" spans="1:4" x14ac:dyDescent="0.25">
      <c r="A1296" t="s">
        <v>291</v>
      </c>
      <c r="B1296">
        <v>3</v>
      </c>
      <c r="C1296">
        <v>2.7397260273972603E-3</v>
      </c>
      <c r="D1296">
        <v>1</v>
      </c>
    </row>
    <row r="1297" spans="1:4" x14ac:dyDescent="0.25">
      <c r="A1297" t="s">
        <v>321</v>
      </c>
      <c r="B1297">
        <v>6</v>
      </c>
      <c r="C1297">
        <v>2.7397260273972603E-3</v>
      </c>
      <c r="D1297">
        <v>1</v>
      </c>
    </row>
    <row r="1298" spans="1:4" x14ac:dyDescent="0.25">
      <c r="A1298" t="s">
        <v>297</v>
      </c>
      <c r="B1298">
        <v>7</v>
      </c>
      <c r="C1298">
        <v>8.21917808219178E-3</v>
      </c>
      <c r="D1298">
        <v>3</v>
      </c>
    </row>
    <row r="1299" spans="1:4" x14ac:dyDescent="0.25">
      <c r="A1299" t="s">
        <v>67</v>
      </c>
      <c r="B1299">
        <v>2</v>
      </c>
      <c r="C1299">
        <v>1.643835616438356E-2</v>
      </c>
      <c r="D1299">
        <v>6</v>
      </c>
    </row>
    <row r="1300" spans="1:4" x14ac:dyDescent="0.25">
      <c r="A1300" t="s">
        <v>38</v>
      </c>
      <c r="B1300">
        <v>20</v>
      </c>
      <c r="C1300">
        <v>2.7397260273972603E-3</v>
      </c>
      <c r="D1300">
        <v>1</v>
      </c>
    </row>
    <row r="1301" spans="1:4" x14ac:dyDescent="0.25">
      <c r="A1301" t="s">
        <v>287</v>
      </c>
      <c r="B1301">
        <v>14</v>
      </c>
      <c r="C1301">
        <v>5.4794520547945206E-3</v>
      </c>
      <c r="D1301">
        <v>2</v>
      </c>
    </row>
    <row r="1302" spans="1:4" x14ac:dyDescent="0.25">
      <c r="A1302" t="s">
        <v>290</v>
      </c>
      <c r="B1302">
        <v>21</v>
      </c>
      <c r="C1302">
        <v>8.21917808219178E-3</v>
      </c>
      <c r="D1302">
        <v>3</v>
      </c>
    </row>
    <row r="1303" spans="1:4" x14ac:dyDescent="0.25">
      <c r="A1303" t="s">
        <v>289</v>
      </c>
      <c r="B1303">
        <v>13</v>
      </c>
      <c r="C1303">
        <v>5.4794520547945206E-3</v>
      </c>
      <c r="D1303">
        <v>2</v>
      </c>
    </row>
    <row r="1304" spans="1:4" x14ac:dyDescent="0.25">
      <c r="A1304" t="s">
        <v>321</v>
      </c>
      <c r="B1304">
        <v>4</v>
      </c>
      <c r="C1304">
        <v>2.7397260273972603E-3</v>
      </c>
      <c r="D1304">
        <v>1</v>
      </c>
    </row>
    <row r="1305" spans="1:4" x14ac:dyDescent="0.25">
      <c r="A1305" t="s">
        <v>73</v>
      </c>
      <c r="B1305">
        <v>2</v>
      </c>
      <c r="C1305">
        <v>2.7397260273972603E-3</v>
      </c>
      <c r="D1305">
        <v>1</v>
      </c>
    </row>
    <row r="1306" spans="1:4" x14ac:dyDescent="0.25">
      <c r="A1306" t="s">
        <v>314</v>
      </c>
      <c r="B1306">
        <v>3</v>
      </c>
      <c r="C1306">
        <v>2.7397260273972603E-3</v>
      </c>
      <c r="D1306">
        <v>1</v>
      </c>
    </row>
    <row r="1307" spans="1:4" x14ac:dyDescent="0.25">
      <c r="A1307" t="s">
        <v>77</v>
      </c>
      <c r="B1307">
        <v>23</v>
      </c>
      <c r="C1307">
        <v>5.4794520547945206E-3</v>
      </c>
      <c r="D1307">
        <v>2</v>
      </c>
    </row>
    <row r="1308" spans="1:4" x14ac:dyDescent="0.25">
      <c r="A1308" t="s">
        <v>288</v>
      </c>
      <c r="B1308">
        <v>4</v>
      </c>
      <c r="C1308">
        <v>8.21917808219178E-3</v>
      </c>
      <c r="D1308">
        <v>3</v>
      </c>
    </row>
    <row r="1309" spans="1:4" x14ac:dyDescent="0.25">
      <c r="A1309" t="s">
        <v>312</v>
      </c>
      <c r="B1309">
        <v>5</v>
      </c>
      <c r="C1309">
        <v>1.0958904109589041E-2</v>
      </c>
      <c r="D1309">
        <v>4</v>
      </c>
    </row>
    <row r="1310" spans="1:4" x14ac:dyDescent="0.25">
      <c r="A1310" t="s">
        <v>308</v>
      </c>
      <c r="B1310">
        <v>2</v>
      </c>
      <c r="C1310">
        <v>2.7397260273972603E-3</v>
      </c>
      <c r="D1310">
        <v>1</v>
      </c>
    </row>
    <row r="1311" spans="1:4" x14ac:dyDescent="0.25">
      <c r="A1311" t="s">
        <v>308</v>
      </c>
      <c r="B1311">
        <v>3</v>
      </c>
      <c r="C1311">
        <v>8.21917808219178E-3</v>
      </c>
      <c r="D1311">
        <v>3</v>
      </c>
    </row>
    <row r="1312" spans="1:4" x14ac:dyDescent="0.25">
      <c r="A1312" t="s">
        <v>188</v>
      </c>
      <c r="B1312">
        <v>4</v>
      </c>
      <c r="C1312">
        <v>8.21917808219178E-3</v>
      </c>
      <c r="D1312">
        <v>3</v>
      </c>
    </row>
    <row r="1313" spans="1:4" x14ac:dyDescent="0.25">
      <c r="A1313" t="s">
        <v>310</v>
      </c>
      <c r="B1313">
        <v>3</v>
      </c>
      <c r="C1313">
        <v>2.7397260273972603E-3</v>
      </c>
      <c r="D1313">
        <v>1</v>
      </c>
    </row>
    <row r="1314" spans="1:4" x14ac:dyDescent="0.25">
      <c r="A1314" t="s">
        <v>32</v>
      </c>
      <c r="B1314">
        <v>2</v>
      </c>
      <c r="C1314">
        <v>5.4794520547945206E-3</v>
      </c>
      <c r="D1314">
        <v>2</v>
      </c>
    </row>
    <row r="1315" spans="1:4" x14ac:dyDescent="0.25">
      <c r="A1315" t="s">
        <v>73</v>
      </c>
      <c r="B1315">
        <v>4</v>
      </c>
      <c r="C1315">
        <v>5.4794520547945206E-3</v>
      </c>
      <c r="D1315">
        <v>2</v>
      </c>
    </row>
    <row r="1316" spans="1:4" x14ac:dyDescent="0.25">
      <c r="A1316" t="s">
        <v>79</v>
      </c>
      <c r="B1316">
        <v>14</v>
      </c>
      <c r="C1316">
        <v>1.643835616438356E-2</v>
      </c>
      <c r="D1316">
        <v>7</v>
      </c>
    </row>
    <row r="1317" spans="1:4" x14ac:dyDescent="0.25">
      <c r="A1317" t="s">
        <v>79</v>
      </c>
      <c r="B1317">
        <v>15</v>
      </c>
      <c r="C1317">
        <v>1.3698630136986301E-2</v>
      </c>
      <c r="D1317">
        <v>5</v>
      </c>
    </row>
    <row r="1318" spans="1:4" x14ac:dyDescent="0.25">
      <c r="A1318" t="s">
        <v>320</v>
      </c>
      <c r="B1318">
        <v>22</v>
      </c>
      <c r="C1318">
        <v>2.7397260273972603E-3</v>
      </c>
      <c r="D1318">
        <v>1</v>
      </c>
    </row>
    <row r="1319" spans="1:4" x14ac:dyDescent="0.25">
      <c r="A1319" t="s">
        <v>291</v>
      </c>
      <c r="B1319">
        <v>6</v>
      </c>
      <c r="C1319">
        <v>5.4794520547945206E-3</v>
      </c>
      <c r="D1319">
        <v>2</v>
      </c>
    </row>
    <row r="1320" spans="1:4" x14ac:dyDescent="0.25">
      <c r="A1320" t="s">
        <v>19</v>
      </c>
      <c r="B1320">
        <v>6</v>
      </c>
      <c r="C1320">
        <v>1.0958904109589041E-2</v>
      </c>
      <c r="D1320">
        <v>7</v>
      </c>
    </row>
    <row r="1321" spans="1:4" x14ac:dyDescent="0.25">
      <c r="A1321" t="s">
        <v>313</v>
      </c>
      <c r="B1321">
        <v>7</v>
      </c>
      <c r="C1321">
        <v>5.4794520547945206E-3</v>
      </c>
      <c r="D1321">
        <v>2</v>
      </c>
    </row>
    <row r="1322" spans="1:4" x14ac:dyDescent="0.25">
      <c r="A1322" t="s">
        <v>287</v>
      </c>
      <c r="B1322">
        <v>18</v>
      </c>
      <c r="C1322">
        <v>5.4794520547945206E-3</v>
      </c>
      <c r="D1322">
        <v>2</v>
      </c>
    </row>
    <row r="1323" spans="1:4" x14ac:dyDescent="0.25">
      <c r="A1323" t="s">
        <v>21</v>
      </c>
      <c r="B1323">
        <v>6</v>
      </c>
      <c r="C1323">
        <v>2.7397260273972603E-3</v>
      </c>
      <c r="D1323">
        <v>1</v>
      </c>
    </row>
    <row r="1324" spans="1:4" x14ac:dyDescent="0.25">
      <c r="A1324" t="s">
        <v>290</v>
      </c>
      <c r="B1324">
        <v>3</v>
      </c>
      <c r="C1324">
        <v>2.7397260273972603E-3</v>
      </c>
      <c r="D1324">
        <v>1</v>
      </c>
    </row>
    <row r="1325" spans="1:4" x14ac:dyDescent="0.25">
      <c r="A1325" t="s">
        <v>77</v>
      </c>
      <c r="B1325">
        <v>1</v>
      </c>
      <c r="C1325">
        <v>2.7397260273972603E-3</v>
      </c>
      <c r="D1325">
        <v>1</v>
      </c>
    </row>
    <row r="1326" spans="1:4" x14ac:dyDescent="0.25">
      <c r="A1326" t="s">
        <v>287</v>
      </c>
      <c r="B1326">
        <v>1</v>
      </c>
      <c r="C1326">
        <v>5.4794520547945206E-3</v>
      </c>
      <c r="D1326">
        <v>2</v>
      </c>
    </row>
    <row r="1327" spans="1:4" x14ac:dyDescent="0.25">
      <c r="A1327" t="s">
        <v>78</v>
      </c>
      <c r="B1327">
        <v>13</v>
      </c>
      <c r="C1327">
        <v>1.0958904109589041E-2</v>
      </c>
      <c r="D1327">
        <v>4</v>
      </c>
    </row>
    <row r="1328" spans="1:4" x14ac:dyDescent="0.25">
      <c r="A1328" t="s">
        <v>190</v>
      </c>
      <c r="B1328">
        <v>4</v>
      </c>
      <c r="C1328">
        <v>2.7397260273972603E-3</v>
      </c>
      <c r="D1328">
        <v>1</v>
      </c>
    </row>
    <row r="1329" spans="1:4" x14ac:dyDescent="0.25">
      <c r="A1329" t="s">
        <v>186</v>
      </c>
      <c r="B1329">
        <v>0</v>
      </c>
      <c r="C1329">
        <v>5.4794520547945206E-3</v>
      </c>
      <c r="D1329">
        <v>2</v>
      </c>
    </row>
    <row r="1330" spans="1:4" x14ac:dyDescent="0.25">
      <c r="A1330" t="s">
        <v>186</v>
      </c>
      <c r="B1330">
        <v>5</v>
      </c>
      <c r="C1330">
        <v>5.4794520547945206E-3</v>
      </c>
      <c r="D1330">
        <v>3</v>
      </c>
    </row>
    <row r="1331" spans="1:4" x14ac:dyDescent="0.25">
      <c r="A1331" t="s">
        <v>287</v>
      </c>
      <c r="B1331">
        <v>8</v>
      </c>
      <c r="C1331">
        <v>2.7397260273972603E-3</v>
      </c>
      <c r="D1331">
        <v>1</v>
      </c>
    </row>
    <row r="1332" spans="1:4" x14ac:dyDescent="0.25">
      <c r="A1332" t="s">
        <v>77</v>
      </c>
      <c r="B1332">
        <v>6</v>
      </c>
      <c r="C1332">
        <v>8.21917808219178E-3</v>
      </c>
      <c r="D1332">
        <v>3</v>
      </c>
    </row>
    <row r="1333" spans="1:4" x14ac:dyDescent="0.25">
      <c r="A1333" t="s">
        <v>319</v>
      </c>
      <c r="B1333">
        <v>13</v>
      </c>
      <c r="C1333">
        <v>5.4794520547945206E-3</v>
      </c>
      <c r="D1333">
        <v>2</v>
      </c>
    </row>
    <row r="1334" spans="1:4" x14ac:dyDescent="0.25">
      <c r="A1334" t="s">
        <v>393</v>
      </c>
      <c r="B1334">
        <v>1</v>
      </c>
      <c r="C1334">
        <v>1.0958904109589041E-2</v>
      </c>
      <c r="D1334">
        <v>4</v>
      </c>
    </row>
    <row r="1335" spans="1:4" x14ac:dyDescent="0.25">
      <c r="A1335" t="s">
        <v>319</v>
      </c>
      <c r="B1335">
        <v>8</v>
      </c>
      <c r="C1335">
        <v>1.0958904109589041E-2</v>
      </c>
      <c r="D1335">
        <v>4</v>
      </c>
    </row>
    <row r="1336" spans="1:4" x14ac:dyDescent="0.25">
      <c r="A1336" t="s">
        <v>21</v>
      </c>
      <c r="B1336">
        <v>5</v>
      </c>
      <c r="C1336">
        <v>5.4794520547945206E-3</v>
      </c>
      <c r="D1336">
        <v>2</v>
      </c>
    </row>
    <row r="1337" spans="1:4" x14ac:dyDescent="0.25">
      <c r="A1337" t="s">
        <v>32</v>
      </c>
      <c r="B1337">
        <v>4</v>
      </c>
      <c r="C1337">
        <v>5.4794520547945206E-3</v>
      </c>
      <c r="D1337">
        <v>2</v>
      </c>
    </row>
    <row r="1338" spans="1:4" x14ac:dyDescent="0.25">
      <c r="A1338" t="s">
        <v>310</v>
      </c>
      <c r="B1338">
        <v>5</v>
      </c>
      <c r="C1338">
        <v>2.7397260273972603E-3</v>
      </c>
      <c r="D1338">
        <v>2</v>
      </c>
    </row>
    <row r="1339" spans="1:4" x14ac:dyDescent="0.25">
      <c r="A1339" t="s">
        <v>318</v>
      </c>
      <c r="B1339">
        <v>22</v>
      </c>
      <c r="C1339">
        <v>5.4794520547945206E-3</v>
      </c>
      <c r="D1339">
        <v>2</v>
      </c>
    </row>
    <row r="1340" spans="1:4" x14ac:dyDescent="0.25">
      <c r="A1340" t="s">
        <v>310</v>
      </c>
      <c r="B1340">
        <v>23</v>
      </c>
      <c r="C1340">
        <v>1.3698630136986301E-2</v>
      </c>
      <c r="D1340">
        <v>5</v>
      </c>
    </row>
    <row r="1341" spans="1:4" x14ac:dyDescent="0.25">
      <c r="A1341" t="s">
        <v>308</v>
      </c>
      <c r="B1341">
        <v>5</v>
      </c>
      <c r="C1341">
        <v>2.7397260273972603E-3</v>
      </c>
      <c r="D1341">
        <v>1</v>
      </c>
    </row>
    <row r="1342" spans="1:4" x14ac:dyDescent="0.25">
      <c r="A1342" t="s">
        <v>319</v>
      </c>
      <c r="B1342">
        <v>12</v>
      </c>
      <c r="C1342">
        <v>8.21917808219178E-3</v>
      </c>
      <c r="D1342">
        <v>3</v>
      </c>
    </row>
    <row r="1343" spans="1:4" x14ac:dyDescent="0.25">
      <c r="A1343" t="s">
        <v>310</v>
      </c>
      <c r="B1343">
        <v>2</v>
      </c>
      <c r="C1343">
        <v>5.4794520547945206E-3</v>
      </c>
      <c r="D1343">
        <v>2</v>
      </c>
    </row>
    <row r="1344" spans="1:4" x14ac:dyDescent="0.25">
      <c r="A1344" t="s">
        <v>79</v>
      </c>
      <c r="B1344">
        <v>6</v>
      </c>
      <c r="C1344">
        <v>8.21917808219178E-3</v>
      </c>
      <c r="D1344">
        <v>3</v>
      </c>
    </row>
    <row r="1345" spans="1:4" x14ac:dyDescent="0.25">
      <c r="A1345" t="s">
        <v>21</v>
      </c>
      <c r="B1345">
        <v>1</v>
      </c>
      <c r="C1345">
        <v>5.4794520547945206E-3</v>
      </c>
      <c r="D1345">
        <v>3</v>
      </c>
    </row>
    <row r="1346" spans="1:4" x14ac:dyDescent="0.25">
      <c r="A1346" t="s">
        <v>77</v>
      </c>
      <c r="B1346">
        <v>3</v>
      </c>
      <c r="C1346">
        <v>2.7397260273972603E-3</v>
      </c>
      <c r="D1346">
        <v>1</v>
      </c>
    </row>
    <row r="1347" spans="1:4" x14ac:dyDescent="0.25">
      <c r="A1347" t="s">
        <v>32</v>
      </c>
      <c r="B1347">
        <v>3</v>
      </c>
      <c r="C1347">
        <v>2.7397260273972603E-3</v>
      </c>
      <c r="D1347">
        <v>1</v>
      </c>
    </row>
    <row r="1348" spans="1:4" x14ac:dyDescent="0.25">
      <c r="A1348" t="s">
        <v>309</v>
      </c>
      <c r="B1348">
        <v>2</v>
      </c>
      <c r="C1348">
        <v>2.7397260273972603E-3</v>
      </c>
      <c r="D1348">
        <v>1</v>
      </c>
    </row>
    <row r="1349" spans="1:4" x14ac:dyDescent="0.25">
      <c r="A1349" t="s">
        <v>393</v>
      </c>
      <c r="B1349">
        <v>2</v>
      </c>
      <c r="C1349">
        <v>5.4794520547945206E-3</v>
      </c>
      <c r="D1349">
        <v>2</v>
      </c>
    </row>
    <row r="1350" spans="1:4" x14ac:dyDescent="0.25">
      <c r="A1350" t="s">
        <v>318</v>
      </c>
      <c r="B1350">
        <v>14</v>
      </c>
      <c r="C1350">
        <v>1.0958904109589041E-2</v>
      </c>
      <c r="D1350">
        <v>4</v>
      </c>
    </row>
    <row r="1351" spans="1:4" x14ac:dyDescent="0.25">
      <c r="A1351" t="s">
        <v>286</v>
      </c>
      <c r="B1351">
        <v>21</v>
      </c>
      <c r="C1351">
        <v>2.7397260273972603E-3</v>
      </c>
      <c r="D1351">
        <v>1</v>
      </c>
    </row>
    <row r="1352" spans="1:4" x14ac:dyDescent="0.25">
      <c r="A1352" t="s">
        <v>288</v>
      </c>
      <c r="B1352">
        <v>8</v>
      </c>
      <c r="C1352">
        <v>5.4794520547945206E-3</v>
      </c>
      <c r="D1352">
        <v>2</v>
      </c>
    </row>
    <row r="1353" spans="1:4" x14ac:dyDescent="0.25">
      <c r="A1353" t="s">
        <v>321</v>
      </c>
      <c r="B1353">
        <v>5</v>
      </c>
      <c r="C1353">
        <v>2.7397260273972603E-3</v>
      </c>
      <c r="D1353">
        <v>1</v>
      </c>
    </row>
    <row r="1354" spans="1:4" x14ac:dyDescent="0.25">
      <c r="A1354" t="s">
        <v>296</v>
      </c>
      <c r="B1354">
        <v>2</v>
      </c>
      <c r="C1354">
        <v>2.7397260273972603E-3</v>
      </c>
      <c r="D1354">
        <v>1</v>
      </c>
    </row>
    <row r="1355" spans="1:4" x14ac:dyDescent="0.25">
      <c r="A1355" t="s">
        <v>290</v>
      </c>
      <c r="B1355">
        <v>18</v>
      </c>
      <c r="C1355">
        <v>2.7397260273972603E-3</v>
      </c>
      <c r="D1355">
        <v>1</v>
      </c>
    </row>
    <row r="1356" spans="1:4" x14ac:dyDescent="0.25">
      <c r="A1356" t="s">
        <v>78</v>
      </c>
      <c r="B1356">
        <v>6</v>
      </c>
      <c r="C1356">
        <v>2.7397260273972603E-3</v>
      </c>
      <c r="D1356">
        <v>1</v>
      </c>
    </row>
    <row r="1357" spans="1:4" x14ac:dyDescent="0.25">
      <c r="A1357" t="s">
        <v>286</v>
      </c>
      <c r="B1357">
        <v>5</v>
      </c>
      <c r="C1357">
        <v>2.7397260273972603E-3</v>
      </c>
      <c r="D1357">
        <v>1</v>
      </c>
    </row>
    <row r="1358" spans="1:4" x14ac:dyDescent="0.25">
      <c r="A1358" t="s">
        <v>312</v>
      </c>
      <c r="B1358">
        <v>3</v>
      </c>
      <c r="C1358">
        <v>1.0958904109589041E-2</v>
      </c>
      <c r="D1358">
        <v>4</v>
      </c>
    </row>
    <row r="1359" spans="1:4" x14ac:dyDescent="0.25">
      <c r="A1359" t="s">
        <v>79</v>
      </c>
      <c r="B1359">
        <v>3</v>
      </c>
      <c r="C1359">
        <v>2.7397260273972603E-3</v>
      </c>
      <c r="D1359">
        <v>1</v>
      </c>
    </row>
    <row r="1360" spans="1:4" x14ac:dyDescent="0.25">
      <c r="A1360" t="s">
        <v>319</v>
      </c>
      <c r="B1360">
        <v>7</v>
      </c>
      <c r="C1360">
        <v>2.7397260273972603E-3</v>
      </c>
      <c r="D1360">
        <v>1</v>
      </c>
    </row>
    <row r="1361" spans="1:4" x14ac:dyDescent="0.25">
      <c r="A1361" t="s">
        <v>36</v>
      </c>
      <c r="B1361">
        <v>4</v>
      </c>
      <c r="C1361">
        <v>8.21917808219178E-3</v>
      </c>
      <c r="D1361">
        <v>3</v>
      </c>
    </row>
    <row r="1362" spans="1:4" x14ac:dyDescent="0.25">
      <c r="A1362" t="s">
        <v>314</v>
      </c>
      <c r="B1362">
        <v>4</v>
      </c>
      <c r="C1362">
        <v>2.7397260273972603E-3</v>
      </c>
      <c r="D1362">
        <v>1</v>
      </c>
    </row>
    <row r="1363" spans="1:4" x14ac:dyDescent="0.25">
      <c r="A1363" t="s">
        <v>73</v>
      </c>
      <c r="B1363">
        <v>5</v>
      </c>
      <c r="C1363">
        <v>5.4794520547945206E-3</v>
      </c>
      <c r="D1363">
        <v>2</v>
      </c>
    </row>
    <row r="1364" spans="1:4" x14ac:dyDescent="0.25">
      <c r="A1364" t="s">
        <v>190</v>
      </c>
      <c r="B1364">
        <v>6</v>
      </c>
      <c r="C1364">
        <v>5.4794520547945206E-3</v>
      </c>
      <c r="D1364">
        <v>3</v>
      </c>
    </row>
    <row r="1365" spans="1:4" x14ac:dyDescent="0.25">
      <c r="A1365" t="s">
        <v>310</v>
      </c>
      <c r="B1365">
        <v>4</v>
      </c>
      <c r="C1365">
        <v>2.7397260273972603E-3</v>
      </c>
      <c r="D1365">
        <v>1</v>
      </c>
    </row>
    <row r="1366" spans="1:4" x14ac:dyDescent="0.25">
      <c r="A1366" t="s">
        <v>296</v>
      </c>
      <c r="B1366">
        <v>6</v>
      </c>
      <c r="C1366">
        <v>2.7397260273972603E-3</v>
      </c>
      <c r="D1366">
        <v>2</v>
      </c>
    </row>
    <row r="1367" spans="1:4" x14ac:dyDescent="0.25">
      <c r="A1367" t="s">
        <v>312</v>
      </c>
      <c r="B1367">
        <v>1</v>
      </c>
      <c r="C1367">
        <v>2.7397260273972603E-3</v>
      </c>
      <c r="D1367">
        <v>1</v>
      </c>
    </row>
    <row r="1368" spans="1:4" x14ac:dyDescent="0.25">
      <c r="A1368" t="s">
        <v>188</v>
      </c>
      <c r="B1368">
        <v>2</v>
      </c>
      <c r="C1368">
        <v>2.7397260273972603E-3</v>
      </c>
      <c r="D1368">
        <v>1</v>
      </c>
    </row>
    <row r="1369" spans="1:4" x14ac:dyDescent="0.25">
      <c r="A1369" t="s">
        <v>314</v>
      </c>
      <c r="B1369">
        <v>2</v>
      </c>
      <c r="C1369">
        <v>5.4794520547945206E-3</v>
      </c>
      <c r="D1369">
        <v>2</v>
      </c>
    </row>
    <row r="1370" spans="1:4" x14ac:dyDescent="0.25">
      <c r="A1370" t="s">
        <v>38</v>
      </c>
      <c r="B1370">
        <v>21</v>
      </c>
      <c r="C1370">
        <v>2.7397260273972603E-3</v>
      </c>
      <c r="D1370">
        <v>1</v>
      </c>
    </row>
    <row r="1371" spans="1:4" x14ac:dyDescent="0.25">
      <c r="A1371" t="s">
        <v>70</v>
      </c>
      <c r="B1371">
        <v>3</v>
      </c>
      <c r="C1371">
        <v>2.7397260273972603E-3</v>
      </c>
      <c r="D1371">
        <v>1</v>
      </c>
    </row>
    <row r="1372" spans="1:4" x14ac:dyDescent="0.25">
      <c r="A1372" t="s">
        <v>38</v>
      </c>
      <c r="B1372">
        <v>22</v>
      </c>
      <c r="C1372">
        <v>2.7397260273972603E-3</v>
      </c>
      <c r="D1372">
        <v>1</v>
      </c>
    </row>
    <row r="1373" spans="1:4" x14ac:dyDescent="0.25">
      <c r="A1373" t="s">
        <v>309</v>
      </c>
      <c r="B1373">
        <v>22</v>
      </c>
      <c r="C1373">
        <v>2.7397260273972603E-3</v>
      </c>
      <c r="D1373">
        <v>1</v>
      </c>
    </row>
    <row r="1374" spans="1:4" x14ac:dyDescent="0.25">
      <c r="A1374" t="s">
        <v>289</v>
      </c>
      <c r="B1374">
        <v>2</v>
      </c>
      <c r="C1374">
        <v>2.7397260273972603E-3</v>
      </c>
      <c r="D1374">
        <v>1</v>
      </c>
    </row>
    <row r="1375" spans="1:4" x14ac:dyDescent="0.25">
      <c r="A1375" t="s">
        <v>190</v>
      </c>
      <c r="B1375">
        <v>3</v>
      </c>
      <c r="C1375">
        <v>2.7397260273972603E-3</v>
      </c>
      <c r="D1375">
        <v>1</v>
      </c>
    </row>
    <row r="1376" spans="1:4" x14ac:dyDescent="0.25">
      <c r="A1376" t="s">
        <v>297</v>
      </c>
      <c r="B1376">
        <v>6</v>
      </c>
      <c r="C1376">
        <v>2.7397260273972603E-3</v>
      </c>
      <c r="D1376">
        <v>1</v>
      </c>
    </row>
    <row r="1377" spans="1:4" x14ac:dyDescent="0.25">
      <c r="A1377" t="s">
        <v>287</v>
      </c>
      <c r="B1377">
        <v>23</v>
      </c>
      <c r="C1377">
        <v>2.7397260273972603E-3</v>
      </c>
      <c r="D1377">
        <v>1</v>
      </c>
    </row>
    <row r="1378" spans="1:4" x14ac:dyDescent="0.25">
      <c r="A1378" t="s">
        <v>69</v>
      </c>
      <c r="B1378">
        <v>4</v>
      </c>
      <c r="C1378">
        <v>2.7397260273972603E-3</v>
      </c>
      <c r="D1378">
        <v>1</v>
      </c>
    </row>
    <row r="1379" spans="1:4" x14ac:dyDescent="0.25">
      <c r="A1379" t="s">
        <v>37</v>
      </c>
      <c r="B1379">
        <v>5</v>
      </c>
      <c r="C1379">
        <v>2.7397260273972603E-3</v>
      </c>
      <c r="D1379">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xml version="1.0" encoding="utf-8"?>
<?mso-contentType ?>
<FormTemplates xmlns="http://schemas.microsoft.com/sharepoint/v3/contenttype/forms">
  <Display>DocumentLibraryForm</Display>
  <Edit>DocumentLibraryForm</Edit>
  <New>DocumentLibraryForm</New>
</FormTemplates>
</file>

<file path=customXml/item18.xml>�� 
</file>

<file path=customXml/item19.xml>�� 
</file>

<file path=customXml/item20.xml><?xml version="1.0" encoding="utf-8"?>
<ct:contentTypeSchema xmlns:ct="http://schemas.microsoft.com/office/2006/metadata/contentType" xmlns:ma="http://schemas.microsoft.com/office/2006/metadata/properties/metaAttributes" ct:_="" ma:_="" ma:contentTypeName="Document" ma:contentTypeID="0x010100F440C70FBDD0F8428D25035883E6B994" ma:contentTypeVersion="9" ma:contentTypeDescription="Create a new document." ma:contentTypeScope="" ma:versionID="1a5c978425f8ef435a8f28c3ab9e96e5">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083c23669c9703083437ade268a8ff40"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xml version="1.0" encoding="utf-8"?>
<p:properties xmlns:p="http://schemas.microsoft.com/office/2006/metadata/properties" xmlns:xsi="http://www.w3.org/2001/XMLSchema-instance" xmlns:pc="http://schemas.microsoft.com/office/infopath/2007/PartnerControls">
  <documentManagement/>
</p:properties>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D312EB6F-C8A3-4890-A9C0-D6C3C47E95DF}">
  <ds:schemaRefs/>
</ds:datastoreItem>
</file>

<file path=customXml/itemProps2.xml><?xml version="1.0" encoding="utf-8"?>
<ds:datastoreItem xmlns:ds="http://schemas.openxmlformats.org/officeDocument/2006/customXml" ds:itemID="{965D5C9D-32AD-40FA-BD75-A0130DBACF79}">
  <ds:schemaRefs/>
</ds:datastoreItem>
</file>

<file path=customXml/itemProps3.xml><?xml version="1.0" encoding="utf-8"?>
<ds:datastoreItem xmlns:ds="http://schemas.openxmlformats.org/officeDocument/2006/customXml" ds:itemID="{9B6D8C36-C87B-4666-82C4-994789461BBD}">
  <ds:schemaRefs/>
</ds:datastoreItem>
</file>

<file path=customXml/itemProps4.xml><?xml version="1.0" encoding="utf-8"?>
<ds:datastoreItem xmlns:ds="http://schemas.openxmlformats.org/officeDocument/2006/customXml" ds:itemID="{24584D56-22D4-4F7A-81E4-F1877EAA8994}">
  <ds:schemaRefs/>
</ds:datastoreItem>
</file>

<file path=customXml/itemProps5.xml><?xml version="1.0" encoding="utf-8"?>
<ds:datastoreItem xmlns:ds="http://schemas.openxmlformats.org/officeDocument/2006/customXml" ds:itemID="{C6E004F6-839A-450C-B6E8-596A74D0CABC}">
  <ds:schemaRefs/>
</ds:datastoreItem>
</file>

<file path=customXml/itemProps6.xml><?xml version="1.0" encoding="utf-8"?>
<ds:datastoreItem xmlns:ds="http://schemas.openxmlformats.org/officeDocument/2006/customXml" ds:itemID="{01096B2B-8563-4BD6-895F-11831C39235B}">
  <ds:schemaRefs/>
</ds:datastoreItem>
</file>

<file path=customXml/itemProps7.xml><?xml version="1.0" encoding="utf-8"?>
<ds:datastoreItem xmlns:ds="http://schemas.openxmlformats.org/officeDocument/2006/customXml" ds:itemID="{E81B9107-CACB-4C71-B198-5F8CBEEC5322}">
  <ds:schemaRefs/>
</ds:datastoreItem>
</file>

<file path=customXml/itemProps8.xml><?xml version="1.0" encoding="utf-8"?>
<ds:datastoreItem xmlns:ds="http://schemas.openxmlformats.org/officeDocument/2006/customXml" ds:itemID="{1E79CE8D-659F-4FF0-9FE4-0E96B849D993}">
  <ds:schemaRefs/>
</ds:datastoreItem>
</file>

<file path=customXml/itemProps9.xml><?xml version="1.0" encoding="utf-8"?>
<ds:datastoreItem xmlns:ds="http://schemas.openxmlformats.org/officeDocument/2006/customXml" ds:itemID="{8E06EA72-F892-4841-AF22-14BCB1EB7C96}">
  <ds:schemaRefs/>
</ds:datastoreItem>
</file>

<file path=customXml/itemProps10.xml><?xml version="1.0" encoding="utf-8"?>
<ds:datastoreItem xmlns:ds="http://schemas.openxmlformats.org/officeDocument/2006/customXml" ds:itemID="{FACE0C2E-3A46-4305-BCDE-8AF17AF3BC99}">
  <ds:schemaRefs/>
</ds:datastoreItem>
</file>

<file path=customXml/itemProps11.xml><?xml version="1.0" encoding="utf-8"?>
<ds:datastoreItem xmlns:ds="http://schemas.openxmlformats.org/officeDocument/2006/customXml" ds:itemID="{64093A4A-3813-487F-B02F-F73B85BE8128}">
  <ds:schemaRefs/>
</ds:datastoreItem>
</file>

<file path=customXml/itemProps12.xml><?xml version="1.0" encoding="utf-8"?>
<ds:datastoreItem xmlns:ds="http://schemas.openxmlformats.org/officeDocument/2006/customXml" ds:itemID="{0CC26A0D-B855-402B-8332-B59C1BF97C99}">
  <ds:schemaRefs/>
</ds:datastoreItem>
</file>

<file path=customXml/itemProps13.xml><?xml version="1.0" encoding="utf-8"?>
<ds:datastoreItem xmlns:ds="http://schemas.openxmlformats.org/officeDocument/2006/customXml" ds:itemID="{0883CDC1-BD62-4854-BF5B-889C9C9E185C}">
  <ds:schemaRefs/>
</ds:datastoreItem>
</file>

<file path=customXml/itemProps14.xml><?xml version="1.0" encoding="utf-8"?>
<ds:datastoreItem xmlns:ds="http://schemas.openxmlformats.org/officeDocument/2006/customXml" ds:itemID="{65CCD068-7EBA-475E-9B2B-C6E1F9652F2C}">
  <ds:schemaRefs/>
</ds:datastoreItem>
</file>

<file path=customXml/itemProps15.xml><?xml version="1.0" encoding="utf-8"?>
<ds:datastoreItem xmlns:ds="http://schemas.openxmlformats.org/officeDocument/2006/customXml" ds:itemID="{0CA56C7F-B3D7-4A48-BFAF-490C1D379181}">
  <ds:schemaRefs/>
</ds:datastoreItem>
</file>

<file path=customXml/itemProps16.xml><?xml version="1.0" encoding="utf-8"?>
<ds:datastoreItem xmlns:ds="http://schemas.openxmlformats.org/officeDocument/2006/customXml" ds:itemID="{EB6CBF72-BD61-4569-868B-15DF29C581F2}">
  <ds:schemaRefs/>
</ds:datastoreItem>
</file>

<file path=customXml/itemProps17.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18.xml><?xml version="1.0" encoding="utf-8"?>
<ds:datastoreItem xmlns:ds="http://schemas.openxmlformats.org/officeDocument/2006/customXml" ds:itemID="{D9CACBA2-DD22-4D4F-BC8D-E50323A39C2B}">
  <ds:schemaRefs/>
</ds:datastoreItem>
</file>

<file path=customXml/itemProps19.xml><?xml version="1.0" encoding="utf-8"?>
<ds:datastoreItem xmlns:ds="http://schemas.openxmlformats.org/officeDocument/2006/customXml" ds:itemID="{5AED92BA-84E2-4C2D-A4C6-0C0A9305A480}">
  <ds:schemaRefs/>
</ds:datastoreItem>
</file>

<file path=customXml/itemProps20.xml><?xml version="1.0" encoding="utf-8"?>
<ds:datastoreItem xmlns:ds="http://schemas.openxmlformats.org/officeDocument/2006/customXml" ds:itemID="{FB22B796-A4A2-40BA-A6DE-7906D1E608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12D51AE5-4431-4F22-8E27-20C611816A11}">
  <ds:schemaRefs/>
</ds:datastoreItem>
</file>

<file path=customXml/itemProps22.xml><?xml version="1.0" encoding="utf-8"?>
<ds:datastoreItem xmlns:ds="http://schemas.openxmlformats.org/officeDocument/2006/customXml" ds:itemID="{2E7BAF27-9FDC-43AA-B9C1-9D2DC1EB4339}">
  <ds:schemaRefs/>
</ds:datastoreItem>
</file>

<file path=customXml/itemProps23.xml><?xml version="1.0" encoding="utf-8"?>
<ds:datastoreItem xmlns:ds="http://schemas.openxmlformats.org/officeDocument/2006/customXml" ds:itemID="{439B2AF5-079F-4888-8FA9-5B393C85C135}">
  <ds:schemaRefs/>
</ds:datastoreItem>
</file>

<file path=customXml/itemProps24.xml><?xml version="1.0" encoding="utf-8"?>
<ds:datastoreItem xmlns:ds="http://schemas.openxmlformats.org/officeDocument/2006/customXml" ds:itemID="{A1D0DCDA-D682-41EC-8A47-46EC36508940}">
  <ds:schemaRefs/>
</ds:datastoreItem>
</file>

<file path=customXml/itemProps25.xml><?xml version="1.0" encoding="utf-8"?>
<ds:datastoreItem xmlns:ds="http://schemas.openxmlformats.org/officeDocument/2006/customXml" ds:itemID="{489CADC6-B2E6-4902-8BE5-E927F30A080E}">
  <ds:schemaRefs/>
</ds:datastoreItem>
</file>

<file path=customXml/itemProps26.xml><?xml version="1.0" encoding="utf-8"?>
<ds:datastoreItem xmlns:ds="http://schemas.openxmlformats.org/officeDocument/2006/customXml" ds:itemID="{229B0517-373F-4DBF-AC01-1D8B590728B0}">
  <ds:schemaRefs/>
</ds:datastoreItem>
</file>

<file path=customXml/itemProps27.xml><?xml version="1.0" encoding="utf-8"?>
<ds:datastoreItem xmlns:ds="http://schemas.openxmlformats.org/officeDocument/2006/customXml" ds:itemID="{29243424-BE6C-41B4-9C60-69FC4B0F9164}">
  <ds:schemaRefs/>
</ds:datastoreItem>
</file>

<file path=customXml/itemProps28.xml><?xml version="1.0" encoding="utf-8"?>
<ds:datastoreItem xmlns:ds="http://schemas.openxmlformats.org/officeDocument/2006/customXml" ds:itemID="{C1053642-2E16-48F4-88B1-055613B9B630}">
  <ds:schemaRefs/>
</ds:datastoreItem>
</file>

<file path=customXml/itemProps29.xml><?xml version="1.0" encoding="utf-8"?>
<ds:datastoreItem xmlns:ds="http://schemas.openxmlformats.org/officeDocument/2006/customXml" ds:itemID="{42931A15-6829-49E0-A87A-FFF151FFAD39}">
  <ds:schemaRefs/>
</ds:datastoreItem>
</file>

<file path=customXml/itemProps30.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31.xml><?xml version="1.0" encoding="utf-8"?>
<ds:datastoreItem xmlns:ds="http://schemas.openxmlformats.org/officeDocument/2006/customXml" ds:itemID="{7F27258D-0453-4EE1-8F68-9DB18061294F}">
  <ds:schemaRefs/>
</ds:datastoreItem>
</file>

<file path=customXml/itemProps32.xml><?xml version="1.0" encoding="utf-8"?>
<ds:datastoreItem xmlns:ds="http://schemas.openxmlformats.org/officeDocument/2006/customXml" ds:itemID="{156276AF-B572-4133-9535-AD9B04F2545E}">
  <ds:schemaRefs/>
</ds:datastoreItem>
</file>

<file path=customXml/itemProps33.xml><?xml version="1.0" encoding="utf-8"?>
<ds:datastoreItem xmlns:ds="http://schemas.openxmlformats.org/officeDocument/2006/customXml" ds:itemID="{B49A8A16-5387-446B-AF7C-638FB78FD4C9}">
  <ds:schemaRefs/>
</ds:datastoreItem>
</file>

<file path=customXml/itemProps34.xml><?xml version="1.0" encoding="utf-8"?>
<ds:datastoreItem xmlns:ds="http://schemas.openxmlformats.org/officeDocument/2006/customXml" ds:itemID="{F5697B0A-5C14-4103-A848-6A78E24A94DF}">
  <ds:schemaRefs/>
</ds:datastoreItem>
</file>

<file path=customXml/itemProps35.xml><?xml version="1.0" encoding="utf-8"?>
<ds:datastoreItem xmlns:ds="http://schemas.openxmlformats.org/officeDocument/2006/customXml" ds:itemID="{C8E314E7-1284-4022-8ABA-354777AA38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Menu</vt:lpstr>
      <vt:lpstr>Parametros</vt:lpstr>
      <vt:lpstr>Inputs - 1. Nós</vt:lpstr>
      <vt:lpstr>Original</vt:lpstr>
      <vt:lpstr>Inputs - 2. Distâncias</vt:lpstr>
      <vt:lpstr>Inputs - 3. Turnos e Paragens</vt:lpstr>
      <vt:lpstr>Inputs - 4. Probabilidades</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07. sequencia_nos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2021-09-22T15:35:41Z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